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hidePivotFieldList="1" defaultThemeVersion="124226"/>
  <bookViews>
    <workbookView xWindow="240" yWindow="105" windowWidth="14805" windowHeight="8010" activeTab="5"/>
  </bookViews>
  <sheets>
    <sheet name="Raw_data" sheetId="1" r:id="rId1"/>
    <sheet name="Data_prep" sheetId="2" r:id="rId2"/>
    <sheet name="Pivot_summary_restaurants" sheetId="4" r:id="rId3"/>
    <sheet name="Pivot_summary_customers" sheetId="6" r:id="rId4"/>
    <sheet name="Pivot_summary_platform" sheetId="5" r:id="rId5"/>
    <sheet name="Dashboard_platform" sheetId="10" r:id="rId6"/>
  </sheets>
  <calcPr calcId="152511"/>
  <pivotCaches>
    <pivotCache cacheId="0" r:id="rId7"/>
  </pivotCaches>
</workbook>
</file>

<file path=xl/calcChain.xml><?xml version="1.0" encoding="utf-8"?>
<calcChain xmlns="http://schemas.openxmlformats.org/spreadsheetml/2006/main">
  <c r="A18" i="10" l="1"/>
  <c r="A19" i="10"/>
  <c r="A20" i="10"/>
  <c r="A21" i="10"/>
  <c r="A17" i="10"/>
  <c r="W11" i="10"/>
  <c r="W10" i="10"/>
  <c r="W9" i="10"/>
  <c r="W8" i="10"/>
  <c r="W7" i="10"/>
  <c r="W6" i="10"/>
  <c r="R10" i="10"/>
  <c r="R9" i="10"/>
  <c r="R8" i="10"/>
  <c r="R7" i="10"/>
  <c r="R6" i="10"/>
  <c r="M7" i="10"/>
  <c r="M8" i="10"/>
  <c r="M9" i="10"/>
  <c r="M10" i="10"/>
  <c r="M6" i="10"/>
  <c r="H7" i="10"/>
  <c r="H8" i="10"/>
  <c r="H9" i="10"/>
  <c r="H10" i="10"/>
  <c r="H6" i="10"/>
  <c r="C21" i="10"/>
  <c r="C20" i="10"/>
  <c r="C19" i="10"/>
  <c r="C18" i="10"/>
  <c r="C17" i="10"/>
  <c r="Y11" i="10"/>
  <c r="Y10" i="10"/>
  <c r="Y9" i="10"/>
  <c r="Y8" i="10"/>
  <c r="Y7" i="10"/>
  <c r="Y6" i="10"/>
  <c r="T10" i="10"/>
  <c r="T9" i="10"/>
  <c r="T8" i="10"/>
  <c r="T7" i="10"/>
  <c r="T6" i="10"/>
  <c r="O10" i="10"/>
  <c r="O9" i="10"/>
  <c r="O8" i="10"/>
  <c r="O7" i="10"/>
  <c r="O6" i="10"/>
  <c r="J10" i="10"/>
  <c r="J9" i="10"/>
  <c r="J8" i="10"/>
  <c r="J7" i="10"/>
  <c r="J6" i="10"/>
  <c r="E11" i="10"/>
  <c r="E10" i="10"/>
  <c r="E9" i="10"/>
  <c r="E8" i="10"/>
  <c r="E7" i="10"/>
  <c r="C11" i="10"/>
  <c r="C10" i="10"/>
  <c r="C9" i="10"/>
  <c r="C8" i="10"/>
  <c r="C7" i="10"/>
  <c r="E6" i="10"/>
  <c r="C6" i="10"/>
  <c r="Y2" i="10"/>
  <c r="U2" i="10"/>
  <c r="Q2" i="10"/>
  <c r="M2" i="10"/>
  <c r="I2" i="10"/>
  <c r="E2" i="10"/>
  <c r="A2" i="10"/>
  <c r="Q3" i="2" l="1"/>
  <c r="R3" i="2"/>
  <c r="Q4" i="2"/>
  <c r="R4" i="2"/>
  <c r="Q5" i="2"/>
  <c r="R5" i="2"/>
  <c r="Q6" i="2"/>
  <c r="R6" i="2"/>
  <c r="Q7" i="2"/>
  <c r="R7" i="2"/>
  <c r="Q8" i="2"/>
  <c r="R8" i="2"/>
  <c r="Q9" i="2"/>
  <c r="R9" i="2"/>
  <c r="Q10" i="2"/>
  <c r="R10" i="2"/>
  <c r="Q11" i="2"/>
  <c r="R11" i="2"/>
  <c r="Q12" i="2"/>
  <c r="R12" i="2"/>
  <c r="Q13" i="2"/>
  <c r="R13" i="2"/>
  <c r="Q14" i="2"/>
  <c r="R14" i="2"/>
  <c r="Q15" i="2"/>
  <c r="R15" i="2"/>
  <c r="Q16" i="2"/>
  <c r="R16" i="2"/>
  <c r="Q17" i="2"/>
  <c r="R17" i="2"/>
  <c r="Q18" i="2"/>
  <c r="R18" i="2"/>
  <c r="Q19" i="2"/>
  <c r="R19" i="2"/>
  <c r="Q20" i="2"/>
  <c r="R20" i="2"/>
  <c r="Q21" i="2"/>
  <c r="R21" i="2"/>
  <c r="Q22" i="2"/>
  <c r="R22" i="2"/>
  <c r="Q23" i="2"/>
  <c r="R23" i="2"/>
  <c r="Q24" i="2"/>
  <c r="R24" i="2"/>
  <c r="Q25" i="2"/>
  <c r="R25" i="2"/>
  <c r="Q26" i="2"/>
  <c r="R26" i="2"/>
  <c r="Q27" i="2"/>
  <c r="R27" i="2"/>
  <c r="Q28" i="2"/>
  <c r="R28" i="2"/>
  <c r="Q29" i="2"/>
  <c r="R29" i="2"/>
  <c r="Q30" i="2"/>
  <c r="R30" i="2"/>
  <c r="Q31" i="2"/>
  <c r="R31" i="2"/>
  <c r="Q32" i="2"/>
  <c r="R32" i="2"/>
  <c r="Q33" i="2"/>
  <c r="R33" i="2"/>
  <c r="Q34" i="2"/>
  <c r="R34" i="2"/>
  <c r="Q35" i="2"/>
  <c r="R35" i="2"/>
  <c r="Q36" i="2"/>
  <c r="R36" i="2"/>
  <c r="Q37" i="2"/>
  <c r="R37" i="2"/>
  <c r="Q38" i="2"/>
  <c r="R38" i="2"/>
  <c r="Q39" i="2"/>
  <c r="R39" i="2"/>
  <c r="Q40" i="2"/>
  <c r="R40" i="2"/>
  <c r="Q41" i="2"/>
  <c r="R41" i="2"/>
  <c r="Q42" i="2"/>
  <c r="R42" i="2"/>
  <c r="Q43" i="2"/>
  <c r="R43" i="2"/>
  <c r="Q44" i="2"/>
  <c r="R44" i="2"/>
  <c r="Q45" i="2"/>
  <c r="R45" i="2"/>
  <c r="Q46" i="2"/>
  <c r="R46" i="2"/>
  <c r="Q47" i="2"/>
  <c r="R47" i="2"/>
  <c r="Q48" i="2"/>
  <c r="R48" i="2"/>
  <c r="Q49" i="2"/>
  <c r="R49" i="2"/>
  <c r="Q50" i="2"/>
  <c r="R50" i="2"/>
  <c r="Q51" i="2"/>
  <c r="R51" i="2"/>
  <c r="Q52" i="2"/>
  <c r="R52" i="2"/>
  <c r="Q53" i="2"/>
  <c r="R53" i="2"/>
  <c r="Q54" i="2"/>
  <c r="R54" i="2"/>
  <c r="Q55" i="2"/>
  <c r="R55" i="2"/>
  <c r="Q56" i="2"/>
  <c r="R56" i="2"/>
  <c r="Q57" i="2"/>
  <c r="R57" i="2"/>
  <c r="Q58" i="2"/>
  <c r="R58" i="2"/>
  <c r="Q59" i="2"/>
  <c r="R59" i="2"/>
  <c r="Q60" i="2"/>
  <c r="R60" i="2"/>
  <c r="Q61" i="2"/>
  <c r="R61" i="2"/>
  <c r="Q62" i="2"/>
  <c r="R62" i="2"/>
  <c r="Q63" i="2"/>
  <c r="R63" i="2"/>
  <c r="Q64" i="2"/>
  <c r="R64" i="2"/>
  <c r="Q65" i="2"/>
  <c r="R65" i="2"/>
  <c r="Q66" i="2"/>
  <c r="R66" i="2"/>
  <c r="Q67" i="2"/>
  <c r="R67" i="2"/>
  <c r="Q68" i="2"/>
  <c r="R68" i="2"/>
  <c r="Q69" i="2"/>
  <c r="R69" i="2"/>
  <c r="Q70" i="2"/>
  <c r="R70" i="2"/>
  <c r="Q71" i="2"/>
  <c r="R71" i="2"/>
  <c r="Q72" i="2"/>
  <c r="R72" i="2"/>
  <c r="Q73" i="2"/>
  <c r="R73" i="2"/>
  <c r="Q74" i="2"/>
  <c r="R74" i="2"/>
  <c r="Q75" i="2"/>
  <c r="R75" i="2"/>
  <c r="Q76" i="2"/>
  <c r="R76" i="2"/>
  <c r="Q77" i="2"/>
  <c r="R77" i="2"/>
  <c r="Q78" i="2"/>
  <c r="R78" i="2"/>
  <c r="Q79" i="2"/>
  <c r="R79" i="2"/>
  <c r="Q80" i="2"/>
  <c r="R80" i="2"/>
  <c r="Q81" i="2"/>
  <c r="R81" i="2"/>
  <c r="Q82" i="2"/>
  <c r="R82" i="2"/>
  <c r="Q83" i="2"/>
  <c r="R83" i="2"/>
  <c r="Q84" i="2"/>
  <c r="R84" i="2"/>
  <c r="Q85" i="2"/>
  <c r="R85" i="2"/>
  <c r="Q86" i="2"/>
  <c r="R86" i="2"/>
  <c r="Q87" i="2"/>
  <c r="R87" i="2"/>
  <c r="Q88" i="2"/>
  <c r="R88" i="2"/>
  <c r="Q89" i="2"/>
  <c r="R89" i="2"/>
  <c r="Q90" i="2"/>
  <c r="R90" i="2"/>
  <c r="Q91" i="2"/>
  <c r="R91" i="2"/>
  <c r="Q92" i="2"/>
  <c r="R92" i="2"/>
  <c r="Q93" i="2"/>
  <c r="R93" i="2"/>
  <c r="Q94" i="2"/>
  <c r="R94" i="2"/>
  <c r="Q95" i="2"/>
  <c r="R95" i="2"/>
  <c r="Q96" i="2"/>
  <c r="R96" i="2"/>
  <c r="Q97" i="2"/>
  <c r="R97" i="2"/>
  <c r="Q98" i="2"/>
  <c r="R98" i="2"/>
  <c r="Q99" i="2"/>
  <c r="R99" i="2"/>
  <c r="Q100" i="2"/>
  <c r="R100" i="2"/>
  <c r="Q101" i="2"/>
  <c r="R101" i="2"/>
  <c r="Q102" i="2"/>
  <c r="R102" i="2"/>
  <c r="Q103" i="2"/>
  <c r="R103" i="2"/>
  <c r="Q104" i="2"/>
  <c r="R104" i="2"/>
  <c r="Q105" i="2"/>
  <c r="R105" i="2"/>
  <c r="Q106" i="2"/>
  <c r="R106" i="2"/>
  <c r="Q107" i="2"/>
  <c r="R107" i="2"/>
  <c r="Q108" i="2"/>
  <c r="R108" i="2"/>
  <c r="Q109" i="2"/>
  <c r="R109" i="2"/>
  <c r="Q110" i="2"/>
  <c r="R110" i="2"/>
  <c r="Q111" i="2"/>
  <c r="R111" i="2"/>
  <c r="Q112" i="2"/>
  <c r="R112" i="2"/>
  <c r="Q113" i="2"/>
  <c r="R113" i="2"/>
  <c r="Q114" i="2"/>
  <c r="R114" i="2"/>
  <c r="Q115" i="2"/>
  <c r="R115" i="2"/>
  <c r="Q116" i="2"/>
  <c r="R116" i="2"/>
  <c r="Q117" i="2"/>
  <c r="R117" i="2"/>
  <c r="Q118" i="2"/>
  <c r="R118" i="2"/>
  <c r="Q119" i="2"/>
  <c r="R119" i="2"/>
  <c r="Q120" i="2"/>
  <c r="R120" i="2"/>
  <c r="Q121" i="2"/>
  <c r="R121" i="2"/>
  <c r="Q122" i="2"/>
  <c r="R122" i="2"/>
  <c r="Q123" i="2"/>
  <c r="R123" i="2"/>
  <c r="Q124" i="2"/>
  <c r="R124" i="2"/>
  <c r="Q125" i="2"/>
  <c r="R125" i="2"/>
  <c r="Q126" i="2"/>
  <c r="R126" i="2"/>
  <c r="Q127" i="2"/>
  <c r="R127" i="2"/>
  <c r="Q128" i="2"/>
  <c r="R128" i="2"/>
  <c r="Q129" i="2"/>
  <c r="R129" i="2"/>
  <c r="Q130" i="2"/>
  <c r="R130" i="2"/>
  <c r="Q131" i="2"/>
  <c r="R131" i="2"/>
  <c r="Q132" i="2"/>
  <c r="R132" i="2"/>
  <c r="Q133" i="2"/>
  <c r="R133" i="2"/>
  <c r="Q134" i="2"/>
  <c r="R134" i="2"/>
  <c r="Q135" i="2"/>
  <c r="R135" i="2"/>
  <c r="Q136" i="2"/>
  <c r="R136" i="2"/>
  <c r="Q137" i="2"/>
  <c r="R137" i="2"/>
  <c r="Q138" i="2"/>
  <c r="R138" i="2"/>
  <c r="Q139" i="2"/>
  <c r="R139" i="2"/>
  <c r="Q140" i="2"/>
  <c r="R140" i="2"/>
  <c r="Q141" i="2"/>
  <c r="R141" i="2"/>
  <c r="Q142" i="2"/>
  <c r="R142" i="2"/>
  <c r="Q143" i="2"/>
  <c r="R143" i="2"/>
  <c r="Q144" i="2"/>
  <c r="R144" i="2"/>
  <c r="Q145" i="2"/>
  <c r="R145" i="2"/>
  <c r="Q146" i="2"/>
  <c r="R146" i="2"/>
  <c r="Q147" i="2"/>
  <c r="R147" i="2"/>
  <c r="Q148" i="2"/>
  <c r="R148" i="2"/>
  <c r="Q149" i="2"/>
  <c r="R149" i="2"/>
  <c r="Q150" i="2"/>
  <c r="R150" i="2"/>
  <c r="Q151" i="2"/>
  <c r="R151" i="2"/>
  <c r="Q152" i="2"/>
  <c r="R152" i="2"/>
  <c r="Q153" i="2"/>
  <c r="R153" i="2"/>
  <c r="Q154" i="2"/>
  <c r="R154" i="2"/>
  <c r="Q155" i="2"/>
  <c r="R155" i="2"/>
  <c r="Q156" i="2"/>
  <c r="R156" i="2"/>
  <c r="Q157" i="2"/>
  <c r="R157" i="2"/>
  <c r="Q158" i="2"/>
  <c r="R158" i="2"/>
  <c r="Q159" i="2"/>
  <c r="R159" i="2"/>
  <c r="Q160" i="2"/>
  <c r="R160" i="2"/>
  <c r="Q161" i="2"/>
  <c r="R161" i="2"/>
  <c r="Q162" i="2"/>
  <c r="R162" i="2"/>
  <c r="Q163" i="2"/>
  <c r="R163" i="2"/>
  <c r="Q164" i="2"/>
  <c r="R164" i="2"/>
  <c r="Q165" i="2"/>
  <c r="R165" i="2"/>
  <c r="Q166" i="2"/>
  <c r="R166" i="2"/>
  <c r="Q167" i="2"/>
  <c r="R167" i="2"/>
  <c r="Q168" i="2"/>
  <c r="R168" i="2"/>
  <c r="Q169" i="2"/>
  <c r="R169" i="2"/>
  <c r="Q170" i="2"/>
  <c r="R170" i="2"/>
  <c r="Q171" i="2"/>
  <c r="R171" i="2"/>
  <c r="Q172" i="2"/>
  <c r="R172" i="2"/>
  <c r="Q173" i="2"/>
  <c r="R173" i="2"/>
  <c r="Q174" i="2"/>
  <c r="R174" i="2"/>
  <c r="Q175" i="2"/>
  <c r="R175" i="2"/>
  <c r="Q176" i="2"/>
  <c r="R176" i="2"/>
  <c r="Q177" i="2"/>
  <c r="R177" i="2"/>
  <c r="Q178" i="2"/>
  <c r="R178" i="2"/>
  <c r="Q179" i="2"/>
  <c r="R179" i="2"/>
  <c r="Q180" i="2"/>
  <c r="R180" i="2"/>
  <c r="Q181" i="2"/>
  <c r="R181" i="2"/>
  <c r="Q182" i="2"/>
  <c r="R182" i="2"/>
  <c r="Q183" i="2"/>
  <c r="R183" i="2"/>
  <c r="Q184" i="2"/>
  <c r="R184" i="2"/>
  <c r="Q185" i="2"/>
  <c r="R185" i="2"/>
  <c r="Q186" i="2"/>
  <c r="R186" i="2"/>
  <c r="Q187" i="2"/>
  <c r="R187" i="2"/>
  <c r="Q188" i="2"/>
  <c r="R188" i="2"/>
  <c r="Q189" i="2"/>
  <c r="R189" i="2"/>
  <c r="Q190" i="2"/>
  <c r="R190" i="2"/>
  <c r="Q191" i="2"/>
  <c r="R191" i="2"/>
  <c r="Q192" i="2"/>
  <c r="R192" i="2"/>
  <c r="Q193" i="2"/>
  <c r="R193" i="2"/>
  <c r="Q194" i="2"/>
  <c r="R194" i="2"/>
  <c r="Q195" i="2"/>
  <c r="R195" i="2"/>
  <c r="Q196" i="2"/>
  <c r="R196" i="2"/>
  <c r="Q197" i="2"/>
  <c r="R197" i="2"/>
  <c r="Q198" i="2"/>
  <c r="R198" i="2"/>
  <c r="Q199" i="2"/>
  <c r="R199" i="2"/>
  <c r="Q200" i="2"/>
  <c r="R200" i="2"/>
  <c r="Q201" i="2"/>
  <c r="R201" i="2"/>
  <c r="Q202" i="2"/>
  <c r="R202" i="2"/>
  <c r="Q203" i="2"/>
  <c r="R203" i="2"/>
  <c r="Q204" i="2"/>
  <c r="R204" i="2"/>
  <c r="Q205" i="2"/>
  <c r="R205" i="2"/>
  <c r="Q206" i="2"/>
  <c r="R206" i="2"/>
  <c r="Q207" i="2"/>
  <c r="R207" i="2"/>
  <c r="Q208" i="2"/>
  <c r="R208" i="2"/>
  <c r="Q209" i="2"/>
  <c r="R209" i="2"/>
  <c r="Q210" i="2"/>
  <c r="R210" i="2"/>
  <c r="Q211" i="2"/>
  <c r="R211" i="2"/>
  <c r="Q212" i="2"/>
  <c r="R212" i="2"/>
  <c r="Q213" i="2"/>
  <c r="R213" i="2"/>
  <c r="Q214" i="2"/>
  <c r="R214" i="2"/>
  <c r="Q215" i="2"/>
  <c r="R215" i="2"/>
  <c r="Q216" i="2"/>
  <c r="R216" i="2"/>
  <c r="Q217" i="2"/>
  <c r="R217" i="2"/>
  <c r="Q218" i="2"/>
  <c r="R218" i="2"/>
  <c r="Q219" i="2"/>
  <c r="R219" i="2"/>
  <c r="Q220" i="2"/>
  <c r="R220" i="2"/>
  <c r="Q221" i="2"/>
  <c r="R221" i="2"/>
  <c r="Q222" i="2"/>
  <c r="R222" i="2"/>
  <c r="Q223" i="2"/>
  <c r="R223" i="2"/>
  <c r="Q224" i="2"/>
  <c r="R224" i="2"/>
  <c r="Q225" i="2"/>
  <c r="R225" i="2"/>
  <c r="Q226" i="2"/>
  <c r="R226" i="2"/>
  <c r="Q227" i="2"/>
  <c r="R227" i="2"/>
  <c r="Q228" i="2"/>
  <c r="R228" i="2"/>
  <c r="Q229" i="2"/>
  <c r="R229" i="2"/>
  <c r="Q230" i="2"/>
  <c r="R230" i="2"/>
  <c r="Q231" i="2"/>
  <c r="R231" i="2"/>
  <c r="Q232" i="2"/>
  <c r="R232" i="2"/>
  <c r="Q233" i="2"/>
  <c r="R233" i="2"/>
  <c r="Q234" i="2"/>
  <c r="R234" i="2"/>
  <c r="Q235" i="2"/>
  <c r="R235" i="2"/>
  <c r="Q236" i="2"/>
  <c r="R236" i="2"/>
  <c r="Q237" i="2"/>
  <c r="R237" i="2"/>
  <c r="Q238" i="2"/>
  <c r="R238" i="2"/>
  <c r="Q239" i="2"/>
  <c r="R239" i="2"/>
  <c r="Q240" i="2"/>
  <c r="R240" i="2"/>
  <c r="Q241" i="2"/>
  <c r="R241" i="2"/>
  <c r="Q242" i="2"/>
  <c r="R242" i="2"/>
  <c r="Q243" i="2"/>
  <c r="R243" i="2"/>
  <c r="Q244" i="2"/>
  <c r="R244" i="2"/>
  <c r="Q245" i="2"/>
  <c r="R245" i="2"/>
  <c r="Q246" i="2"/>
  <c r="R246" i="2"/>
  <c r="Q247" i="2"/>
  <c r="R247" i="2"/>
  <c r="Q248" i="2"/>
  <c r="R248" i="2"/>
  <c r="Q249" i="2"/>
  <c r="R249" i="2"/>
  <c r="Q250" i="2"/>
  <c r="R250" i="2"/>
  <c r="Q251" i="2"/>
  <c r="R251" i="2"/>
  <c r="Q252" i="2"/>
  <c r="R252" i="2"/>
  <c r="Q253" i="2"/>
  <c r="R253" i="2"/>
  <c r="Q254" i="2"/>
  <c r="R254" i="2"/>
  <c r="Q255" i="2"/>
  <c r="R255" i="2"/>
  <c r="Q256" i="2"/>
  <c r="R256" i="2"/>
  <c r="Q257" i="2"/>
  <c r="R257" i="2"/>
  <c r="Q258" i="2"/>
  <c r="R258" i="2"/>
  <c r="Q259" i="2"/>
  <c r="R259" i="2"/>
  <c r="Q260" i="2"/>
  <c r="R260" i="2"/>
  <c r="Q261" i="2"/>
  <c r="R261" i="2"/>
  <c r="Q262" i="2"/>
  <c r="R262" i="2"/>
  <c r="Q263" i="2"/>
  <c r="R263" i="2"/>
  <c r="Q264" i="2"/>
  <c r="R264" i="2"/>
  <c r="Q265" i="2"/>
  <c r="R265" i="2"/>
  <c r="Q266" i="2"/>
  <c r="R266" i="2"/>
  <c r="Q267" i="2"/>
  <c r="R267" i="2"/>
  <c r="Q268" i="2"/>
  <c r="R268" i="2"/>
  <c r="Q269" i="2"/>
  <c r="R269" i="2"/>
  <c r="Q270" i="2"/>
  <c r="R270" i="2"/>
  <c r="Q271" i="2"/>
  <c r="R271" i="2"/>
  <c r="Q272" i="2"/>
  <c r="R272" i="2"/>
  <c r="Q273" i="2"/>
  <c r="R273" i="2"/>
  <c r="Q274" i="2"/>
  <c r="R274" i="2"/>
  <c r="Q275" i="2"/>
  <c r="R275" i="2"/>
  <c r="Q276" i="2"/>
  <c r="R276" i="2"/>
  <c r="Q277" i="2"/>
  <c r="R277" i="2"/>
  <c r="Q278" i="2"/>
  <c r="R278" i="2"/>
  <c r="Q279" i="2"/>
  <c r="R279" i="2"/>
  <c r="Q280" i="2"/>
  <c r="R280" i="2"/>
  <c r="Q281" i="2"/>
  <c r="R281" i="2"/>
  <c r="Q282" i="2"/>
  <c r="R282" i="2"/>
  <c r="Q283" i="2"/>
  <c r="R283" i="2"/>
  <c r="Q284" i="2"/>
  <c r="R284" i="2"/>
  <c r="Q285" i="2"/>
  <c r="R285" i="2"/>
  <c r="Q286" i="2"/>
  <c r="R286" i="2"/>
  <c r="Q287" i="2"/>
  <c r="R287" i="2"/>
  <c r="Q288" i="2"/>
  <c r="R288" i="2"/>
  <c r="Q289" i="2"/>
  <c r="R289" i="2"/>
  <c r="Q290" i="2"/>
  <c r="R290" i="2"/>
  <c r="Q291" i="2"/>
  <c r="R291" i="2"/>
  <c r="Q292" i="2"/>
  <c r="R292" i="2"/>
  <c r="Q293" i="2"/>
  <c r="R293" i="2"/>
  <c r="Q294" i="2"/>
  <c r="R294" i="2"/>
  <c r="Q295" i="2"/>
  <c r="R295" i="2"/>
  <c r="Q296" i="2"/>
  <c r="R296" i="2"/>
  <c r="Q297" i="2"/>
  <c r="R297" i="2"/>
  <c r="Q298" i="2"/>
  <c r="R298" i="2"/>
  <c r="Q299" i="2"/>
  <c r="R299" i="2"/>
  <c r="Q300" i="2"/>
  <c r="R300" i="2"/>
  <c r="Q301" i="2"/>
  <c r="R301" i="2"/>
  <c r="Q302" i="2"/>
  <c r="R302" i="2"/>
  <c r="Q303" i="2"/>
  <c r="R303" i="2"/>
  <c r="Q304" i="2"/>
  <c r="R304" i="2"/>
  <c r="Q305" i="2"/>
  <c r="R305" i="2"/>
  <c r="Q306" i="2"/>
  <c r="R306" i="2"/>
  <c r="Q307" i="2"/>
  <c r="R307" i="2"/>
  <c r="Q308" i="2"/>
  <c r="R308" i="2"/>
  <c r="Q309" i="2"/>
  <c r="R309" i="2"/>
  <c r="Q310" i="2"/>
  <c r="R310" i="2"/>
  <c r="Q311" i="2"/>
  <c r="R311" i="2"/>
  <c r="Q312" i="2"/>
  <c r="R312" i="2"/>
  <c r="Q313" i="2"/>
  <c r="R313" i="2"/>
  <c r="Q314" i="2"/>
  <c r="R314" i="2"/>
  <c r="Q315" i="2"/>
  <c r="R315" i="2"/>
  <c r="Q316" i="2"/>
  <c r="R316" i="2"/>
  <c r="Q317" i="2"/>
  <c r="R317" i="2"/>
  <c r="Q318" i="2"/>
  <c r="R318" i="2"/>
  <c r="Q319" i="2"/>
  <c r="R319" i="2"/>
  <c r="Q320" i="2"/>
  <c r="R320" i="2"/>
  <c r="Q321" i="2"/>
  <c r="R321" i="2"/>
  <c r="Q322" i="2"/>
  <c r="R322" i="2"/>
  <c r="Q323" i="2"/>
  <c r="R323" i="2"/>
  <c r="Q324" i="2"/>
  <c r="R324" i="2"/>
  <c r="Q325" i="2"/>
  <c r="R325" i="2"/>
  <c r="Q326" i="2"/>
  <c r="R326" i="2"/>
  <c r="Q327" i="2"/>
  <c r="R327" i="2"/>
  <c r="Q328" i="2"/>
  <c r="R328" i="2"/>
  <c r="Q329" i="2"/>
  <c r="R329" i="2"/>
  <c r="Q330" i="2"/>
  <c r="R330" i="2"/>
  <c r="Q331" i="2"/>
  <c r="R331" i="2"/>
  <c r="Q332" i="2"/>
  <c r="R332" i="2"/>
  <c r="Q333" i="2"/>
  <c r="R333" i="2"/>
  <c r="Q334" i="2"/>
  <c r="R334" i="2"/>
  <c r="Q335" i="2"/>
  <c r="R335" i="2"/>
  <c r="Q336" i="2"/>
  <c r="R336" i="2"/>
  <c r="Q337" i="2"/>
  <c r="R337" i="2"/>
  <c r="Q338" i="2"/>
  <c r="R338" i="2"/>
  <c r="Q339" i="2"/>
  <c r="R339" i="2"/>
  <c r="Q340" i="2"/>
  <c r="R340" i="2"/>
  <c r="Q341" i="2"/>
  <c r="R341" i="2"/>
  <c r="Q342" i="2"/>
  <c r="R342" i="2"/>
  <c r="Q343" i="2"/>
  <c r="R343" i="2"/>
  <c r="Q344" i="2"/>
  <c r="R344" i="2"/>
  <c r="Q345" i="2"/>
  <c r="R345" i="2"/>
  <c r="Q346" i="2"/>
  <c r="R346" i="2"/>
  <c r="Q347" i="2"/>
  <c r="R347" i="2"/>
  <c r="Q348" i="2"/>
  <c r="R348" i="2"/>
  <c r="Q349" i="2"/>
  <c r="R349" i="2"/>
  <c r="Q350" i="2"/>
  <c r="R350" i="2"/>
  <c r="Q351" i="2"/>
  <c r="R351" i="2"/>
  <c r="Q352" i="2"/>
  <c r="R352" i="2"/>
  <c r="Q353" i="2"/>
  <c r="R353" i="2"/>
  <c r="Q354" i="2"/>
  <c r="R354" i="2"/>
  <c r="Q355" i="2"/>
  <c r="R355" i="2"/>
  <c r="Q356" i="2"/>
  <c r="R356" i="2"/>
  <c r="Q357" i="2"/>
  <c r="R357" i="2"/>
  <c r="Q358" i="2"/>
  <c r="R358" i="2"/>
  <c r="Q359" i="2"/>
  <c r="R359" i="2"/>
  <c r="Q360" i="2"/>
  <c r="R360" i="2"/>
  <c r="Q361" i="2"/>
  <c r="R361" i="2"/>
  <c r="Q362" i="2"/>
  <c r="R362" i="2"/>
  <c r="Q363" i="2"/>
  <c r="R363" i="2"/>
  <c r="Q364" i="2"/>
  <c r="R364" i="2"/>
  <c r="Q365" i="2"/>
  <c r="R365" i="2"/>
  <c r="Q366" i="2"/>
  <c r="R366" i="2"/>
  <c r="Q367" i="2"/>
  <c r="R367" i="2"/>
  <c r="Q368" i="2"/>
  <c r="R368" i="2"/>
  <c r="Q369" i="2"/>
  <c r="R369" i="2"/>
  <c r="Q370" i="2"/>
  <c r="R370" i="2"/>
  <c r="Q371" i="2"/>
  <c r="R371" i="2"/>
  <c r="Q372" i="2"/>
  <c r="R372" i="2"/>
  <c r="Q373" i="2"/>
  <c r="R373" i="2"/>
  <c r="Q374" i="2"/>
  <c r="R374" i="2"/>
  <c r="Q375" i="2"/>
  <c r="R375" i="2"/>
  <c r="Q376" i="2"/>
  <c r="R376" i="2"/>
  <c r="Q377" i="2"/>
  <c r="R377" i="2"/>
  <c r="Q378" i="2"/>
  <c r="R378" i="2"/>
  <c r="Q379" i="2"/>
  <c r="R379" i="2"/>
  <c r="Q380" i="2"/>
  <c r="R380" i="2"/>
  <c r="Q381" i="2"/>
  <c r="R381" i="2"/>
  <c r="Q382" i="2"/>
  <c r="R382" i="2"/>
  <c r="Q383" i="2"/>
  <c r="R383" i="2"/>
  <c r="Q384" i="2"/>
  <c r="R384" i="2"/>
  <c r="Q385" i="2"/>
  <c r="R385" i="2"/>
  <c r="Q386" i="2"/>
  <c r="R386" i="2"/>
  <c r="Q387" i="2"/>
  <c r="R387" i="2"/>
  <c r="Q388" i="2"/>
  <c r="R388" i="2"/>
  <c r="Q389" i="2"/>
  <c r="R389" i="2"/>
  <c r="Q390" i="2"/>
  <c r="R390" i="2"/>
  <c r="Q391" i="2"/>
  <c r="R391" i="2"/>
  <c r="Q392" i="2"/>
  <c r="R392" i="2"/>
  <c r="Q393" i="2"/>
  <c r="R393" i="2"/>
  <c r="Q394" i="2"/>
  <c r="R394" i="2"/>
  <c r="Q395" i="2"/>
  <c r="R395" i="2"/>
  <c r="Q396" i="2"/>
  <c r="R396" i="2"/>
  <c r="Q397" i="2"/>
  <c r="R397" i="2"/>
  <c r="Q398" i="2"/>
  <c r="R398" i="2"/>
  <c r="Q399" i="2"/>
  <c r="R399" i="2"/>
  <c r="Q400" i="2"/>
  <c r="R400" i="2"/>
  <c r="Q401" i="2"/>
  <c r="R401" i="2"/>
  <c r="Q402" i="2"/>
  <c r="R402" i="2"/>
  <c r="Q403" i="2"/>
  <c r="R403" i="2"/>
  <c r="Q404" i="2"/>
  <c r="R404" i="2"/>
  <c r="Q405" i="2"/>
  <c r="R405" i="2"/>
  <c r="Q406" i="2"/>
  <c r="R406" i="2"/>
  <c r="Q407" i="2"/>
  <c r="R407" i="2"/>
  <c r="Q408" i="2"/>
  <c r="R408" i="2"/>
  <c r="Q409" i="2"/>
  <c r="R409" i="2"/>
  <c r="Q410" i="2"/>
  <c r="R410" i="2"/>
  <c r="Q411" i="2"/>
  <c r="R411" i="2"/>
  <c r="Q412" i="2"/>
  <c r="R412" i="2"/>
  <c r="Q413" i="2"/>
  <c r="R413" i="2"/>
  <c r="Q414" i="2"/>
  <c r="R414" i="2"/>
  <c r="Q415" i="2"/>
  <c r="R415" i="2"/>
  <c r="Q416" i="2"/>
  <c r="R416" i="2"/>
  <c r="Q417" i="2"/>
  <c r="R417" i="2"/>
  <c r="Q418" i="2"/>
  <c r="R418" i="2"/>
  <c r="Q419" i="2"/>
  <c r="R419" i="2"/>
  <c r="Q420" i="2"/>
  <c r="R420" i="2"/>
  <c r="Q421" i="2"/>
  <c r="R421" i="2"/>
  <c r="Q422" i="2"/>
  <c r="R422" i="2"/>
  <c r="Q423" i="2"/>
  <c r="R423" i="2"/>
  <c r="Q424" i="2"/>
  <c r="R424" i="2"/>
  <c r="Q425" i="2"/>
  <c r="R425" i="2"/>
  <c r="Q426" i="2"/>
  <c r="R426" i="2"/>
  <c r="Q427" i="2"/>
  <c r="R427" i="2"/>
  <c r="Q428" i="2"/>
  <c r="R428" i="2"/>
  <c r="Q429" i="2"/>
  <c r="R429" i="2"/>
  <c r="Q430" i="2"/>
  <c r="R430" i="2"/>
  <c r="Q431" i="2"/>
  <c r="R431" i="2"/>
  <c r="Q432" i="2"/>
  <c r="R432" i="2"/>
  <c r="Q433" i="2"/>
  <c r="R433" i="2"/>
  <c r="Q434" i="2"/>
  <c r="R434" i="2"/>
  <c r="Q435" i="2"/>
  <c r="R435" i="2"/>
  <c r="Q436" i="2"/>
  <c r="R436" i="2"/>
  <c r="Q437" i="2"/>
  <c r="R437" i="2"/>
  <c r="Q438" i="2"/>
  <c r="R438" i="2"/>
  <c r="Q439" i="2"/>
  <c r="R439" i="2"/>
  <c r="Q440" i="2"/>
  <c r="R440" i="2"/>
  <c r="Q441" i="2"/>
  <c r="R441" i="2"/>
  <c r="Q442" i="2"/>
  <c r="R442" i="2"/>
  <c r="Q443" i="2"/>
  <c r="R443" i="2"/>
  <c r="Q444" i="2"/>
  <c r="R444" i="2"/>
  <c r="Q445" i="2"/>
  <c r="R445" i="2"/>
  <c r="Q446" i="2"/>
  <c r="R446" i="2"/>
  <c r="Q447" i="2"/>
  <c r="R447" i="2"/>
  <c r="Q448" i="2"/>
  <c r="R448" i="2"/>
  <c r="Q449" i="2"/>
  <c r="R449" i="2"/>
  <c r="Q450" i="2"/>
  <c r="R450" i="2"/>
  <c r="Q451" i="2"/>
  <c r="R451" i="2"/>
  <c r="Q452" i="2"/>
  <c r="R452" i="2"/>
  <c r="Q453" i="2"/>
  <c r="R453" i="2"/>
  <c r="Q454" i="2"/>
  <c r="R454" i="2"/>
  <c r="Q455" i="2"/>
  <c r="R455" i="2"/>
  <c r="Q456" i="2"/>
  <c r="R456" i="2"/>
  <c r="Q457" i="2"/>
  <c r="R457" i="2"/>
  <c r="Q458" i="2"/>
  <c r="R458" i="2"/>
  <c r="Q459" i="2"/>
  <c r="R459" i="2"/>
  <c r="Q460" i="2"/>
  <c r="R460" i="2"/>
  <c r="Q461" i="2"/>
  <c r="R461" i="2"/>
  <c r="Q462" i="2"/>
  <c r="R462" i="2"/>
  <c r="Q463" i="2"/>
  <c r="R463" i="2"/>
  <c r="Q464" i="2"/>
  <c r="R464" i="2"/>
  <c r="Q465" i="2"/>
  <c r="R465" i="2"/>
  <c r="Q466" i="2"/>
  <c r="R466" i="2"/>
  <c r="Q467" i="2"/>
  <c r="R467" i="2"/>
  <c r="Q468" i="2"/>
  <c r="R468" i="2"/>
  <c r="Q469" i="2"/>
  <c r="R469" i="2"/>
  <c r="Q470" i="2"/>
  <c r="R470" i="2"/>
  <c r="Q471" i="2"/>
  <c r="R471" i="2"/>
  <c r="Q472" i="2"/>
  <c r="R472" i="2"/>
  <c r="Q473" i="2"/>
  <c r="R473" i="2"/>
  <c r="Q474" i="2"/>
  <c r="R474" i="2"/>
  <c r="Q475" i="2"/>
  <c r="R475" i="2"/>
  <c r="Q476" i="2"/>
  <c r="R476" i="2"/>
  <c r="Q477" i="2"/>
  <c r="R477" i="2"/>
  <c r="Q478" i="2"/>
  <c r="R478" i="2"/>
  <c r="Q479" i="2"/>
  <c r="R479" i="2"/>
  <c r="Q480" i="2"/>
  <c r="R480" i="2"/>
  <c r="Q481" i="2"/>
  <c r="R481" i="2"/>
  <c r="Q482" i="2"/>
  <c r="R482" i="2"/>
  <c r="Q483" i="2"/>
  <c r="R483" i="2"/>
  <c r="Q484" i="2"/>
  <c r="R484" i="2"/>
  <c r="Q485" i="2"/>
  <c r="R485" i="2"/>
  <c r="Q486" i="2"/>
  <c r="R486" i="2"/>
  <c r="Q487" i="2"/>
  <c r="R487" i="2"/>
  <c r="Q488" i="2"/>
  <c r="R488" i="2"/>
  <c r="Q489" i="2"/>
  <c r="R489" i="2"/>
  <c r="Q490" i="2"/>
  <c r="R490" i="2"/>
  <c r="Q491" i="2"/>
  <c r="R491" i="2"/>
  <c r="Q492" i="2"/>
  <c r="R492" i="2"/>
  <c r="Q493" i="2"/>
  <c r="R493" i="2"/>
  <c r="Q494" i="2"/>
  <c r="R494" i="2"/>
  <c r="Q495" i="2"/>
  <c r="R495" i="2"/>
  <c r="Q496" i="2"/>
  <c r="R496" i="2"/>
  <c r="Q497" i="2"/>
  <c r="R497" i="2"/>
  <c r="Q498" i="2"/>
  <c r="R498" i="2"/>
  <c r="Q499" i="2"/>
  <c r="R499" i="2"/>
  <c r="Q500" i="2"/>
  <c r="R500" i="2"/>
  <c r="Q501" i="2"/>
  <c r="R501" i="2"/>
  <c r="Q502" i="2"/>
  <c r="R502" i="2"/>
  <c r="Q503" i="2"/>
  <c r="R503" i="2"/>
  <c r="Q504" i="2"/>
  <c r="R504" i="2"/>
  <c r="Q505" i="2"/>
  <c r="R505" i="2"/>
  <c r="Q506" i="2"/>
  <c r="R506" i="2"/>
  <c r="Q507" i="2"/>
  <c r="R507" i="2"/>
  <c r="Q508" i="2"/>
  <c r="R508" i="2"/>
  <c r="Q509" i="2"/>
  <c r="R509" i="2"/>
  <c r="Q510" i="2"/>
  <c r="R510" i="2"/>
  <c r="Q511" i="2"/>
  <c r="R511" i="2"/>
  <c r="Q512" i="2"/>
  <c r="R512" i="2"/>
  <c r="Q513" i="2"/>
  <c r="R513" i="2"/>
  <c r="Q514" i="2"/>
  <c r="R514" i="2"/>
  <c r="Q515" i="2"/>
  <c r="R515" i="2"/>
  <c r="Q516" i="2"/>
  <c r="R516" i="2"/>
  <c r="Q517" i="2"/>
  <c r="R517" i="2"/>
  <c r="Q518" i="2"/>
  <c r="R518" i="2"/>
  <c r="Q519" i="2"/>
  <c r="R519" i="2"/>
  <c r="Q520" i="2"/>
  <c r="R520" i="2"/>
  <c r="Q521" i="2"/>
  <c r="R521" i="2"/>
  <c r="Q522" i="2"/>
  <c r="R522" i="2"/>
  <c r="Q523" i="2"/>
  <c r="R523" i="2"/>
  <c r="Q524" i="2"/>
  <c r="R524" i="2"/>
  <c r="Q525" i="2"/>
  <c r="R525" i="2"/>
  <c r="Q526" i="2"/>
  <c r="R526" i="2"/>
  <c r="Q527" i="2"/>
  <c r="R527" i="2"/>
  <c r="Q528" i="2"/>
  <c r="R528" i="2"/>
  <c r="Q529" i="2"/>
  <c r="R529" i="2"/>
  <c r="Q530" i="2"/>
  <c r="R530" i="2"/>
  <c r="Q531" i="2"/>
  <c r="R531" i="2"/>
  <c r="Q532" i="2"/>
  <c r="R532" i="2"/>
  <c r="Q533" i="2"/>
  <c r="R533" i="2"/>
  <c r="Q534" i="2"/>
  <c r="R534" i="2"/>
  <c r="Q535" i="2"/>
  <c r="R535" i="2"/>
  <c r="Q536" i="2"/>
  <c r="R536" i="2"/>
  <c r="Q537" i="2"/>
  <c r="R537" i="2"/>
  <c r="Q538" i="2"/>
  <c r="R538" i="2"/>
  <c r="Q539" i="2"/>
  <c r="R539" i="2"/>
  <c r="Q540" i="2"/>
  <c r="R540" i="2"/>
  <c r="Q541" i="2"/>
  <c r="R541" i="2"/>
  <c r="Q542" i="2"/>
  <c r="R542" i="2"/>
  <c r="Q543" i="2"/>
  <c r="R543" i="2"/>
  <c r="Q544" i="2"/>
  <c r="R544" i="2"/>
  <c r="Q545" i="2"/>
  <c r="R545" i="2"/>
  <c r="Q546" i="2"/>
  <c r="R546" i="2"/>
  <c r="Q547" i="2"/>
  <c r="R547" i="2"/>
  <c r="Q548" i="2"/>
  <c r="R548" i="2"/>
  <c r="Q549" i="2"/>
  <c r="R549" i="2"/>
  <c r="Q550" i="2"/>
  <c r="R550" i="2"/>
  <c r="Q551" i="2"/>
  <c r="R551" i="2"/>
  <c r="Q552" i="2"/>
  <c r="R552" i="2"/>
  <c r="Q553" i="2"/>
  <c r="R553" i="2"/>
  <c r="Q554" i="2"/>
  <c r="R554" i="2"/>
  <c r="Q555" i="2"/>
  <c r="R555" i="2"/>
  <c r="Q556" i="2"/>
  <c r="R556" i="2"/>
  <c r="Q557" i="2"/>
  <c r="R557" i="2"/>
  <c r="Q558" i="2"/>
  <c r="R558" i="2"/>
  <c r="Q559" i="2"/>
  <c r="R559" i="2"/>
  <c r="Q560" i="2"/>
  <c r="R560" i="2"/>
  <c r="Q561" i="2"/>
  <c r="R561" i="2"/>
  <c r="Q562" i="2"/>
  <c r="R562" i="2"/>
  <c r="Q563" i="2"/>
  <c r="R563" i="2"/>
  <c r="Q564" i="2"/>
  <c r="R564" i="2"/>
  <c r="Q565" i="2"/>
  <c r="R565" i="2"/>
  <c r="Q566" i="2"/>
  <c r="R566" i="2"/>
  <c r="Q567" i="2"/>
  <c r="R567" i="2"/>
  <c r="Q568" i="2"/>
  <c r="R568" i="2"/>
  <c r="Q569" i="2"/>
  <c r="R569" i="2"/>
  <c r="Q570" i="2"/>
  <c r="R570" i="2"/>
  <c r="Q571" i="2"/>
  <c r="R571" i="2"/>
  <c r="Q572" i="2"/>
  <c r="R572" i="2"/>
  <c r="Q573" i="2"/>
  <c r="R573" i="2"/>
  <c r="Q574" i="2"/>
  <c r="R574" i="2"/>
  <c r="Q575" i="2"/>
  <c r="R575" i="2"/>
  <c r="Q576" i="2"/>
  <c r="R576" i="2"/>
  <c r="Q577" i="2"/>
  <c r="R577" i="2"/>
  <c r="Q578" i="2"/>
  <c r="R578" i="2"/>
  <c r="Q579" i="2"/>
  <c r="R579" i="2"/>
  <c r="Q580" i="2"/>
  <c r="R580" i="2"/>
  <c r="Q581" i="2"/>
  <c r="R581" i="2"/>
  <c r="Q582" i="2"/>
  <c r="R582" i="2"/>
  <c r="Q583" i="2"/>
  <c r="R583" i="2"/>
  <c r="Q584" i="2"/>
  <c r="R584" i="2"/>
  <c r="Q585" i="2"/>
  <c r="R585" i="2"/>
  <c r="Q586" i="2"/>
  <c r="R586" i="2"/>
  <c r="Q587" i="2"/>
  <c r="R587" i="2"/>
  <c r="Q588" i="2"/>
  <c r="R588" i="2"/>
  <c r="Q589" i="2"/>
  <c r="R589" i="2"/>
  <c r="Q590" i="2"/>
  <c r="R590" i="2"/>
  <c r="Q591" i="2"/>
  <c r="R591" i="2"/>
  <c r="Q592" i="2"/>
  <c r="R592" i="2"/>
  <c r="Q593" i="2"/>
  <c r="R593" i="2"/>
  <c r="Q594" i="2"/>
  <c r="R594" i="2"/>
  <c r="Q595" i="2"/>
  <c r="R595" i="2"/>
  <c r="Q596" i="2"/>
  <c r="R596" i="2"/>
  <c r="Q597" i="2"/>
  <c r="R597" i="2"/>
  <c r="Q598" i="2"/>
  <c r="R598" i="2"/>
  <c r="Q599" i="2"/>
  <c r="R599" i="2"/>
  <c r="Q600" i="2"/>
  <c r="R600" i="2"/>
  <c r="Q601" i="2"/>
  <c r="R601" i="2"/>
  <c r="Q602" i="2"/>
  <c r="R602" i="2"/>
  <c r="Q603" i="2"/>
  <c r="R603" i="2"/>
  <c r="Q604" i="2"/>
  <c r="R604" i="2"/>
  <c r="Q605" i="2"/>
  <c r="R605" i="2"/>
  <c r="Q606" i="2"/>
  <c r="R606" i="2"/>
  <c r="Q607" i="2"/>
  <c r="R607" i="2"/>
  <c r="Q608" i="2"/>
  <c r="R608" i="2"/>
  <c r="Q609" i="2"/>
  <c r="R609" i="2"/>
  <c r="Q610" i="2"/>
  <c r="R610" i="2"/>
  <c r="Q611" i="2"/>
  <c r="R611" i="2"/>
  <c r="Q612" i="2"/>
  <c r="R612" i="2"/>
  <c r="Q613" i="2"/>
  <c r="R613" i="2"/>
  <c r="Q614" i="2"/>
  <c r="R614" i="2"/>
  <c r="Q615" i="2"/>
  <c r="R615" i="2"/>
  <c r="Q616" i="2"/>
  <c r="R616" i="2"/>
  <c r="Q617" i="2"/>
  <c r="R617" i="2"/>
  <c r="Q618" i="2"/>
  <c r="R618" i="2"/>
  <c r="Q619" i="2"/>
  <c r="R619" i="2"/>
  <c r="Q620" i="2"/>
  <c r="R620" i="2"/>
  <c r="Q621" i="2"/>
  <c r="R621" i="2"/>
  <c r="Q622" i="2"/>
  <c r="R622" i="2"/>
  <c r="Q623" i="2"/>
  <c r="R623" i="2"/>
  <c r="Q624" i="2"/>
  <c r="R624" i="2"/>
  <c r="Q625" i="2"/>
  <c r="R625" i="2"/>
  <c r="Q626" i="2"/>
  <c r="R626" i="2"/>
  <c r="Q627" i="2"/>
  <c r="R627" i="2"/>
  <c r="Q628" i="2"/>
  <c r="R628" i="2"/>
  <c r="Q629" i="2"/>
  <c r="R629" i="2"/>
  <c r="Q630" i="2"/>
  <c r="R630" i="2"/>
  <c r="Q631" i="2"/>
  <c r="R631" i="2"/>
  <c r="Q632" i="2"/>
  <c r="R632" i="2"/>
  <c r="Q633" i="2"/>
  <c r="R633" i="2"/>
  <c r="Q634" i="2"/>
  <c r="R634" i="2"/>
  <c r="Q635" i="2"/>
  <c r="R635" i="2"/>
  <c r="Q636" i="2"/>
  <c r="R636" i="2"/>
  <c r="Q637" i="2"/>
  <c r="R637" i="2"/>
  <c r="Q638" i="2"/>
  <c r="R638" i="2"/>
  <c r="Q639" i="2"/>
  <c r="R639" i="2"/>
  <c r="Q640" i="2"/>
  <c r="R640" i="2"/>
  <c r="Q641" i="2"/>
  <c r="R641" i="2"/>
  <c r="Q642" i="2"/>
  <c r="R642" i="2"/>
  <c r="Q643" i="2"/>
  <c r="R643" i="2"/>
  <c r="Q644" i="2"/>
  <c r="R644" i="2"/>
  <c r="Q645" i="2"/>
  <c r="R645" i="2"/>
  <c r="Q646" i="2"/>
  <c r="R646" i="2"/>
  <c r="Q647" i="2"/>
  <c r="R647" i="2"/>
  <c r="Q648" i="2"/>
  <c r="R648" i="2"/>
  <c r="Q649" i="2"/>
  <c r="R649" i="2"/>
  <c r="Q650" i="2"/>
  <c r="R650" i="2"/>
  <c r="Q651" i="2"/>
  <c r="R651" i="2"/>
  <c r="Q652" i="2"/>
  <c r="R652" i="2"/>
  <c r="Q653" i="2"/>
  <c r="R653" i="2"/>
  <c r="Q654" i="2"/>
  <c r="R654" i="2"/>
  <c r="Q655" i="2"/>
  <c r="R655" i="2"/>
  <c r="Q656" i="2"/>
  <c r="R656" i="2"/>
  <c r="Q657" i="2"/>
  <c r="R657" i="2"/>
  <c r="Q658" i="2"/>
  <c r="R658" i="2"/>
  <c r="Q659" i="2"/>
  <c r="R659" i="2"/>
  <c r="Q660" i="2"/>
  <c r="R660" i="2"/>
  <c r="Q661" i="2"/>
  <c r="R661" i="2"/>
  <c r="Q662" i="2"/>
  <c r="R662" i="2"/>
  <c r="Q663" i="2"/>
  <c r="R663" i="2"/>
  <c r="Q664" i="2"/>
  <c r="R664" i="2"/>
  <c r="Q665" i="2"/>
  <c r="R665" i="2"/>
  <c r="Q666" i="2"/>
  <c r="R666" i="2"/>
  <c r="Q667" i="2"/>
  <c r="R667" i="2"/>
  <c r="Q668" i="2"/>
  <c r="R668" i="2"/>
  <c r="Q669" i="2"/>
  <c r="R669" i="2"/>
  <c r="Q670" i="2"/>
  <c r="R670" i="2"/>
  <c r="Q671" i="2"/>
  <c r="R671" i="2"/>
  <c r="Q672" i="2"/>
  <c r="R672" i="2"/>
  <c r="Q673" i="2"/>
  <c r="R673" i="2"/>
  <c r="Q674" i="2"/>
  <c r="R674" i="2"/>
  <c r="Q675" i="2"/>
  <c r="R675" i="2"/>
  <c r="Q676" i="2"/>
  <c r="R676" i="2"/>
  <c r="Q677" i="2"/>
  <c r="R677" i="2"/>
  <c r="Q678" i="2"/>
  <c r="R678" i="2"/>
  <c r="Q679" i="2"/>
  <c r="R679" i="2"/>
  <c r="Q680" i="2"/>
  <c r="R680" i="2"/>
  <c r="Q681" i="2"/>
  <c r="R681" i="2"/>
  <c r="Q682" i="2"/>
  <c r="R682" i="2"/>
  <c r="Q683" i="2"/>
  <c r="R683" i="2"/>
  <c r="Q684" i="2"/>
  <c r="R684" i="2"/>
  <c r="Q685" i="2"/>
  <c r="R685" i="2"/>
  <c r="Q686" i="2"/>
  <c r="R686" i="2"/>
  <c r="Q687" i="2"/>
  <c r="R687" i="2"/>
  <c r="Q688" i="2"/>
  <c r="R688" i="2"/>
  <c r="Q689" i="2"/>
  <c r="R689" i="2"/>
  <c r="Q690" i="2"/>
  <c r="R690" i="2"/>
  <c r="Q691" i="2"/>
  <c r="R691" i="2"/>
  <c r="Q692" i="2"/>
  <c r="R692" i="2"/>
  <c r="Q693" i="2"/>
  <c r="R693" i="2"/>
  <c r="Q694" i="2"/>
  <c r="R694" i="2"/>
  <c r="Q695" i="2"/>
  <c r="R695" i="2"/>
  <c r="Q696" i="2"/>
  <c r="R696" i="2"/>
  <c r="Q697" i="2"/>
  <c r="R697" i="2"/>
  <c r="Q698" i="2"/>
  <c r="R698" i="2"/>
  <c r="Q699" i="2"/>
  <c r="R699" i="2"/>
  <c r="Q700" i="2"/>
  <c r="R700" i="2"/>
  <c r="Q701" i="2"/>
  <c r="R701" i="2"/>
  <c r="Q702" i="2"/>
  <c r="R702" i="2"/>
  <c r="Q703" i="2"/>
  <c r="R703" i="2"/>
  <c r="Q704" i="2"/>
  <c r="R704" i="2"/>
  <c r="Q705" i="2"/>
  <c r="R705" i="2"/>
  <c r="Q706" i="2"/>
  <c r="R706" i="2"/>
  <c r="Q707" i="2"/>
  <c r="R707" i="2"/>
  <c r="Q708" i="2"/>
  <c r="R708" i="2"/>
  <c r="Q709" i="2"/>
  <c r="R709" i="2"/>
  <c r="Q710" i="2"/>
  <c r="R710" i="2"/>
  <c r="Q711" i="2"/>
  <c r="R711" i="2"/>
  <c r="Q712" i="2"/>
  <c r="R712" i="2"/>
  <c r="Q713" i="2"/>
  <c r="R713" i="2"/>
  <c r="Q714" i="2"/>
  <c r="R714" i="2"/>
  <c r="Q715" i="2"/>
  <c r="R715" i="2"/>
  <c r="Q716" i="2"/>
  <c r="R716" i="2"/>
  <c r="Q717" i="2"/>
  <c r="R717" i="2"/>
  <c r="Q718" i="2"/>
  <c r="R718" i="2"/>
  <c r="Q719" i="2"/>
  <c r="R719" i="2"/>
  <c r="Q720" i="2"/>
  <c r="R720" i="2"/>
  <c r="Q721" i="2"/>
  <c r="R721" i="2"/>
  <c r="Q722" i="2"/>
  <c r="R722" i="2"/>
  <c r="Q723" i="2"/>
  <c r="R723" i="2"/>
  <c r="Q724" i="2"/>
  <c r="R724" i="2"/>
  <c r="Q725" i="2"/>
  <c r="R725" i="2"/>
  <c r="Q726" i="2"/>
  <c r="R726" i="2"/>
  <c r="Q727" i="2"/>
  <c r="R727" i="2"/>
  <c r="Q728" i="2"/>
  <c r="R728" i="2"/>
  <c r="Q729" i="2"/>
  <c r="R729" i="2"/>
  <c r="Q730" i="2"/>
  <c r="R730" i="2"/>
  <c r="Q731" i="2"/>
  <c r="R731" i="2"/>
  <c r="Q732" i="2"/>
  <c r="R732" i="2"/>
  <c r="Q733" i="2"/>
  <c r="R733" i="2"/>
  <c r="Q734" i="2"/>
  <c r="R734" i="2"/>
  <c r="Q735" i="2"/>
  <c r="R735" i="2"/>
  <c r="Q736" i="2"/>
  <c r="R736" i="2"/>
  <c r="Q737" i="2"/>
  <c r="R737" i="2"/>
  <c r="Q738" i="2"/>
  <c r="R738" i="2"/>
  <c r="Q739" i="2"/>
  <c r="R739" i="2"/>
  <c r="Q740" i="2"/>
  <c r="R740" i="2"/>
  <c r="Q741" i="2"/>
  <c r="R741" i="2"/>
  <c r="Q742" i="2"/>
  <c r="R742" i="2"/>
  <c r="Q743" i="2"/>
  <c r="R743" i="2"/>
  <c r="Q744" i="2"/>
  <c r="R744" i="2"/>
  <c r="Q745" i="2"/>
  <c r="R745" i="2"/>
  <c r="Q746" i="2"/>
  <c r="R746" i="2"/>
  <c r="Q747" i="2"/>
  <c r="R747" i="2"/>
  <c r="Q748" i="2"/>
  <c r="R748" i="2"/>
  <c r="Q749" i="2"/>
  <c r="R749" i="2"/>
  <c r="Q750" i="2"/>
  <c r="R750" i="2"/>
  <c r="Q751" i="2"/>
  <c r="R751" i="2"/>
  <c r="Q752" i="2"/>
  <c r="R752" i="2"/>
  <c r="Q753" i="2"/>
  <c r="R753" i="2"/>
  <c r="Q754" i="2"/>
  <c r="R754" i="2"/>
  <c r="Q755" i="2"/>
  <c r="R755" i="2"/>
  <c r="Q756" i="2"/>
  <c r="R756" i="2"/>
  <c r="Q757" i="2"/>
  <c r="R757" i="2"/>
  <c r="Q758" i="2"/>
  <c r="R758" i="2"/>
  <c r="Q759" i="2"/>
  <c r="R759" i="2"/>
  <c r="Q760" i="2"/>
  <c r="R760" i="2"/>
  <c r="Q761" i="2"/>
  <c r="R761" i="2"/>
  <c r="Q762" i="2"/>
  <c r="R762" i="2"/>
  <c r="Q763" i="2"/>
  <c r="R763" i="2"/>
  <c r="Q764" i="2"/>
  <c r="R764" i="2"/>
  <c r="Q765" i="2"/>
  <c r="R765" i="2"/>
  <c r="Q766" i="2"/>
  <c r="R766" i="2"/>
  <c r="Q767" i="2"/>
  <c r="R767" i="2"/>
  <c r="Q768" i="2"/>
  <c r="R768" i="2"/>
  <c r="Q769" i="2"/>
  <c r="R769" i="2"/>
  <c r="Q770" i="2"/>
  <c r="R770" i="2"/>
  <c r="Q771" i="2"/>
  <c r="R771" i="2"/>
  <c r="Q772" i="2"/>
  <c r="R772" i="2"/>
  <c r="Q773" i="2"/>
  <c r="R773" i="2"/>
  <c r="Q774" i="2"/>
  <c r="R774" i="2"/>
  <c r="Q775" i="2"/>
  <c r="R775" i="2"/>
  <c r="Q776" i="2"/>
  <c r="R776" i="2"/>
  <c r="Q777" i="2"/>
  <c r="R777" i="2"/>
  <c r="Q778" i="2"/>
  <c r="R778" i="2"/>
  <c r="Q779" i="2"/>
  <c r="R779" i="2"/>
  <c r="Q780" i="2"/>
  <c r="R780" i="2"/>
  <c r="Q781" i="2"/>
  <c r="R781" i="2"/>
  <c r="Q782" i="2"/>
  <c r="R782" i="2"/>
  <c r="Q783" i="2"/>
  <c r="R783" i="2"/>
  <c r="Q784" i="2"/>
  <c r="R784" i="2"/>
  <c r="Q785" i="2"/>
  <c r="R785" i="2"/>
  <c r="Q786" i="2"/>
  <c r="R786" i="2"/>
  <c r="Q787" i="2"/>
  <c r="R787" i="2"/>
  <c r="Q788" i="2"/>
  <c r="R788" i="2"/>
  <c r="Q789" i="2"/>
  <c r="R789" i="2"/>
  <c r="Q790" i="2"/>
  <c r="R790" i="2"/>
  <c r="Q791" i="2"/>
  <c r="R791" i="2"/>
  <c r="Q792" i="2"/>
  <c r="R792" i="2"/>
  <c r="Q793" i="2"/>
  <c r="R793" i="2"/>
  <c r="Q794" i="2"/>
  <c r="R794" i="2"/>
  <c r="Q795" i="2"/>
  <c r="R795" i="2"/>
  <c r="Q796" i="2"/>
  <c r="R796" i="2"/>
  <c r="Q797" i="2"/>
  <c r="R797" i="2"/>
  <c r="Q798" i="2"/>
  <c r="R798" i="2"/>
  <c r="Q799" i="2"/>
  <c r="R799" i="2"/>
  <c r="Q800" i="2"/>
  <c r="R800" i="2"/>
  <c r="Q801" i="2"/>
  <c r="R801" i="2"/>
  <c r="Q802" i="2"/>
  <c r="R802" i="2"/>
  <c r="Q803" i="2"/>
  <c r="R803" i="2"/>
  <c r="Q804" i="2"/>
  <c r="R804" i="2"/>
  <c r="Q805" i="2"/>
  <c r="R805" i="2"/>
  <c r="Q806" i="2"/>
  <c r="R806" i="2"/>
  <c r="Q807" i="2"/>
  <c r="R807" i="2"/>
  <c r="Q808" i="2"/>
  <c r="R808" i="2"/>
  <c r="Q809" i="2"/>
  <c r="R809" i="2"/>
  <c r="Q810" i="2"/>
  <c r="R810" i="2"/>
  <c r="Q811" i="2"/>
  <c r="R811" i="2"/>
  <c r="Q812" i="2"/>
  <c r="R812" i="2"/>
  <c r="Q813" i="2"/>
  <c r="R813" i="2"/>
  <c r="Q814" i="2"/>
  <c r="R814" i="2"/>
  <c r="Q815" i="2"/>
  <c r="R815" i="2"/>
  <c r="Q816" i="2"/>
  <c r="R816" i="2"/>
  <c r="Q817" i="2"/>
  <c r="R817" i="2"/>
  <c r="Q818" i="2"/>
  <c r="R818" i="2"/>
  <c r="Q819" i="2"/>
  <c r="R819" i="2"/>
  <c r="Q820" i="2"/>
  <c r="R820" i="2"/>
  <c r="Q821" i="2"/>
  <c r="R821" i="2"/>
  <c r="Q822" i="2"/>
  <c r="R822" i="2"/>
  <c r="Q823" i="2"/>
  <c r="R823" i="2"/>
  <c r="Q824" i="2"/>
  <c r="R824" i="2"/>
  <c r="Q825" i="2"/>
  <c r="R825" i="2"/>
  <c r="Q826" i="2"/>
  <c r="R826" i="2"/>
  <c r="Q827" i="2"/>
  <c r="R827" i="2"/>
  <c r="Q828" i="2"/>
  <c r="R828" i="2"/>
  <c r="Q829" i="2"/>
  <c r="R829" i="2"/>
  <c r="Q830" i="2"/>
  <c r="R830" i="2"/>
  <c r="Q831" i="2"/>
  <c r="R831" i="2"/>
  <c r="Q832" i="2"/>
  <c r="R832" i="2"/>
  <c r="Q833" i="2"/>
  <c r="R833" i="2"/>
  <c r="Q834" i="2"/>
  <c r="R834" i="2"/>
  <c r="Q835" i="2"/>
  <c r="R835" i="2"/>
  <c r="Q836" i="2"/>
  <c r="R836" i="2"/>
  <c r="Q837" i="2"/>
  <c r="R837" i="2"/>
  <c r="Q838" i="2"/>
  <c r="R838" i="2"/>
  <c r="Q839" i="2"/>
  <c r="R839" i="2"/>
  <c r="Q840" i="2"/>
  <c r="R840" i="2"/>
  <c r="Q841" i="2"/>
  <c r="R841" i="2"/>
  <c r="Q842" i="2"/>
  <c r="R842" i="2"/>
  <c r="Q843" i="2"/>
  <c r="R843" i="2"/>
  <c r="Q844" i="2"/>
  <c r="R844" i="2"/>
  <c r="Q845" i="2"/>
  <c r="R845" i="2"/>
  <c r="Q846" i="2"/>
  <c r="R846" i="2"/>
  <c r="Q847" i="2"/>
  <c r="R847" i="2"/>
  <c r="Q848" i="2"/>
  <c r="R848" i="2"/>
  <c r="Q849" i="2"/>
  <c r="R849" i="2"/>
  <c r="Q850" i="2"/>
  <c r="R850" i="2"/>
  <c r="Q851" i="2"/>
  <c r="R851" i="2"/>
  <c r="Q852" i="2"/>
  <c r="R852" i="2"/>
  <c r="Q853" i="2"/>
  <c r="R853" i="2"/>
  <c r="Q854" i="2"/>
  <c r="R854" i="2"/>
  <c r="Q855" i="2"/>
  <c r="R855" i="2"/>
  <c r="Q856" i="2"/>
  <c r="R856" i="2"/>
  <c r="Q857" i="2"/>
  <c r="R857" i="2"/>
  <c r="Q858" i="2"/>
  <c r="R858" i="2"/>
  <c r="Q859" i="2"/>
  <c r="R859" i="2"/>
  <c r="Q860" i="2"/>
  <c r="R860" i="2"/>
  <c r="Q861" i="2"/>
  <c r="R861" i="2"/>
  <c r="Q862" i="2"/>
  <c r="R862" i="2"/>
  <c r="Q863" i="2"/>
  <c r="R863" i="2"/>
  <c r="Q864" i="2"/>
  <c r="R864" i="2"/>
  <c r="Q865" i="2"/>
  <c r="R865" i="2"/>
  <c r="Q866" i="2"/>
  <c r="R866" i="2"/>
  <c r="Q867" i="2"/>
  <c r="R867" i="2"/>
  <c r="Q868" i="2"/>
  <c r="R868" i="2"/>
  <c r="Q869" i="2"/>
  <c r="R869" i="2"/>
  <c r="Q870" i="2"/>
  <c r="R870" i="2"/>
  <c r="Q871" i="2"/>
  <c r="R871" i="2"/>
  <c r="Q872" i="2"/>
  <c r="R872" i="2"/>
  <c r="Q873" i="2"/>
  <c r="R873" i="2"/>
  <c r="Q874" i="2"/>
  <c r="R874" i="2"/>
  <c r="Q875" i="2"/>
  <c r="R875" i="2"/>
  <c r="Q876" i="2"/>
  <c r="R876" i="2"/>
  <c r="Q877" i="2"/>
  <c r="R877" i="2"/>
  <c r="Q878" i="2"/>
  <c r="R878" i="2"/>
  <c r="Q879" i="2"/>
  <c r="R879" i="2"/>
  <c r="Q880" i="2"/>
  <c r="R880" i="2"/>
  <c r="Q881" i="2"/>
  <c r="R881" i="2"/>
  <c r="Q882" i="2"/>
  <c r="R882" i="2"/>
  <c r="Q883" i="2"/>
  <c r="R883" i="2"/>
  <c r="Q884" i="2"/>
  <c r="R884" i="2"/>
  <c r="Q885" i="2"/>
  <c r="R885" i="2"/>
  <c r="Q886" i="2"/>
  <c r="R886" i="2"/>
  <c r="Q887" i="2"/>
  <c r="R887" i="2"/>
  <c r="Q888" i="2"/>
  <c r="R888" i="2"/>
  <c r="Q889" i="2"/>
  <c r="R889" i="2"/>
  <c r="Q890" i="2"/>
  <c r="R890" i="2"/>
  <c r="Q891" i="2"/>
  <c r="R891" i="2"/>
  <c r="Q892" i="2"/>
  <c r="R892" i="2"/>
  <c r="Q893" i="2"/>
  <c r="R893" i="2"/>
  <c r="Q894" i="2"/>
  <c r="R894" i="2"/>
  <c r="Q895" i="2"/>
  <c r="R895" i="2"/>
  <c r="Q896" i="2"/>
  <c r="R896" i="2"/>
  <c r="Q897" i="2"/>
  <c r="R897" i="2"/>
  <c r="Q898" i="2"/>
  <c r="R898" i="2"/>
  <c r="Q899" i="2"/>
  <c r="R899" i="2"/>
  <c r="Q900" i="2"/>
  <c r="R900" i="2"/>
  <c r="Q901" i="2"/>
  <c r="R901" i="2"/>
  <c r="Q902" i="2"/>
  <c r="R902" i="2"/>
  <c r="Q903" i="2"/>
  <c r="R903" i="2"/>
  <c r="Q904" i="2"/>
  <c r="R904" i="2"/>
  <c r="Q905" i="2"/>
  <c r="R905" i="2"/>
  <c r="Q906" i="2"/>
  <c r="R906" i="2"/>
  <c r="Q907" i="2"/>
  <c r="R907" i="2"/>
  <c r="Q908" i="2"/>
  <c r="R908" i="2"/>
  <c r="Q909" i="2"/>
  <c r="R909" i="2"/>
  <c r="Q910" i="2"/>
  <c r="R910" i="2"/>
  <c r="Q911" i="2"/>
  <c r="R911" i="2"/>
  <c r="Q912" i="2"/>
  <c r="R912" i="2"/>
  <c r="Q913" i="2"/>
  <c r="R913" i="2"/>
  <c r="Q914" i="2"/>
  <c r="R914" i="2"/>
  <c r="Q915" i="2"/>
  <c r="R915" i="2"/>
  <c r="Q916" i="2"/>
  <c r="R916" i="2"/>
  <c r="Q917" i="2"/>
  <c r="R917" i="2"/>
  <c r="Q918" i="2"/>
  <c r="R918" i="2"/>
  <c r="Q919" i="2"/>
  <c r="R919" i="2"/>
  <c r="Q920" i="2"/>
  <c r="R920" i="2"/>
  <c r="Q921" i="2"/>
  <c r="R921" i="2"/>
  <c r="Q922" i="2"/>
  <c r="R922" i="2"/>
  <c r="Q923" i="2"/>
  <c r="R923" i="2"/>
  <c r="Q924" i="2"/>
  <c r="R924" i="2"/>
  <c r="Q925" i="2"/>
  <c r="R925" i="2"/>
  <c r="Q926" i="2"/>
  <c r="R926" i="2"/>
  <c r="Q927" i="2"/>
  <c r="R927" i="2"/>
  <c r="Q928" i="2"/>
  <c r="R928" i="2"/>
  <c r="Q929" i="2"/>
  <c r="R929" i="2"/>
  <c r="Q930" i="2"/>
  <c r="R930" i="2"/>
  <c r="Q931" i="2"/>
  <c r="R931" i="2"/>
  <c r="Q932" i="2"/>
  <c r="R932" i="2"/>
  <c r="Q933" i="2"/>
  <c r="R933" i="2"/>
  <c r="Q934" i="2"/>
  <c r="R934" i="2"/>
  <c r="Q935" i="2"/>
  <c r="R935" i="2"/>
  <c r="Q936" i="2"/>
  <c r="R936" i="2"/>
  <c r="Q937" i="2"/>
  <c r="R937" i="2"/>
  <c r="Q938" i="2"/>
  <c r="R938" i="2"/>
  <c r="Q939" i="2"/>
  <c r="R939" i="2"/>
  <c r="Q940" i="2"/>
  <c r="R940" i="2"/>
  <c r="Q941" i="2"/>
  <c r="R941" i="2"/>
  <c r="Q942" i="2"/>
  <c r="R942" i="2"/>
  <c r="Q943" i="2"/>
  <c r="R943" i="2"/>
  <c r="Q944" i="2"/>
  <c r="R944" i="2"/>
  <c r="Q945" i="2"/>
  <c r="R945" i="2"/>
  <c r="Q946" i="2"/>
  <c r="R946" i="2"/>
  <c r="Q947" i="2"/>
  <c r="R947" i="2"/>
  <c r="Q948" i="2"/>
  <c r="R948" i="2"/>
  <c r="Q949" i="2"/>
  <c r="R949" i="2"/>
  <c r="Q950" i="2"/>
  <c r="R950" i="2"/>
  <c r="Q951" i="2"/>
  <c r="R951" i="2"/>
  <c r="Q952" i="2"/>
  <c r="R952" i="2"/>
  <c r="Q953" i="2"/>
  <c r="R953" i="2"/>
  <c r="Q954" i="2"/>
  <c r="R954" i="2"/>
  <c r="Q955" i="2"/>
  <c r="R955" i="2"/>
  <c r="Q956" i="2"/>
  <c r="R956" i="2"/>
  <c r="Q957" i="2"/>
  <c r="R957" i="2"/>
  <c r="Q958" i="2"/>
  <c r="R958" i="2"/>
  <c r="Q959" i="2"/>
  <c r="R959" i="2"/>
  <c r="Q960" i="2"/>
  <c r="R960" i="2"/>
  <c r="Q961" i="2"/>
  <c r="R961" i="2"/>
  <c r="Q962" i="2"/>
  <c r="R962" i="2"/>
  <c r="Q963" i="2"/>
  <c r="R963" i="2"/>
  <c r="Q964" i="2"/>
  <c r="R964" i="2"/>
  <c r="Q965" i="2"/>
  <c r="R965" i="2"/>
  <c r="Q966" i="2"/>
  <c r="R966" i="2"/>
  <c r="Q967" i="2"/>
  <c r="R967" i="2"/>
  <c r="Q968" i="2"/>
  <c r="R968" i="2"/>
  <c r="Q969" i="2"/>
  <c r="R969" i="2"/>
  <c r="Q970" i="2"/>
  <c r="R970" i="2"/>
  <c r="Q971" i="2"/>
  <c r="R971" i="2"/>
  <c r="Q972" i="2"/>
  <c r="R972" i="2"/>
  <c r="Q973" i="2"/>
  <c r="R973" i="2"/>
  <c r="Q974" i="2"/>
  <c r="R974" i="2"/>
  <c r="Q975" i="2"/>
  <c r="R975" i="2"/>
  <c r="Q976" i="2"/>
  <c r="R976" i="2"/>
  <c r="Q977" i="2"/>
  <c r="R977" i="2"/>
  <c r="Q978" i="2"/>
  <c r="R978" i="2"/>
  <c r="Q979" i="2"/>
  <c r="R979" i="2"/>
  <c r="Q980" i="2"/>
  <c r="R980" i="2"/>
  <c r="Q981" i="2"/>
  <c r="R981" i="2"/>
  <c r="Q982" i="2"/>
  <c r="R982" i="2"/>
  <c r="Q983" i="2"/>
  <c r="R983" i="2"/>
  <c r="Q984" i="2"/>
  <c r="R984" i="2"/>
  <c r="Q985" i="2"/>
  <c r="R985" i="2"/>
  <c r="Q986" i="2"/>
  <c r="R986" i="2"/>
  <c r="Q987" i="2"/>
  <c r="R987" i="2"/>
  <c r="Q988" i="2"/>
  <c r="R988" i="2"/>
  <c r="Q989" i="2"/>
  <c r="R989" i="2"/>
  <c r="Q990" i="2"/>
  <c r="R990" i="2"/>
  <c r="Q991" i="2"/>
  <c r="R991" i="2"/>
  <c r="Q992" i="2"/>
  <c r="R992" i="2"/>
  <c r="Q993" i="2"/>
  <c r="R993" i="2"/>
  <c r="Q994" i="2"/>
  <c r="R994" i="2"/>
  <c r="Q995" i="2"/>
  <c r="R995" i="2"/>
  <c r="Q996" i="2"/>
  <c r="R996" i="2"/>
  <c r="Q997" i="2"/>
  <c r="R997" i="2"/>
  <c r="Q998" i="2"/>
  <c r="R998" i="2"/>
  <c r="Q999" i="2"/>
  <c r="R999" i="2"/>
  <c r="Q1000" i="2"/>
  <c r="R1000" i="2"/>
  <c r="Q1001" i="2"/>
  <c r="R1001" i="2"/>
  <c r="R2" i="2"/>
  <c r="Q2" i="2"/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2" i="2"/>
  <c r="A3" i="2"/>
  <c r="B3" i="2"/>
  <c r="C3" i="2"/>
  <c r="D3" i="2"/>
  <c r="E3" i="2"/>
  <c r="F3" i="2" s="1"/>
  <c r="G3" i="2"/>
  <c r="H3" i="2"/>
  <c r="I3" i="2"/>
  <c r="K3" i="2"/>
  <c r="L3" i="2"/>
  <c r="M3" i="2"/>
  <c r="O3" i="2"/>
  <c r="A4" i="2"/>
  <c r="B4" i="2"/>
  <c r="C4" i="2"/>
  <c r="D4" i="2"/>
  <c r="E4" i="2"/>
  <c r="F4" i="2"/>
  <c r="G4" i="2"/>
  <c r="H4" i="2"/>
  <c r="I4" i="2"/>
  <c r="K4" i="2"/>
  <c r="L4" i="2"/>
  <c r="M4" i="2"/>
  <c r="O4" i="2"/>
  <c r="A5" i="2"/>
  <c r="B5" i="2"/>
  <c r="C5" i="2"/>
  <c r="D5" i="2"/>
  <c r="E5" i="2"/>
  <c r="F5" i="2" s="1"/>
  <c r="G5" i="2"/>
  <c r="H5" i="2"/>
  <c r="I5" i="2"/>
  <c r="K5" i="2"/>
  <c r="O5" i="2" s="1"/>
  <c r="L5" i="2"/>
  <c r="M5" i="2"/>
  <c r="A6" i="2"/>
  <c r="B6" i="2"/>
  <c r="C6" i="2"/>
  <c r="D6" i="2"/>
  <c r="E6" i="2"/>
  <c r="F6" i="2" s="1"/>
  <c r="G6" i="2"/>
  <c r="H6" i="2"/>
  <c r="I6" i="2"/>
  <c r="K6" i="2"/>
  <c r="L6" i="2"/>
  <c r="M6" i="2"/>
  <c r="A7" i="2"/>
  <c r="B7" i="2"/>
  <c r="C7" i="2"/>
  <c r="D7" i="2"/>
  <c r="E7" i="2"/>
  <c r="F7" i="2" s="1"/>
  <c r="G7" i="2"/>
  <c r="P7" i="2" s="1"/>
  <c r="H7" i="2"/>
  <c r="I7" i="2"/>
  <c r="K7" i="2"/>
  <c r="L7" i="2"/>
  <c r="M7" i="2"/>
  <c r="O7" i="2" s="1"/>
  <c r="A8" i="2"/>
  <c r="B8" i="2"/>
  <c r="C8" i="2"/>
  <c r="D8" i="2"/>
  <c r="E8" i="2"/>
  <c r="F8" i="2"/>
  <c r="G8" i="2"/>
  <c r="P8" i="2" s="1"/>
  <c r="H8" i="2"/>
  <c r="I8" i="2"/>
  <c r="K8" i="2"/>
  <c r="L8" i="2"/>
  <c r="M8" i="2"/>
  <c r="O8" i="2"/>
  <c r="A9" i="2"/>
  <c r="B9" i="2"/>
  <c r="C9" i="2"/>
  <c r="D9" i="2"/>
  <c r="E9" i="2"/>
  <c r="F9" i="2" s="1"/>
  <c r="G9" i="2"/>
  <c r="H9" i="2"/>
  <c r="I9" i="2"/>
  <c r="K9" i="2"/>
  <c r="O9" i="2" s="1"/>
  <c r="L9" i="2"/>
  <c r="M9" i="2"/>
  <c r="A10" i="2"/>
  <c r="B10" i="2"/>
  <c r="C10" i="2"/>
  <c r="D10" i="2"/>
  <c r="E10" i="2"/>
  <c r="F10" i="2" s="1"/>
  <c r="G10" i="2"/>
  <c r="H10" i="2"/>
  <c r="I10" i="2"/>
  <c r="K10" i="2"/>
  <c r="L10" i="2"/>
  <c r="M10" i="2"/>
  <c r="A11" i="2"/>
  <c r="B11" i="2"/>
  <c r="C11" i="2"/>
  <c r="D11" i="2"/>
  <c r="E11" i="2"/>
  <c r="F11" i="2" s="1"/>
  <c r="G11" i="2"/>
  <c r="H11" i="2"/>
  <c r="I11" i="2"/>
  <c r="K11" i="2"/>
  <c r="O11" i="2" s="1"/>
  <c r="L11" i="2"/>
  <c r="M11" i="2"/>
  <c r="A12" i="2"/>
  <c r="B12" i="2"/>
  <c r="C12" i="2"/>
  <c r="D12" i="2"/>
  <c r="E12" i="2"/>
  <c r="F12" i="2" s="1"/>
  <c r="G12" i="2"/>
  <c r="P12" i="2" s="1"/>
  <c r="H12" i="2"/>
  <c r="I12" i="2"/>
  <c r="K12" i="2"/>
  <c r="L12" i="2"/>
  <c r="M12" i="2"/>
  <c r="O12" i="2" s="1"/>
  <c r="A13" i="2"/>
  <c r="B13" i="2"/>
  <c r="C13" i="2"/>
  <c r="D13" i="2"/>
  <c r="E13" i="2"/>
  <c r="F13" i="2"/>
  <c r="G13" i="2"/>
  <c r="P13" i="2" s="1"/>
  <c r="H13" i="2"/>
  <c r="I13" i="2"/>
  <c r="K13" i="2"/>
  <c r="L13" i="2"/>
  <c r="M13" i="2"/>
  <c r="O13" i="2"/>
  <c r="A14" i="2"/>
  <c r="B14" i="2"/>
  <c r="C14" i="2"/>
  <c r="D14" i="2"/>
  <c r="F14" i="2" s="1"/>
  <c r="E14" i="2"/>
  <c r="G14" i="2"/>
  <c r="H14" i="2"/>
  <c r="I14" i="2"/>
  <c r="K14" i="2"/>
  <c r="O14" i="2" s="1"/>
  <c r="L14" i="2"/>
  <c r="M14" i="2"/>
  <c r="A15" i="2"/>
  <c r="B15" i="2"/>
  <c r="C15" i="2"/>
  <c r="D15" i="2"/>
  <c r="E15" i="2"/>
  <c r="F15" i="2" s="1"/>
  <c r="G15" i="2"/>
  <c r="H15" i="2"/>
  <c r="I15" i="2"/>
  <c r="K15" i="2"/>
  <c r="O15" i="2" s="1"/>
  <c r="L15" i="2"/>
  <c r="M15" i="2"/>
  <c r="A16" i="2"/>
  <c r="B16" i="2"/>
  <c r="C16" i="2"/>
  <c r="D16" i="2"/>
  <c r="E16" i="2"/>
  <c r="F16" i="2"/>
  <c r="G16" i="2"/>
  <c r="P16" i="2" s="1"/>
  <c r="H16" i="2"/>
  <c r="I16" i="2"/>
  <c r="K16" i="2"/>
  <c r="L16" i="2"/>
  <c r="M16" i="2"/>
  <c r="O16" i="2"/>
  <c r="A17" i="2"/>
  <c r="B17" i="2"/>
  <c r="C17" i="2"/>
  <c r="D17" i="2"/>
  <c r="E17" i="2"/>
  <c r="F17" i="2"/>
  <c r="G17" i="2"/>
  <c r="H17" i="2"/>
  <c r="I17" i="2"/>
  <c r="K17" i="2"/>
  <c r="L17" i="2"/>
  <c r="M17" i="2"/>
  <c r="N17" i="2"/>
  <c r="O17" i="2"/>
  <c r="A18" i="2"/>
  <c r="B18" i="2"/>
  <c r="C18" i="2"/>
  <c r="D18" i="2"/>
  <c r="E18" i="2"/>
  <c r="F18" i="2"/>
  <c r="G18" i="2"/>
  <c r="H18" i="2"/>
  <c r="I18" i="2"/>
  <c r="K18" i="2"/>
  <c r="L18" i="2"/>
  <c r="M18" i="2"/>
  <c r="O18" i="2"/>
  <c r="A19" i="2"/>
  <c r="B19" i="2"/>
  <c r="C19" i="2"/>
  <c r="D19" i="2"/>
  <c r="E19" i="2"/>
  <c r="F19" i="2" s="1"/>
  <c r="G19" i="2"/>
  <c r="H19" i="2"/>
  <c r="I19" i="2"/>
  <c r="K19" i="2"/>
  <c r="O19" i="2" s="1"/>
  <c r="L19" i="2"/>
  <c r="M19" i="2"/>
  <c r="A20" i="2"/>
  <c r="B20" i="2"/>
  <c r="C20" i="2"/>
  <c r="D20" i="2"/>
  <c r="E20" i="2"/>
  <c r="F20" i="2" s="1"/>
  <c r="G20" i="2"/>
  <c r="P20" i="2" s="1"/>
  <c r="H20" i="2"/>
  <c r="I20" i="2"/>
  <c r="K20" i="2"/>
  <c r="L20" i="2"/>
  <c r="M20" i="2"/>
  <c r="A21" i="2"/>
  <c r="B21" i="2"/>
  <c r="C21" i="2"/>
  <c r="D21" i="2"/>
  <c r="E21" i="2"/>
  <c r="F21" i="2" s="1"/>
  <c r="G21" i="2"/>
  <c r="P21" i="2" s="1"/>
  <c r="H21" i="2"/>
  <c r="I21" i="2"/>
  <c r="K21" i="2"/>
  <c r="L21" i="2"/>
  <c r="M21" i="2"/>
  <c r="O21" i="2" s="1"/>
  <c r="A22" i="2"/>
  <c r="B22" i="2"/>
  <c r="C22" i="2"/>
  <c r="D22" i="2"/>
  <c r="E22" i="2"/>
  <c r="F22" i="2"/>
  <c r="G22" i="2"/>
  <c r="P22" i="2" s="1"/>
  <c r="H22" i="2"/>
  <c r="I22" i="2"/>
  <c r="K22" i="2"/>
  <c r="L22" i="2"/>
  <c r="M22" i="2"/>
  <c r="O22" i="2"/>
  <c r="A23" i="2"/>
  <c r="B23" i="2"/>
  <c r="C23" i="2"/>
  <c r="D23" i="2"/>
  <c r="F23" i="2" s="1"/>
  <c r="E23" i="2"/>
  <c r="G23" i="2"/>
  <c r="H23" i="2"/>
  <c r="I23" i="2"/>
  <c r="K23" i="2"/>
  <c r="O23" i="2" s="1"/>
  <c r="L23" i="2"/>
  <c r="M23" i="2"/>
  <c r="A24" i="2"/>
  <c r="B24" i="2"/>
  <c r="C24" i="2"/>
  <c r="D24" i="2"/>
  <c r="E24" i="2"/>
  <c r="G24" i="2"/>
  <c r="H24" i="2"/>
  <c r="I24" i="2"/>
  <c r="K24" i="2"/>
  <c r="L24" i="2"/>
  <c r="M24" i="2"/>
  <c r="A25" i="2"/>
  <c r="B25" i="2"/>
  <c r="C25" i="2"/>
  <c r="D25" i="2"/>
  <c r="E25" i="2"/>
  <c r="F25" i="2"/>
  <c r="G25" i="2"/>
  <c r="P25" i="2" s="1"/>
  <c r="H25" i="2"/>
  <c r="I25" i="2"/>
  <c r="K25" i="2"/>
  <c r="O25" i="2" s="1"/>
  <c r="L25" i="2"/>
  <c r="M25" i="2"/>
  <c r="N25" i="2"/>
  <c r="A26" i="2"/>
  <c r="B26" i="2"/>
  <c r="C26" i="2"/>
  <c r="D26" i="2"/>
  <c r="E26" i="2"/>
  <c r="F26" i="2" s="1"/>
  <c r="G26" i="2"/>
  <c r="H26" i="2"/>
  <c r="I26" i="2"/>
  <c r="K26" i="2"/>
  <c r="L26" i="2"/>
  <c r="M26" i="2"/>
  <c r="O26" i="2"/>
  <c r="A27" i="2"/>
  <c r="B27" i="2"/>
  <c r="C27" i="2"/>
  <c r="D27" i="2"/>
  <c r="E27" i="2"/>
  <c r="F27" i="2"/>
  <c r="G27" i="2"/>
  <c r="H27" i="2"/>
  <c r="I27" i="2"/>
  <c r="K27" i="2"/>
  <c r="L27" i="2"/>
  <c r="M27" i="2"/>
  <c r="O27" i="2"/>
  <c r="A28" i="2"/>
  <c r="B28" i="2"/>
  <c r="C28" i="2"/>
  <c r="D28" i="2"/>
  <c r="E28" i="2"/>
  <c r="F28" i="2" s="1"/>
  <c r="G28" i="2"/>
  <c r="H28" i="2"/>
  <c r="I28" i="2"/>
  <c r="K28" i="2"/>
  <c r="O28" i="2" s="1"/>
  <c r="L28" i="2"/>
  <c r="M28" i="2"/>
  <c r="A29" i="2"/>
  <c r="B29" i="2"/>
  <c r="C29" i="2"/>
  <c r="D29" i="2"/>
  <c r="E29" i="2"/>
  <c r="G29" i="2"/>
  <c r="P29" i="2" s="1"/>
  <c r="H29" i="2"/>
  <c r="I29" i="2"/>
  <c r="K29" i="2"/>
  <c r="L29" i="2"/>
  <c r="M29" i="2"/>
  <c r="A30" i="2"/>
  <c r="B30" i="2"/>
  <c r="C30" i="2"/>
  <c r="D30" i="2"/>
  <c r="E30" i="2"/>
  <c r="F30" i="2"/>
  <c r="G30" i="2"/>
  <c r="P30" i="2" s="1"/>
  <c r="H30" i="2"/>
  <c r="I30" i="2"/>
  <c r="K30" i="2"/>
  <c r="O30" i="2" s="1"/>
  <c r="L30" i="2"/>
  <c r="M30" i="2"/>
  <c r="N30" i="2"/>
  <c r="A31" i="2"/>
  <c r="B31" i="2"/>
  <c r="C31" i="2"/>
  <c r="D31" i="2"/>
  <c r="E31" i="2"/>
  <c r="F31" i="2" s="1"/>
  <c r="G31" i="2"/>
  <c r="P31" i="2" s="1"/>
  <c r="H31" i="2"/>
  <c r="I31" i="2"/>
  <c r="K31" i="2"/>
  <c r="L31" i="2"/>
  <c r="O31" i="2" s="1"/>
  <c r="M31" i="2"/>
  <c r="A32" i="2"/>
  <c r="B32" i="2"/>
  <c r="C32" i="2"/>
  <c r="D32" i="2"/>
  <c r="E32" i="2"/>
  <c r="F32" i="2"/>
  <c r="G32" i="2"/>
  <c r="P32" i="2" s="1"/>
  <c r="H32" i="2"/>
  <c r="I32" i="2"/>
  <c r="K32" i="2"/>
  <c r="L32" i="2"/>
  <c r="M32" i="2"/>
  <c r="O32" i="2"/>
  <c r="A33" i="2"/>
  <c r="B33" i="2"/>
  <c r="C33" i="2"/>
  <c r="D33" i="2"/>
  <c r="E33" i="2"/>
  <c r="F33" i="2"/>
  <c r="G33" i="2"/>
  <c r="H33" i="2"/>
  <c r="I33" i="2"/>
  <c r="K33" i="2"/>
  <c r="L33" i="2"/>
  <c r="M33" i="2"/>
  <c r="A34" i="2"/>
  <c r="B34" i="2"/>
  <c r="C34" i="2"/>
  <c r="D34" i="2"/>
  <c r="E34" i="2"/>
  <c r="G34" i="2"/>
  <c r="P34" i="2" s="1"/>
  <c r="H34" i="2"/>
  <c r="I34" i="2"/>
  <c r="K34" i="2"/>
  <c r="O34" i="2" s="1"/>
  <c r="L34" i="2"/>
  <c r="M34" i="2"/>
  <c r="A35" i="2"/>
  <c r="B35" i="2"/>
  <c r="C35" i="2"/>
  <c r="D35" i="2"/>
  <c r="E35" i="2"/>
  <c r="F35" i="2"/>
  <c r="G35" i="2"/>
  <c r="H35" i="2"/>
  <c r="I35" i="2"/>
  <c r="K35" i="2"/>
  <c r="L35" i="2"/>
  <c r="M35" i="2"/>
  <c r="O35" i="2"/>
  <c r="A36" i="2"/>
  <c r="B36" i="2"/>
  <c r="C36" i="2"/>
  <c r="D36" i="2"/>
  <c r="E36" i="2"/>
  <c r="F36" i="2"/>
  <c r="G36" i="2"/>
  <c r="H36" i="2"/>
  <c r="I36" i="2"/>
  <c r="K36" i="2"/>
  <c r="L36" i="2"/>
  <c r="M36" i="2"/>
  <c r="O36" i="2"/>
  <c r="A37" i="2"/>
  <c r="B37" i="2"/>
  <c r="C37" i="2"/>
  <c r="D37" i="2"/>
  <c r="E37" i="2"/>
  <c r="F37" i="2" s="1"/>
  <c r="G37" i="2"/>
  <c r="H37" i="2"/>
  <c r="I37" i="2"/>
  <c r="K37" i="2"/>
  <c r="L37" i="2"/>
  <c r="M37" i="2"/>
  <c r="O37" i="2" s="1"/>
  <c r="A38" i="2"/>
  <c r="B38" i="2"/>
  <c r="C38" i="2"/>
  <c r="D38" i="2"/>
  <c r="E38" i="2"/>
  <c r="F38" i="2" s="1"/>
  <c r="G38" i="2"/>
  <c r="P38" i="2" s="1"/>
  <c r="H38" i="2"/>
  <c r="I38" i="2"/>
  <c r="K38" i="2"/>
  <c r="O38" i="2" s="1"/>
  <c r="L38" i="2"/>
  <c r="M38" i="2"/>
  <c r="A39" i="2"/>
  <c r="B39" i="2"/>
  <c r="C39" i="2"/>
  <c r="D39" i="2"/>
  <c r="E39" i="2"/>
  <c r="F39" i="2" s="1"/>
  <c r="G39" i="2"/>
  <c r="H39" i="2"/>
  <c r="I39" i="2"/>
  <c r="K39" i="2"/>
  <c r="O39" i="2" s="1"/>
  <c r="L39" i="2"/>
  <c r="M39" i="2"/>
  <c r="A40" i="2"/>
  <c r="B40" i="2"/>
  <c r="C40" i="2"/>
  <c r="D40" i="2"/>
  <c r="E40" i="2"/>
  <c r="F40" i="2" s="1"/>
  <c r="G40" i="2"/>
  <c r="P40" i="2" s="1"/>
  <c r="H40" i="2"/>
  <c r="I40" i="2"/>
  <c r="K40" i="2"/>
  <c r="L40" i="2"/>
  <c r="M40" i="2"/>
  <c r="O40" i="2" s="1"/>
  <c r="A41" i="2"/>
  <c r="B41" i="2"/>
  <c r="C41" i="2"/>
  <c r="D41" i="2"/>
  <c r="E41" i="2"/>
  <c r="F41" i="2"/>
  <c r="G41" i="2"/>
  <c r="P41" i="2" s="1"/>
  <c r="H41" i="2"/>
  <c r="I41" i="2"/>
  <c r="K41" i="2"/>
  <c r="L41" i="2"/>
  <c r="M41" i="2"/>
  <c r="O41" i="2"/>
  <c r="A42" i="2"/>
  <c r="B42" i="2"/>
  <c r="C42" i="2"/>
  <c r="D42" i="2"/>
  <c r="E42" i="2"/>
  <c r="F42" i="2" s="1"/>
  <c r="G42" i="2"/>
  <c r="H42" i="2"/>
  <c r="I42" i="2"/>
  <c r="K42" i="2"/>
  <c r="L42" i="2"/>
  <c r="M42" i="2"/>
  <c r="O42" i="2"/>
  <c r="A43" i="2"/>
  <c r="B43" i="2"/>
  <c r="C43" i="2"/>
  <c r="D43" i="2"/>
  <c r="E43" i="2"/>
  <c r="F43" i="2" s="1"/>
  <c r="G43" i="2"/>
  <c r="H43" i="2"/>
  <c r="I43" i="2"/>
  <c r="K43" i="2"/>
  <c r="O43" i="2" s="1"/>
  <c r="L43" i="2"/>
  <c r="M43" i="2"/>
  <c r="A44" i="2"/>
  <c r="B44" i="2"/>
  <c r="C44" i="2"/>
  <c r="D44" i="2"/>
  <c r="E44" i="2"/>
  <c r="F44" i="2" s="1"/>
  <c r="G44" i="2"/>
  <c r="P44" i="2" s="1"/>
  <c r="H44" i="2"/>
  <c r="I44" i="2"/>
  <c r="K44" i="2"/>
  <c r="O44" i="2" s="1"/>
  <c r="L44" i="2"/>
  <c r="M44" i="2"/>
  <c r="A45" i="2"/>
  <c r="B45" i="2"/>
  <c r="C45" i="2"/>
  <c r="D45" i="2"/>
  <c r="E45" i="2"/>
  <c r="F45" i="2" s="1"/>
  <c r="G45" i="2"/>
  <c r="P45" i="2" s="1"/>
  <c r="H45" i="2"/>
  <c r="I45" i="2"/>
  <c r="K45" i="2"/>
  <c r="L45" i="2"/>
  <c r="M45" i="2"/>
  <c r="O45" i="2" s="1"/>
  <c r="A46" i="2"/>
  <c r="B46" i="2"/>
  <c r="C46" i="2"/>
  <c r="D46" i="2"/>
  <c r="E46" i="2"/>
  <c r="F46" i="2"/>
  <c r="G46" i="2"/>
  <c r="P46" i="2" s="1"/>
  <c r="H46" i="2"/>
  <c r="I46" i="2"/>
  <c r="K46" i="2"/>
  <c r="L46" i="2"/>
  <c r="M46" i="2"/>
  <c r="O46" i="2"/>
  <c r="A47" i="2"/>
  <c r="B47" i="2"/>
  <c r="C47" i="2"/>
  <c r="D47" i="2"/>
  <c r="E47" i="2"/>
  <c r="F47" i="2" s="1"/>
  <c r="G47" i="2"/>
  <c r="H47" i="2"/>
  <c r="I47" i="2"/>
  <c r="K47" i="2"/>
  <c r="O47" i="2" s="1"/>
  <c r="L47" i="2"/>
  <c r="M47" i="2"/>
  <c r="A48" i="2"/>
  <c r="B48" i="2"/>
  <c r="C48" i="2"/>
  <c r="D48" i="2"/>
  <c r="E48" i="2"/>
  <c r="F48" i="2" s="1"/>
  <c r="G48" i="2"/>
  <c r="P48" i="2" s="1"/>
  <c r="H48" i="2"/>
  <c r="I48" i="2"/>
  <c r="K48" i="2"/>
  <c r="L48" i="2"/>
  <c r="M48" i="2"/>
  <c r="A49" i="2"/>
  <c r="B49" i="2"/>
  <c r="C49" i="2"/>
  <c r="D49" i="2"/>
  <c r="E49" i="2"/>
  <c r="F49" i="2"/>
  <c r="G49" i="2"/>
  <c r="P49" i="2" s="1"/>
  <c r="H49" i="2"/>
  <c r="I49" i="2"/>
  <c r="K49" i="2"/>
  <c r="O49" i="2" s="1"/>
  <c r="L49" i="2"/>
  <c r="M49" i="2"/>
  <c r="N49" i="2"/>
  <c r="A50" i="2"/>
  <c r="B50" i="2"/>
  <c r="C50" i="2"/>
  <c r="D50" i="2"/>
  <c r="E50" i="2"/>
  <c r="F50" i="2" s="1"/>
  <c r="G50" i="2"/>
  <c r="P50" i="2" s="1"/>
  <c r="H50" i="2"/>
  <c r="I50" i="2"/>
  <c r="K50" i="2"/>
  <c r="L50" i="2"/>
  <c r="M50" i="2"/>
  <c r="O50" i="2" s="1"/>
  <c r="A51" i="2"/>
  <c r="B51" i="2"/>
  <c r="C51" i="2"/>
  <c r="D51" i="2"/>
  <c r="F51" i="2" s="1"/>
  <c r="E51" i="2"/>
  <c r="G51" i="2"/>
  <c r="H51" i="2"/>
  <c r="I51" i="2"/>
  <c r="K51" i="2"/>
  <c r="O51" i="2" s="1"/>
  <c r="L51" i="2"/>
  <c r="M51" i="2"/>
  <c r="A52" i="2"/>
  <c r="B52" i="2"/>
  <c r="C52" i="2"/>
  <c r="D52" i="2"/>
  <c r="E52" i="2"/>
  <c r="F52" i="2"/>
  <c r="G52" i="2"/>
  <c r="P52" i="2" s="1"/>
  <c r="H52" i="2"/>
  <c r="I52" i="2"/>
  <c r="K52" i="2"/>
  <c r="O52" i="2" s="1"/>
  <c r="L52" i="2"/>
  <c r="M52" i="2"/>
  <c r="A53" i="2"/>
  <c r="B53" i="2"/>
  <c r="C53" i="2"/>
  <c r="D53" i="2"/>
  <c r="E53" i="2"/>
  <c r="F53" i="2" s="1"/>
  <c r="G53" i="2"/>
  <c r="P53" i="2" s="1"/>
  <c r="H53" i="2"/>
  <c r="I53" i="2"/>
  <c r="K53" i="2"/>
  <c r="O53" i="2" s="1"/>
  <c r="L53" i="2"/>
  <c r="M53" i="2"/>
  <c r="A54" i="2"/>
  <c r="B54" i="2"/>
  <c r="C54" i="2"/>
  <c r="D54" i="2"/>
  <c r="E54" i="2"/>
  <c r="F54" i="2" s="1"/>
  <c r="G54" i="2"/>
  <c r="H54" i="2"/>
  <c r="I54" i="2"/>
  <c r="K54" i="2"/>
  <c r="L54" i="2"/>
  <c r="M54" i="2"/>
  <c r="O54" i="2"/>
  <c r="A55" i="2"/>
  <c r="B55" i="2"/>
  <c r="C55" i="2"/>
  <c r="D55" i="2"/>
  <c r="E55" i="2"/>
  <c r="F55" i="2"/>
  <c r="G55" i="2"/>
  <c r="H55" i="2"/>
  <c r="I55" i="2"/>
  <c r="K55" i="2"/>
  <c r="L55" i="2"/>
  <c r="M55" i="2"/>
  <c r="O55" i="2"/>
  <c r="A56" i="2"/>
  <c r="B56" i="2"/>
  <c r="C56" i="2"/>
  <c r="D56" i="2"/>
  <c r="E56" i="2"/>
  <c r="F56" i="2" s="1"/>
  <c r="G56" i="2"/>
  <c r="H56" i="2"/>
  <c r="I56" i="2"/>
  <c r="K56" i="2"/>
  <c r="L56" i="2"/>
  <c r="O56" i="2" s="1"/>
  <c r="M56" i="2"/>
  <c r="A57" i="2"/>
  <c r="B57" i="2"/>
  <c r="C57" i="2"/>
  <c r="D57" i="2"/>
  <c r="F57" i="2" s="1"/>
  <c r="E57" i="2"/>
  <c r="G57" i="2"/>
  <c r="P57" i="2" s="1"/>
  <c r="H57" i="2"/>
  <c r="I57" i="2"/>
  <c r="K57" i="2"/>
  <c r="L57" i="2"/>
  <c r="M57" i="2"/>
  <c r="A58" i="2"/>
  <c r="B58" i="2"/>
  <c r="C58" i="2"/>
  <c r="D58" i="2"/>
  <c r="E58" i="2"/>
  <c r="F58" i="2" s="1"/>
  <c r="G58" i="2"/>
  <c r="P58" i="2" s="1"/>
  <c r="H58" i="2"/>
  <c r="I58" i="2"/>
  <c r="K58" i="2"/>
  <c r="O58" i="2" s="1"/>
  <c r="L58" i="2"/>
  <c r="M58" i="2"/>
  <c r="A59" i="2"/>
  <c r="B59" i="2"/>
  <c r="C59" i="2"/>
  <c r="D59" i="2"/>
  <c r="E59" i="2"/>
  <c r="F59" i="2" s="1"/>
  <c r="G59" i="2"/>
  <c r="H59" i="2"/>
  <c r="I59" i="2"/>
  <c r="K59" i="2"/>
  <c r="O59" i="2" s="1"/>
  <c r="L59" i="2"/>
  <c r="M59" i="2"/>
  <c r="A60" i="2"/>
  <c r="B60" i="2"/>
  <c r="C60" i="2"/>
  <c r="D60" i="2"/>
  <c r="F60" i="2" s="1"/>
  <c r="E60" i="2"/>
  <c r="G60" i="2"/>
  <c r="P60" i="2" s="1"/>
  <c r="H60" i="2"/>
  <c r="I60" i="2"/>
  <c r="K60" i="2"/>
  <c r="O60" i="2" s="1"/>
  <c r="L60" i="2"/>
  <c r="M60" i="2"/>
  <c r="A61" i="2"/>
  <c r="B61" i="2"/>
  <c r="C61" i="2"/>
  <c r="D61" i="2"/>
  <c r="E61" i="2"/>
  <c r="F61" i="2" s="1"/>
  <c r="G61" i="2"/>
  <c r="H61" i="2"/>
  <c r="I61" i="2"/>
  <c r="K61" i="2"/>
  <c r="O61" i="2" s="1"/>
  <c r="L61" i="2"/>
  <c r="M61" i="2"/>
  <c r="A62" i="2"/>
  <c r="B62" i="2"/>
  <c r="C62" i="2"/>
  <c r="D62" i="2"/>
  <c r="E62" i="2"/>
  <c r="F62" i="2" s="1"/>
  <c r="G62" i="2"/>
  <c r="P62" i="2" s="1"/>
  <c r="H62" i="2"/>
  <c r="I62" i="2"/>
  <c r="K62" i="2"/>
  <c r="O62" i="2" s="1"/>
  <c r="L62" i="2"/>
  <c r="M62" i="2"/>
  <c r="A63" i="2"/>
  <c r="B63" i="2"/>
  <c r="C63" i="2"/>
  <c r="D63" i="2"/>
  <c r="E63" i="2"/>
  <c r="F63" i="2"/>
  <c r="G63" i="2"/>
  <c r="H63" i="2"/>
  <c r="I63" i="2"/>
  <c r="K63" i="2"/>
  <c r="L63" i="2"/>
  <c r="M63" i="2"/>
  <c r="O63" i="2"/>
  <c r="A64" i="2"/>
  <c r="B64" i="2"/>
  <c r="C64" i="2"/>
  <c r="D64" i="2"/>
  <c r="E64" i="2"/>
  <c r="F64" i="2" s="1"/>
  <c r="G64" i="2"/>
  <c r="H64" i="2"/>
  <c r="I64" i="2"/>
  <c r="K64" i="2"/>
  <c r="O64" i="2" s="1"/>
  <c r="L64" i="2"/>
  <c r="M64" i="2"/>
  <c r="A65" i="2"/>
  <c r="B65" i="2"/>
  <c r="C65" i="2"/>
  <c r="D65" i="2"/>
  <c r="E65" i="2"/>
  <c r="F65" i="2" s="1"/>
  <c r="G65" i="2"/>
  <c r="P65" i="2" s="1"/>
  <c r="H65" i="2"/>
  <c r="I65" i="2"/>
  <c r="K65" i="2"/>
  <c r="L65" i="2"/>
  <c r="M65" i="2"/>
  <c r="O65" i="2"/>
  <c r="A66" i="2"/>
  <c r="B66" i="2"/>
  <c r="C66" i="2"/>
  <c r="D66" i="2"/>
  <c r="E66" i="2"/>
  <c r="F66" i="2"/>
  <c r="G66" i="2"/>
  <c r="H66" i="2"/>
  <c r="I66" i="2"/>
  <c r="K66" i="2"/>
  <c r="O66" i="2" s="1"/>
  <c r="L66" i="2"/>
  <c r="M66" i="2"/>
  <c r="A67" i="2"/>
  <c r="B67" i="2"/>
  <c r="C67" i="2"/>
  <c r="D67" i="2"/>
  <c r="E67" i="2"/>
  <c r="F67" i="2" s="1"/>
  <c r="G67" i="2"/>
  <c r="H67" i="2"/>
  <c r="I67" i="2"/>
  <c r="K67" i="2"/>
  <c r="O67" i="2" s="1"/>
  <c r="L67" i="2"/>
  <c r="M67" i="2"/>
  <c r="A68" i="2"/>
  <c r="B68" i="2"/>
  <c r="C68" i="2"/>
  <c r="D68" i="2"/>
  <c r="E68" i="2"/>
  <c r="F68" i="2" s="1"/>
  <c r="G68" i="2"/>
  <c r="P68" i="2" s="1"/>
  <c r="H68" i="2"/>
  <c r="I68" i="2"/>
  <c r="K68" i="2"/>
  <c r="O68" i="2" s="1"/>
  <c r="L68" i="2"/>
  <c r="M68" i="2"/>
  <c r="A69" i="2"/>
  <c r="B69" i="2"/>
  <c r="C69" i="2"/>
  <c r="D69" i="2"/>
  <c r="E69" i="2"/>
  <c r="F69" i="2"/>
  <c r="G69" i="2"/>
  <c r="P69" i="2" s="1"/>
  <c r="H69" i="2"/>
  <c r="I69" i="2"/>
  <c r="K69" i="2"/>
  <c r="L69" i="2"/>
  <c r="M69" i="2"/>
  <c r="O69" i="2"/>
  <c r="A70" i="2"/>
  <c r="B70" i="2"/>
  <c r="C70" i="2"/>
  <c r="D70" i="2"/>
  <c r="E70" i="2"/>
  <c r="F70" i="2"/>
  <c r="G70" i="2"/>
  <c r="H70" i="2"/>
  <c r="I70" i="2"/>
  <c r="K70" i="2"/>
  <c r="L70" i="2"/>
  <c r="M70" i="2"/>
  <c r="A71" i="2"/>
  <c r="B71" i="2"/>
  <c r="C71" i="2"/>
  <c r="D71" i="2"/>
  <c r="E71" i="2"/>
  <c r="F71" i="2"/>
  <c r="G71" i="2"/>
  <c r="H71" i="2"/>
  <c r="I71" i="2"/>
  <c r="K71" i="2"/>
  <c r="O71" i="2" s="1"/>
  <c r="L71" i="2"/>
  <c r="M71" i="2"/>
  <c r="A72" i="2"/>
  <c r="B72" i="2"/>
  <c r="C72" i="2"/>
  <c r="D72" i="2"/>
  <c r="E72" i="2"/>
  <c r="F72" i="2"/>
  <c r="G72" i="2"/>
  <c r="P72" i="2" s="1"/>
  <c r="H72" i="2"/>
  <c r="I72" i="2"/>
  <c r="K72" i="2"/>
  <c r="O72" i="2" s="1"/>
  <c r="L72" i="2"/>
  <c r="M72" i="2"/>
  <c r="A73" i="2"/>
  <c r="B73" i="2"/>
  <c r="C73" i="2"/>
  <c r="D73" i="2"/>
  <c r="E73" i="2"/>
  <c r="F73" i="2" s="1"/>
  <c r="G73" i="2"/>
  <c r="P73" i="2" s="1"/>
  <c r="H73" i="2"/>
  <c r="I73" i="2"/>
  <c r="K73" i="2"/>
  <c r="L73" i="2"/>
  <c r="M73" i="2"/>
  <c r="A74" i="2"/>
  <c r="B74" i="2"/>
  <c r="C74" i="2"/>
  <c r="D74" i="2"/>
  <c r="E74" i="2"/>
  <c r="F74" i="2"/>
  <c r="G74" i="2"/>
  <c r="H74" i="2"/>
  <c r="I74" i="2"/>
  <c r="K74" i="2"/>
  <c r="L74" i="2"/>
  <c r="M74" i="2"/>
  <c r="O74" i="2"/>
  <c r="A75" i="2"/>
  <c r="B75" i="2"/>
  <c r="C75" i="2"/>
  <c r="D75" i="2"/>
  <c r="E75" i="2"/>
  <c r="F75" i="2" s="1"/>
  <c r="G75" i="2"/>
  <c r="H75" i="2"/>
  <c r="I75" i="2"/>
  <c r="K75" i="2"/>
  <c r="O75" i="2" s="1"/>
  <c r="L75" i="2"/>
  <c r="M75" i="2"/>
  <c r="A76" i="2"/>
  <c r="B76" i="2"/>
  <c r="C76" i="2"/>
  <c r="D76" i="2"/>
  <c r="E76" i="2"/>
  <c r="F76" i="2" s="1"/>
  <c r="G76" i="2"/>
  <c r="P76" i="2" s="1"/>
  <c r="H76" i="2"/>
  <c r="I76" i="2"/>
  <c r="K76" i="2"/>
  <c r="O76" i="2" s="1"/>
  <c r="L76" i="2"/>
  <c r="M76" i="2"/>
  <c r="A77" i="2"/>
  <c r="B77" i="2"/>
  <c r="C77" i="2"/>
  <c r="D77" i="2"/>
  <c r="F77" i="2" s="1"/>
  <c r="E77" i="2"/>
  <c r="G77" i="2"/>
  <c r="P77" i="2" s="1"/>
  <c r="H77" i="2"/>
  <c r="I77" i="2"/>
  <c r="K77" i="2"/>
  <c r="L77" i="2"/>
  <c r="M77" i="2"/>
  <c r="A78" i="2"/>
  <c r="B78" i="2"/>
  <c r="C78" i="2"/>
  <c r="D78" i="2"/>
  <c r="E78" i="2"/>
  <c r="F78" i="2" s="1"/>
  <c r="G78" i="2"/>
  <c r="H78" i="2"/>
  <c r="I78" i="2"/>
  <c r="K78" i="2"/>
  <c r="L78" i="2"/>
  <c r="M78" i="2"/>
  <c r="A79" i="2"/>
  <c r="B79" i="2"/>
  <c r="C79" i="2"/>
  <c r="D79" i="2"/>
  <c r="E79" i="2"/>
  <c r="F79" i="2" s="1"/>
  <c r="G79" i="2"/>
  <c r="H79" i="2"/>
  <c r="I79" i="2"/>
  <c r="K79" i="2"/>
  <c r="L79" i="2"/>
  <c r="M79" i="2"/>
  <c r="A80" i="2"/>
  <c r="B80" i="2"/>
  <c r="C80" i="2"/>
  <c r="D80" i="2"/>
  <c r="E80" i="2"/>
  <c r="F80" i="2" s="1"/>
  <c r="G80" i="2"/>
  <c r="H80" i="2"/>
  <c r="I80" i="2"/>
  <c r="K80" i="2"/>
  <c r="O80" i="2" s="1"/>
  <c r="L80" i="2"/>
  <c r="M80" i="2"/>
  <c r="A81" i="2"/>
  <c r="B81" i="2"/>
  <c r="C81" i="2"/>
  <c r="D81" i="2"/>
  <c r="E81" i="2"/>
  <c r="F81" i="2" s="1"/>
  <c r="G81" i="2"/>
  <c r="P81" i="2" s="1"/>
  <c r="H81" i="2"/>
  <c r="I81" i="2"/>
  <c r="K81" i="2"/>
  <c r="L81" i="2"/>
  <c r="M81" i="2"/>
  <c r="A82" i="2"/>
  <c r="B82" i="2"/>
  <c r="C82" i="2"/>
  <c r="D82" i="2"/>
  <c r="E82" i="2"/>
  <c r="G82" i="2"/>
  <c r="H82" i="2"/>
  <c r="I82" i="2"/>
  <c r="K82" i="2"/>
  <c r="O82" i="2" s="1"/>
  <c r="L82" i="2"/>
  <c r="M82" i="2"/>
  <c r="A83" i="2"/>
  <c r="B83" i="2"/>
  <c r="C83" i="2"/>
  <c r="D83" i="2"/>
  <c r="E83" i="2"/>
  <c r="F83" i="2" s="1"/>
  <c r="G83" i="2"/>
  <c r="P83" i="2" s="1"/>
  <c r="H83" i="2"/>
  <c r="I83" i="2"/>
  <c r="K83" i="2"/>
  <c r="L83" i="2"/>
  <c r="M83" i="2"/>
  <c r="O83" i="2" s="1"/>
  <c r="A84" i="2"/>
  <c r="B84" i="2"/>
  <c r="C84" i="2"/>
  <c r="D84" i="2"/>
  <c r="E84" i="2"/>
  <c r="F84" i="2" s="1"/>
  <c r="G84" i="2"/>
  <c r="H84" i="2"/>
  <c r="I84" i="2"/>
  <c r="K84" i="2"/>
  <c r="L84" i="2"/>
  <c r="O84" i="2" s="1"/>
  <c r="M84" i="2"/>
  <c r="A85" i="2"/>
  <c r="B85" i="2"/>
  <c r="C85" i="2"/>
  <c r="D85" i="2"/>
  <c r="E85" i="2"/>
  <c r="F85" i="2"/>
  <c r="G85" i="2"/>
  <c r="P85" i="2" s="1"/>
  <c r="H85" i="2"/>
  <c r="I85" i="2"/>
  <c r="K85" i="2"/>
  <c r="L85" i="2"/>
  <c r="M85" i="2"/>
  <c r="O85" i="2"/>
  <c r="A86" i="2"/>
  <c r="B86" i="2"/>
  <c r="C86" i="2"/>
  <c r="D86" i="2"/>
  <c r="E86" i="2"/>
  <c r="F86" i="2" s="1"/>
  <c r="G86" i="2"/>
  <c r="H86" i="2"/>
  <c r="I86" i="2"/>
  <c r="K86" i="2"/>
  <c r="O86" i="2" s="1"/>
  <c r="L86" i="2"/>
  <c r="M86" i="2"/>
  <c r="A87" i="2"/>
  <c r="B87" i="2"/>
  <c r="C87" i="2"/>
  <c r="D87" i="2"/>
  <c r="E87" i="2"/>
  <c r="F87" i="2"/>
  <c r="G87" i="2"/>
  <c r="H87" i="2"/>
  <c r="I87" i="2"/>
  <c r="K87" i="2"/>
  <c r="L87" i="2"/>
  <c r="M87" i="2"/>
  <c r="A88" i="2"/>
  <c r="B88" i="2"/>
  <c r="C88" i="2"/>
  <c r="D88" i="2"/>
  <c r="E88" i="2"/>
  <c r="G88" i="2"/>
  <c r="N88" i="2" s="1"/>
  <c r="H88" i="2"/>
  <c r="I88" i="2"/>
  <c r="K88" i="2"/>
  <c r="L88" i="2"/>
  <c r="M88" i="2"/>
  <c r="A89" i="2"/>
  <c r="B89" i="2"/>
  <c r="C89" i="2"/>
  <c r="D89" i="2"/>
  <c r="E89" i="2"/>
  <c r="G89" i="2"/>
  <c r="P89" i="2" s="1"/>
  <c r="H89" i="2"/>
  <c r="I89" i="2"/>
  <c r="K89" i="2"/>
  <c r="L89" i="2"/>
  <c r="M89" i="2"/>
  <c r="A90" i="2"/>
  <c r="B90" i="2"/>
  <c r="C90" i="2"/>
  <c r="D90" i="2"/>
  <c r="E90" i="2"/>
  <c r="F90" i="2" s="1"/>
  <c r="G90" i="2"/>
  <c r="N90" i="2" s="1"/>
  <c r="H90" i="2"/>
  <c r="P90" i="2" s="1"/>
  <c r="I90" i="2"/>
  <c r="K90" i="2"/>
  <c r="L90" i="2"/>
  <c r="M90" i="2"/>
  <c r="A91" i="2"/>
  <c r="B91" i="2"/>
  <c r="C91" i="2"/>
  <c r="D91" i="2"/>
  <c r="E91" i="2"/>
  <c r="F91" i="2" s="1"/>
  <c r="G91" i="2"/>
  <c r="H91" i="2"/>
  <c r="P91" i="2" s="1"/>
  <c r="I91" i="2"/>
  <c r="K91" i="2"/>
  <c r="O91" i="2" s="1"/>
  <c r="L91" i="2"/>
  <c r="M91" i="2"/>
  <c r="A92" i="2"/>
  <c r="B92" i="2"/>
  <c r="C92" i="2"/>
  <c r="D92" i="2"/>
  <c r="E92" i="2"/>
  <c r="F92" i="2" s="1"/>
  <c r="G92" i="2"/>
  <c r="H92" i="2"/>
  <c r="I92" i="2"/>
  <c r="K92" i="2"/>
  <c r="L92" i="2"/>
  <c r="M92" i="2"/>
  <c r="P92" i="2"/>
  <c r="A93" i="2"/>
  <c r="B93" i="2"/>
  <c r="C93" i="2"/>
  <c r="D93" i="2"/>
  <c r="E93" i="2"/>
  <c r="F93" i="2" s="1"/>
  <c r="G93" i="2"/>
  <c r="N93" i="2" s="1"/>
  <c r="H93" i="2"/>
  <c r="I93" i="2"/>
  <c r="K93" i="2"/>
  <c r="L93" i="2"/>
  <c r="M93" i="2"/>
  <c r="A94" i="2"/>
  <c r="B94" i="2"/>
  <c r="C94" i="2"/>
  <c r="D94" i="2"/>
  <c r="E94" i="2"/>
  <c r="F94" i="2" s="1"/>
  <c r="G94" i="2"/>
  <c r="P94" i="2" s="1"/>
  <c r="H94" i="2"/>
  <c r="I94" i="2"/>
  <c r="K94" i="2"/>
  <c r="L94" i="2"/>
  <c r="M94" i="2"/>
  <c r="A95" i="2"/>
  <c r="B95" i="2"/>
  <c r="C95" i="2"/>
  <c r="D95" i="2"/>
  <c r="E95" i="2"/>
  <c r="G95" i="2"/>
  <c r="H95" i="2"/>
  <c r="I95" i="2"/>
  <c r="K95" i="2"/>
  <c r="L95" i="2"/>
  <c r="M95" i="2"/>
  <c r="A96" i="2"/>
  <c r="B96" i="2"/>
  <c r="C96" i="2"/>
  <c r="D96" i="2"/>
  <c r="E96" i="2"/>
  <c r="G96" i="2"/>
  <c r="N96" i="2" s="1"/>
  <c r="H96" i="2"/>
  <c r="I96" i="2"/>
  <c r="K96" i="2"/>
  <c r="L96" i="2"/>
  <c r="M96" i="2"/>
  <c r="A97" i="2"/>
  <c r="B97" i="2"/>
  <c r="C97" i="2"/>
  <c r="D97" i="2"/>
  <c r="E97" i="2"/>
  <c r="G97" i="2"/>
  <c r="P97" i="2" s="1"/>
  <c r="H97" i="2"/>
  <c r="I97" i="2"/>
  <c r="K97" i="2"/>
  <c r="L97" i="2"/>
  <c r="M97" i="2"/>
  <c r="A98" i="2"/>
  <c r="B98" i="2"/>
  <c r="C98" i="2"/>
  <c r="D98" i="2"/>
  <c r="E98" i="2"/>
  <c r="F98" i="2" s="1"/>
  <c r="G98" i="2"/>
  <c r="N98" i="2" s="1"/>
  <c r="H98" i="2"/>
  <c r="P98" i="2" s="1"/>
  <c r="I98" i="2"/>
  <c r="K98" i="2"/>
  <c r="L98" i="2"/>
  <c r="M98" i="2"/>
  <c r="A99" i="2"/>
  <c r="B99" i="2"/>
  <c r="C99" i="2"/>
  <c r="D99" i="2"/>
  <c r="E99" i="2"/>
  <c r="F99" i="2" s="1"/>
  <c r="G99" i="2"/>
  <c r="H99" i="2"/>
  <c r="P99" i="2" s="1"/>
  <c r="I99" i="2"/>
  <c r="K99" i="2"/>
  <c r="O99" i="2" s="1"/>
  <c r="L99" i="2"/>
  <c r="M99" i="2"/>
  <c r="A100" i="2"/>
  <c r="B100" i="2"/>
  <c r="C100" i="2"/>
  <c r="D100" i="2"/>
  <c r="E100" i="2"/>
  <c r="F100" i="2" s="1"/>
  <c r="G100" i="2"/>
  <c r="H100" i="2"/>
  <c r="I100" i="2"/>
  <c r="K100" i="2"/>
  <c r="L100" i="2"/>
  <c r="M100" i="2"/>
  <c r="P100" i="2"/>
  <c r="A101" i="2"/>
  <c r="B101" i="2"/>
  <c r="C101" i="2"/>
  <c r="D101" i="2"/>
  <c r="E101" i="2"/>
  <c r="F101" i="2" s="1"/>
  <c r="G101" i="2"/>
  <c r="N101" i="2" s="1"/>
  <c r="H101" i="2"/>
  <c r="I101" i="2"/>
  <c r="K101" i="2"/>
  <c r="L101" i="2"/>
  <c r="M101" i="2"/>
  <c r="A102" i="2"/>
  <c r="B102" i="2"/>
  <c r="C102" i="2"/>
  <c r="D102" i="2"/>
  <c r="E102" i="2"/>
  <c r="F102" i="2" s="1"/>
  <c r="G102" i="2"/>
  <c r="P102" i="2" s="1"/>
  <c r="H102" i="2"/>
  <c r="I102" i="2"/>
  <c r="K102" i="2"/>
  <c r="L102" i="2"/>
  <c r="M102" i="2"/>
  <c r="A103" i="2"/>
  <c r="B103" i="2"/>
  <c r="C103" i="2"/>
  <c r="D103" i="2"/>
  <c r="E103" i="2"/>
  <c r="G103" i="2"/>
  <c r="H103" i="2"/>
  <c r="I103" i="2"/>
  <c r="K103" i="2"/>
  <c r="L103" i="2"/>
  <c r="M103" i="2"/>
  <c r="A104" i="2"/>
  <c r="B104" i="2"/>
  <c r="C104" i="2"/>
  <c r="D104" i="2"/>
  <c r="E104" i="2"/>
  <c r="G104" i="2"/>
  <c r="N104" i="2" s="1"/>
  <c r="H104" i="2"/>
  <c r="I104" i="2"/>
  <c r="K104" i="2"/>
  <c r="L104" i="2"/>
  <c r="M104" i="2"/>
  <c r="A105" i="2"/>
  <c r="B105" i="2"/>
  <c r="C105" i="2"/>
  <c r="D105" i="2"/>
  <c r="E105" i="2"/>
  <c r="G105" i="2"/>
  <c r="P105" i="2" s="1"/>
  <c r="H105" i="2"/>
  <c r="I105" i="2"/>
  <c r="K105" i="2"/>
  <c r="L105" i="2"/>
  <c r="M105" i="2"/>
  <c r="A106" i="2"/>
  <c r="B106" i="2"/>
  <c r="C106" i="2"/>
  <c r="D106" i="2"/>
  <c r="E106" i="2"/>
  <c r="F106" i="2" s="1"/>
  <c r="G106" i="2"/>
  <c r="N106" i="2" s="1"/>
  <c r="H106" i="2"/>
  <c r="P106" i="2" s="1"/>
  <c r="I106" i="2"/>
  <c r="K106" i="2"/>
  <c r="L106" i="2"/>
  <c r="M106" i="2"/>
  <c r="A107" i="2"/>
  <c r="B107" i="2"/>
  <c r="C107" i="2"/>
  <c r="D107" i="2"/>
  <c r="E107" i="2"/>
  <c r="F107" i="2" s="1"/>
  <c r="G107" i="2"/>
  <c r="H107" i="2"/>
  <c r="P107" i="2" s="1"/>
  <c r="I107" i="2"/>
  <c r="K107" i="2"/>
  <c r="O107" i="2" s="1"/>
  <c r="L107" i="2"/>
  <c r="M107" i="2"/>
  <c r="A108" i="2"/>
  <c r="B108" i="2"/>
  <c r="C108" i="2"/>
  <c r="D108" i="2"/>
  <c r="E108" i="2"/>
  <c r="F108" i="2" s="1"/>
  <c r="G108" i="2"/>
  <c r="H108" i="2"/>
  <c r="I108" i="2"/>
  <c r="K108" i="2"/>
  <c r="L108" i="2"/>
  <c r="M108" i="2"/>
  <c r="P108" i="2"/>
  <c r="A109" i="2"/>
  <c r="B109" i="2"/>
  <c r="C109" i="2"/>
  <c r="D109" i="2"/>
  <c r="E109" i="2"/>
  <c r="F109" i="2" s="1"/>
  <c r="G109" i="2"/>
  <c r="N109" i="2" s="1"/>
  <c r="H109" i="2"/>
  <c r="I109" i="2"/>
  <c r="K109" i="2"/>
  <c r="L109" i="2"/>
  <c r="M109" i="2"/>
  <c r="A110" i="2"/>
  <c r="B110" i="2"/>
  <c r="C110" i="2"/>
  <c r="D110" i="2"/>
  <c r="E110" i="2"/>
  <c r="G110" i="2"/>
  <c r="P110" i="2" s="1"/>
  <c r="H110" i="2"/>
  <c r="I110" i="2"/>
  <c r="K110" i="2"/>
  <c r="L110" i="2"/>
  <c r="M110" i="2"/>
  <c r="A111" i="2"/>
  <c r="B111" i="2"/>
  <c r="C111" i="2"/>
  <c r="D111" i="2"/>
  <c r="E111" i="2"/>
  <c r="G111" i="2"/>
  <c r="H111" i="2"/>
  <c r="I111" i="2"/>
  <c r="K111" i="2"/>
  <c r="L111" i="2"/>
  <c r="M111" i="2"/>
  <c r="A112" i="2"/>
  <c r="B112" i="2"/>
  <c r="C112" i="2"/>
  <c r="D112" i="2"/>
  <c r="E112" i="2"/>
  <c r="G112" i="2"/>
  <c r="N112" i="2" s="1"/>
  <c r="H112" i="2"/>
  <c r="P112" i="2" s="1"/>
  <c r="I112" i="2"/>
  <c r="K112" i="2"/>
  <c r="O112" i="2" s="1"/>
  <c r="L112" i="2"/>
  <c r="M112" i="2"/>
  <c r="A113" i="2"/>
  <c r="B113" i="2"/>
  <c r="C113" i="2"/>
  <c r="D113" i="2"/>
  <c r="E113" i="2"/>
  <c r="F113" i="2" s="1"/>
  <c r="G113" i="2"/>
  <c r="H113" i="2"/>
  <c r="I113" i="2"/>
  <c r="K113" i="2"/>
  <c r="L113" i="2"/>
  <c r="M113" i="2"/>
  <c r="P113" i="2"/>
  <c r="A114" i="2"/>
  <c r="B114" i="2"/>
  <c r="C114" i="2"/>
  <c r="D114" i="2"/>
  <c r="E114" i="2"/>
  <c r="F114" i="2" s="1"/>
  <c r="G114" i="2"/>
  <c r="N114" i="2" s="1"/>
  <c r="H114" i="2"/>
  <c r="I114" i="2"/>
  <c r="K114" i="2"/>
  <c r="L114" i="2"/>
  <c r="M114" i="2"/>
  <c r="A115" i="2"/>
  <c r="B115" i="2"/>
  <c r="C115" i="2"/>
  <c r="D115" i="2"/>
  <c r="E115" i="2"/>
  <c r="G115" i="2"/>
  <c r="H115" i="2"/>
  <c r="P115" i="2" s="1"/>
  <c r="I115" i="2"/>
  <c r="K115" i="2"/>
  <c r="L115" i="2"/>
  <c r="M115" i="2"/>
  <c r="A116" i="2"/>
  <c r="B116" i="2"/>
  <c r="C116" i="2"/>
  <c r="D116" i="2"/>
  <c r="E116" i="2"/>
  <c r="F116" i="2" s="1"/>
  <c r="G116" i="2"/>
  <c r="P116" i="2" s="1"/>
  <c r="H116" i="2"/>
  <c r="I116" i="2"/>
  <c r="K116" i="2"/>
  <c r="L116" i="2"/>
  <c r="M116" i="2"/>
  <c r="A117" i="2"/>
  <c r="B117" i="2"/>
  <c r="C117" i="2"/>
  <c r="D117" i="2"/>
  <c r="E117" i="2"/>
  <c r="F117" i="2" s="1"/>
  <c r="G117" i="2"/>
  <c r="H117" i="2"/>
  <c r="I117" i="2"/>
  <c r="K117" i="2"/>
  <c r="L117" i="2"/>
  <c r="M117" i="2"/>
  <c r="A118" i="2"/>
  <c r="B118" i="2"/>
  <c r="C118" i="2"/>
  <c r="D118" i="2"/>
  <c r="E118" i="2"/>
  <c r="G118" i="2"/>
  <c r="H118" i="2"/>
  <c r="I118" i="2"/>
  <c r="K118" i="2"/>
  <c r="L118" i="2"/>
  <c r="M118" i="2"/>
  <c r="A119" i="2"/>
  <c r="B119" i="2"/>
  <c r="C119" i="2"/>
  <c r="D119" i="2"/>
  <c r="E119" i="2"/>
  <c r="F119" i="2" s="1"/>
  <c r="G119" i="2"/>
  <c r="H119" i="2"/>
  <c r="P119" i="2" s="1"/>
  <c r="I119" i="2"/>
  <c r="K119" i="2"/>
  <c r="O119" i="2" s="1"/>
  <c r="L119" i="2"/>
  <c r="M119" i="2"/>
  <c r="A120" i="2"/>
  <c r="B120" i="2"/>
  <c r="C120" i="2"/>
  <c r="D120" i="2"/>
  <c r="E120" i="2"/>
  <c r="F120" i="2" s="1"/>
  <c r="G120" i="2"/>
  <c r="H120" i="2"/>
  <c r="P120" i="2" s="1"/>
  <c r="I120" i="2"/>
  <c r="K120" i="2"/>
  <c r="L120" i="2"/>
  <c r="M120" i="2"/>
  <c r="O120" i="2"/>
  <c r="A121" i="2"/>
  <c r="B121" i="2"/>
  <c r="C121" i="2"/>
  <c r="D121" i="2"/>
  <c r="E121" i="2"/>
  <c r="F121" i="2" s="1"/>
  <c r="G121" i="2"/>
  <c r="N121" i="2" s="1"/>
  <c r="H121" i="2"/>
  <c r="I121" i="2"/>
  <c r="K121" i="2"/>
  <c r="L121" i="2"/>
  <c r="M121" i="2"/>
  <c r="O121" i="2"/>
  <c r="A122" i="2"/>
  <c r="B122" i="2"/>
  <c r="C122" i="2"/>
  <c r="D122" i="2"/>
  <c r="E122" i="2"/>
  <c r="F122" i="2" s="1"/>
  <c r="G122" i="2"/>
  <c r="H122" i="2"/>
  <c r="I122" i="2"/>
  <c r="K122" i="2"/>
  <c r="L122" i="2"/>
  <c r="M122" i="2"/>
  <c r="A123" i="2"/>
  <c r="B123" i="2"/>
  <c r="C123" i="2"/>
  <c r="D123" i="2"/>
  <c r="E123" i="2"/>
  <c r="F123" i="2" s="1"/>
  <c r="G123" i="2"/>
  <c r="H123" i="2"/>
  <c r="P123" i="2" s="1"/>
  <c r="I123" i="2"/>
  <c r="K123" i="2"/>
  <c r="L123" i="2"/>
  <c r="M123" i="2"/>
  <c r="O123" i="2"/>
  <c r="A124" i="2"/>
  <c r="B124" i="2"/>
  <c r="C124" i="2"/>
  <c r="D124" i="2"/>
  <c r="E124" i="2"/>
  <c r="F124" i="2" s="1"/>
  <c r="G124" i="2"/>
  <c r="H124" i="2"/>
  <c r="I124" i="2"/>
  <c r="K124" i="2"/>
  <c r="L124" i="2"/>
  <c r="M124" i="2"/>
  <c r="P124" i="2"/>
  <c r="A125" i="2"/>
  <c r="B125" i="2"/>
  <c r="C125" i="2"/>
  <c r="D125" i="2"/>
  <c r="E125" i="2"/>
  <c r="F125" i="2"/>
  <c r="G125" i="2"/>
  <c r="H125" i="2"/>
  <c r="I125" i="2"/>
  <c r="K125" i="2"/>
  <c r="L125" i="2"/>
  <c r="M125" i="2"/>
  <c r="P125" i="2"/>
  <c r="A126" i="2"/>
  <c r="B126" i="2"/>
  <c r="C126" i="2"/>
  <c r="D126" i="2"/>
  <c r="E126" i="2"/>
  <c r="F126" i="2"/>
  <c r="G126" i="2"/>
  <c r="H126" i="2"/>
  <c r="I126" i="2"/>
  <c r="K126" i="2"/>
  <c r="L126" i="2"/>
  <c r="M126" i="2"/>
  <c r="P126" i="2"/>
  <c r="A127" i="2"/>
  <c r="B127" i="2"/>
  <c r="C127" i="2"/>
  <c r="D127" i="2"/>
  <c r="E127" i="2"/>
  <c r="F127" i="2"/>
  <c r="G127" i="2"/>
  <c r="H127" i="2"/>
  <c r="I127" i="2"/>
  <c r="K127" i="2"/>
  <c r="L127" i="2"/>
  <c r="M127" i="2"/>
  <c r="P127" i="2"/>
  <c r="A128" i="2"/>
  <c r="B128" i="2"/>
  <c r="C128" i="2"/>
  <c r="D128" i="2"/>
  <c r="E128" i="2"/>
  <c r="F128" i="2"/>
  <c r="G128" i="2"/>
  <c r="H128" i="2"/>
  <c r="I128" i="2"/>
  <c r="K128" i="2"/>
  <c r="L128" i="2"/>
  <c r="M128" i="2"/>
  <c r="P128" i="2"/>
  <c r="A129" i="2"/>
  <c r="B129" i="2"/>
  <c r="C129" i="2"/>
  <c r="D129" i="2"/>
  <c r="E129" i="2"/>
  <c r="F129" i="2"/>
  <c r="G129" i="2"/>
  <c r="H129" i="2"/>
  <c r="I129" i="2"/>
  <c r="K129" i="2"/>
  <c r="L129" i="2"/>
  <c r="M129" i="2"/>
  <c r="P129" i="2"/>
  <c r="A130" i="2"/>
  <c r="B130" i="2"/>
  <c r="C130" i="2"/>
  <c r="D130" i="2"/>
  <c r="E130" i="2"/>
  <c r="F130" i="2"/>
  <c r="G130" i="2"/>
  <c r="H130" i="2"/>
  <c r="I130" i="2"/>
  <c r="K130" i="2"/>
  <c r="L130" i="2"/>
  <c r="M130" i="2"/>
  <c r="P130" i="2"/>
  <c r="A131" i="2"/>
  <c r="B131" i="2"/>
  <c r="C131" i="2"/>
  <c r="D131" i="2"/>
  <c r="E131" i="2"/>
  <c r="F131" i="2"/>
  <c r="G131" i="2"/>
  <c r="H131" i="2"/>
  <c r="I131" i="2"/>
  <c r="K131" i="2"/>
  <c r="L131" i="2"/>
  <c r="M131" i="2"/>
  <c r="P131" i="2"/>
  <c r="A132" i="2"/>
  <c r="B132" i="2"/>
  <c r="C132" i="2"/>
  <c r="D132" i="2"/>
  <c r="E132" i="2"/>
  <c r="F132" i="2"/>
  <c r="G132" i="2"/>
  <c r="H132" i="2"/>
  <c r="I132" i="2"/>
  <c r="K132" i="2"/>
  <c r="L132" i="2"/>
  <c r="M132" i="2"/>
  <c r="P132" i="2"/>
  <c r="A133" i="2"/>
  <c r="B133" i="2"/>
  <c r="C133" i="2"/>
  <c r="D133" i="2"/>
  <c r="E133" i="2"/>
  <c r="F133" i="2"/>
  <c r="G133" i="2"/>
  <c r="H133" i="2"/>
  <c r="I133" i="2"/>
  <c r="K133" i="2"/>
  <c r="L133" i="2"/>
  <c r="M133" i="2"/>
  <c r="P133" i="2"/>
  <c r="A134" i="2"/>
  <c r="B134" i="2"/>
  <c r="C134" i="2"/>
  <c r="D134" i="2"/>
  <c r="E134" i="2"/>
  <c r="F134" i="2"/>
  <c r="G134" i="2"/>
  <c r="H134" i="2"/>
  <c r="I134" i="2"/>
  <c r="K134" i="2"/>
  <c r="L134" i="2"/>
  <c r="M134" i="2"/>
  <c r="P134" i="2"/>
  <c r="A135" i="2"/>
  <c r="B135" i="2"/>
  <c r="C135" i="2"/>
  <c r="D135" i="2"/>
  <c r="E135" i="2"/>
  <c r="F135" i="2"/>
  <c r="G135" i="2"/>
  <c r="H135" i="2"/>
  <c r="I135" i="2"/>
  <c r="K135" i="2"/>
  <c r="L135" i="2"/>
  <c r="M135" i="2"/>
  <c r="P135" i="2"/>
  <c r="A136" i="2"/>
  <c r="B136" i="2"/>
  <c r="C136" i="2"/>
  <c r="D136" i="2"/>
  <c r="E136" i="2"/>
  <c r="F136" i="2"/>
  <c r="G136" i="2"/>
  <c r="H136" i="2"/>
  <c r="I136" i="2"/>
  <c r="K136" i="2"/>
  <c r="L136" i="2"/>
  <c r="M136" i="2"/>
  <c r="P136" i="2"/>
  <c r="A137" i="2"/>
  <c r="B137" i="2"/>
  <c r="C137" i="2"/>
  <c r="D137" i="2"/>
  <c r="E137" i="2"/>
  <c r="F137" i="2"/>
  <c r="G137" i="2"/>
  <c r="H137" i="2"/>
  <c r="I137" i="2"/>
  <c r="K137" i="2"/>
  <c r="L137" i="2"/>
  <c r="M137" i="2"/>
  <c r="P137" i="2"/>
  <c r="A138" i="2"/>
  <c r="B138" i="2"/>
  <c r="C138" i="2"/>
  <c r="D138" i="2"/>
  <c r="E138" i="2"/>
  <c r="F138" i="2"/>
  <c r="G138" i="2"/>
  <c r="H138" i="2"/>
  <c r="I138" i="2"/>
  <c r="K138" i="2"/>
  <c r="L138" i="2"/>
  <c r="M138" i="2"/>
  <c r="P138" i="2"/>
  <c r="A139" i="2"/>
  <c r="B139" i="2"/>
  <c r="C139" i="2"/>
  <c r="D139" i="2"/>
  <c r="E139" i="2"/>
  <c r="F139" i="2"/>
  <c r="G139" i="2"/>
  <c r="H139" i="2"/>
  <c r="I139" i="2"/>
  <c r="K139" i="2"/>
  <c r="L139" i="2"/>
  <c r="M139" i="2"/>
  <c r="P139" i="2"/>
  <c r="A140" i="2"/>
  <c r="B140" i="2"/>
  <c r="C140" i="2"/>
  <c r="D140" i="2"/>
  <c r="E140" i="2"/>
  <c r="F140" i="2"/>
  <c r="G140" i="2"/>
  <c r="H140" i="2"/>
  <c r="I140" i="2"/>
  <c r="K140" i="2"/>
  <c r="L140" i="2"/>
  <c r="M140" i="2"/>
  <c r="P140" i="2"/>
  <c r="A141" i="2"/>
  <c r="B141" i="2"/>
  <c r="C141" i="2"/>
  <c r="D141" i="2"/>
  <c r="E141" i="2"/>
  <c r="F141" i="2"/>
  <c r="G141" i="2"/>
  <c r="H141" i="2"/>
  <c r="I141" i="2"/>
  <c r="K141" i="2"/>
  <c r="L141" i="2"/>
  <c r="M141" i="2"/>
  <c r="P141" i="2"/>
  <c r="A142" i="2"/>
  <c r="B142" i="2"/>
  <c r="C142" i="2"/>
  <c r="D142" i="2"/>
  <c r="E142" i="2"/>
  <c r="F142" i="2"/>
  <c r="G142" i="2"/>
  <c r="H142" i="2"/>
  <c r="I142" i="2"/>
  <c r="K142" i="2"/>
  <c r="L142" i="2"/>
  <c r="M142" i="2"/>
  <c r="P142" i="2"/>
  <c r="A143" i="2"/>
  <c r="B143" i="2"/>
  <c r="C143" i="2"/>
  <c r="D143" i="2"/>
  <c r="E143" i="2"/>
  <c r="F143" i="2"/>
  <c r="G143" i="2"/>
  <c r="H143" i="2"/>
  <c r="I143" i="2"/>
  <c r="K143" i="2"/>
  <c r="L143" i="2"/>
  <c r="M143" i="2"/>
  <c r="P143" i="2"/>
  <c r="A144" i="2"/>
  <c r="B144" i="2"/>
  <c r="C144" i="2"/>
  <c r="D144" i="2"/>
  <c r="E144" i="2"/>
  <c r="F144" i="2"/>
  <c r="G144" i="2"/>
  <c r="H144" i="2"/>
  <c r="I144" i="2"/>
  <c r="K144" i="2"/>
  <c r="L144" i="2"/>
  <c r="M144" i="2"/>
  <c r="P144" i="2"/>
  <c r="A145" i="2"/>
  <c r="B145" i="2"/>
  <c r="C145" i="2"/>
  <c r="D145" i="2"/>
  <c r="E145" i="2"/>
  <c r="F145" i="2"/>
  <c r="G145" i="2"/>
  <c r="H145" i="2"/>
  <c r="I145" i="2"/>
  <c r="K145" i="2"/>
  <c r="L145" i="2"/>
  <c r="M145" i="2"/>
  <c r="P145" i="2"/>
  <c r="A146" i="2"/>
  <c r="B146" i="2"/>
  <c r="C146" i="2"/>
  <c r="D146" i="2"/>
  <c r="E146" i="2"/>
  <c r="F146" i="2"/>
  <c r="G146" i="2"/>
  <c r="H146" i="2"/>
  <c r="I146" i="2"/>
  <c r="K146" i="2"/>
  <c r="L146" i="2"/>
  <c r="M146" i="2"/>
  <c r="P146" i="2"/>
  <c r="A147" i="2"/>
  <c r="B147" i="2"/>
  <c r="C147" i="2"/>
  <c r="D147" i="2"/>
  <c r="E147" i="2"/>
  <c r="F147" i="2"/>
  <c r="G147" i="2"/>
  <c r="H147" i="2"/>
  <c r="I147" i="2"/>
  <c r="K147" i="2"/>
  <c r="L147" i="2"/>
  <c r="M147" i="2"/>
  <c r="P147" i="2"/>
  <c r="A148" i="2"/>
  <c r="B148" i="2"/>
  <c r="C148" i="2"/>
  <c r="D148" i="2"/>
  <c r="E148" i="2"/>
  <c r="F148" i="2"/>
  <c r="G148" i="2"/>
  <c r="H148" i="2"/>
  <c r="I148" i="2"/>
  <c r="K148" i="2"/>
  <c r="L148" i="2"/>
  <c r="M148" i="2"/>
  <c r="P148" i="2"/>
  <c r="A149" i="2"/>
  <c r="B149" i="2"/>
  <c r="C149" i="2"/>
  <c r="D149" i="2"/>
  <c r="E149" i="2"/>
  <c r="F149" i="2"/>
  <c r="G149" i="2"/>
  <c r="H149" i="2"/>
  <c r="I149" i="2"/>
  <c r="K149" i="2"/>
  <c r="L149" i="2"/>
  <c r="M149" i="2"/>
  <c r="P149" i="2"/>
  <c r="A150" i="2"/>
  <c r="B150" i="2"/>
  <c r="C150" i="2"/>
  <c r="D150" i="2"/>
  <c r="E150" i="2"/>
  <c r="F150" i="2"/>
  <c r="G150" i="2"/>
  <c r="H150" i="2"/>
  <c r="I150" i="2"/>
  <c r="K150" i="2"/>
  <c r="L150" i="2"/>
  <c r="M150" i="2"/>
  <c r="P150" i="2"/>
  <c r="A151" i="2"/>
  <c r="B151" i="2"/>
  <c r="C151" i="2"/>
  <c r="D151" i="2"/>
  <c r="E151" i="2"/>
  <c r="F151" i="2"/>
  <c r="G151" i="2"/>
  <c r="H151" i="2"/>
  <c r="I151" i="2"/>
  <c r="K151" i="2"/>
  <c r="L151" i="2"/>
  <c r="M151" i="2"/>
  <c r="P151" i="2"/>
  <c r="A152" i="2"/>
  <c r="B152" i="2"/>
  <c r="C152" i="2"/>
  <c r="D152" i="2"/>
  <c r="E152" i="2"/>
  <c r="F152" i="2"/>
  <c r="G152" i="2"/>
  <c r="H152" i="2"/>
  <c r="I152" i="2"/>
  <c r="K152" i="2"/>
  <c r="L152" i="2"/>
  <c r="M152" i="2"/>
  <c r="P152" i="2"/>
  <c r="A153" i="2"/>
  <c r="B153" i="2"/>
  <c r="C153" i="2"/>
  <c r="D153" i="2"/>
  <c r="E153" i="2"/>
  <c r="F153" i="2"/>
  <c r="G153" i="2"/>
  <c r="H153" i="2"/>
  <c r="I153" i="2"/>
  <c r="K153" i="2"/>
  <c r="L153" i="2"/>
  <c r="M153" i="2"/>
  <c r="P153" i="2"/>
  <c r="A154" i="2"/>
  <c r="B154" i="2"/>
  <c r="C154" i="2"/>
  <c r="D154" i="2"/>
  <c r="E154" i="2"/>
  <c r="F154" i="2" s="1"/>
  <c r="G154" i="2"/>
  <c r="H154" i="2"/>
  <c r="I154" i="2"/>
  <c r="K154" i="2"/>
  <c r="L154" i="2"/>
  <c r="M154" i="2"/>
  <c r="P154" i="2"/>
  <c r="A155" i="2"/>
  <c r="B155" i="2"/>
  <c r="C155" i="2"/>
  <c r="D155" i="2"/>
  <c r="E155" i="2"/>
  <c r="F155" i="2" s="1"/>
  <c r="G155" i="2"/>
  <c r="H155" i="2"/>
  <c r="I155" i="2"/>
  <c r="K155" i="2"/>
  <c r="L155" i="2"/>
  <c r="M155" i="2"/>
  <c r="P155" i="2"/>
  <c r="A156" i="2"/>
  <c r="B156" i="2"/>
  <c r="C156" i="2"/>
  <c r="D156" i="2"/>
  <c r="E156" i="2"/>
  <c r="F156" i="2" s="1"/>
  <c r="G156" i="2"/>
  <c r="H156" i="2"/>
  <c r="I156" i="2"/>
  <c r="K156" i="2"/>
  <c r="L156" i="2"/>
  <c r="M156" i="2"/>
  <c r="P156" i="2"/>
  <c r="A157" i="2"/>
  <c r="B157" i="2"/>
  <c r="C157" i="2"/>
  <c r="D157" i="2"/>
  <c r="E157" i="2"/>
  <c r="F157" i="2" s="1"/>
  <c r="G157" i="2"/>
  <c r="H157" i="2"/>
  <c r="I157" i="2"/>
  <c r="K157" i="2"/>
  <c r="L157" i="2"/>
  <c r="M157" i="2"/>
  <c r="P157" i="2"/>
  <c r="A158" i="2"/>
  <c r="B158" i="2"/>
  <c r="C158" i="2"/>
  <c r="D158" i="2"/>
  <c r="E158" i="2"/>
  <c r="F158" i="2" s="1"/>
  <c r="G158" i="2"/>
  <c r="H158" i="2"/>
  <c r="I158" i="2"/>
  <c r="K158" i="2"/>
  <c r="L158" i="2"/>
  <c r="M158" i="2"/>
  <c r="P158" i="2"/>
  <c r="A159" i="2"/>
  <c r="B159" i="2"/>
  <c r="C159" i="2"/>
  <c r="D159" i="2"/>
  <c r="E159" i="2"/>
  <c r="F159" i="2" s="1"/>
  <c r="G159" i="2"/>
  <c r="H159" i="2"/>
  <c r="I159" i="2"/>
  <c r="K159" i="2"/>
  <c r="L159" i="2"/>
  <c r="M159" i="2"/>
  <c r="P159" i="2"/>
  <c r="A160" i="2"/>
  <c r="B160" i="2"/>
  <c r="C160" i="2"/>
  <c r="D160" i="2"/>
  <c r="E160" i="2"/>
  <c r="F160" i="2" s="1"/>
  <c r="G160" i="2"/>
  <c r="H160" i="2"/>
  <c r="I160" i="2"/>
  <c r="K160" i="2"/>
  <c r="L160" i="2"/>
  <c r="M160" i="2"/>
  <c r="P160" i="2"/>
  <c r="A161" i="2"/>
  <c r="B161" i="2"/>
  <c r="C161" i="2"/>
  <c r="D161" i="2"/>
  <c r="E161" i="2"/>
  <c r="F161" i="2" s="1"/>
  <c r="G161" i="2"/>
  <c r="H161" i="2"/>
  <c r="I161" i="2"/>
  <c r="K161" i="2"/>
  <c r="L161" i="2"/>
  <c r="M161" i="2"/>
  <c r="P161" i="2"/>
  <c r="A162" i="2"/>
  <c r="B162" i="2"/>
  <c r="C162" i="2"/>
  <c r="D162" i="2"/>
  <c r="E162" i="2"/>
  <c r="F162" i="2" s="1"/>
  <c r="G162" i="2"/>
  <c r="H162" i="2"/>
  <c r="I162" i="2"/>
  <c r="K162" i="2"/>
  <c r="L162" i="2"/>
  <c r="M162" i="2"/>
  <c r="P162" i="2"/>
  <c r="A163" i="2"/>
  <c r="B163" i="2"/>
  <c r="C163" i="2"/>
  <c r="D163" i="2"/>
  <c r="E163" i="2"/>
  <c r="F163" i="2" s="1"/>
  <c r="G163" i="2"/>
  <c r="H163" i="2"/>
  <c r="I163" i="2"/>
  <c r="K163" i="2"/>
  <c r="L163" i="2"/>
  <c r="M163" i="2"/>
  <c r="P163" i="2"/>
  <c r="A164" i="2"/>
  <c r="B164" i="2"/>
  <c r="C164" i="2"/>
  <c r="D164" i="2"/>
  <c r="E164" i="2"/>
  <c r="F164" i="2" s="1"/>
  <c r="G164" i="2"/>
  <c r="H164" i="2"/>
  <c r="I164" i="2"/>
  <c r="K164" i="2"/>
  <c r="L164" i="2"/>
  <c r="M164" i="2"/>
  <c r="P164" i="2"/>
  <c r="A165" i="2"/>
  <c r="B165" i="2"/>
  <c r="C165" i="2"/>
  <c r="D165" i="2"/>
  <c r="E165" i="2"/>
  <c r="F165" i="2" s="1"/>
  <c r="G165" i="2"/>
  <c r="H165" i="2"/>
  <c r="I165" i="2"/>
  <c r="K165" i="2"/>
  <c r="L165" i="2"/>
  <c r="M165" i="2"/>
  <c r="P165" i="2"/>
  <c r="A166" i="2"/>
  <c r="B166" i="2"/>
  <c r="C166" i="2"/>
  <c r="D166" i="2"/>
  <c r="E166" i="2"/>
  <c r="F166" i="2" s="1"/>
  <c r="G166" i="2"/>
  <c r="H166" i="2"/>
  <c r="I166" i="2"/>
  <c r="K166" i="2"/>
  <c r="L166" i="2"/>
  <c r="M166" i="2"/>
  <c r="N166" i="2"/>
  <c r="P166" i="2"/>
  <c r="A167" i="2"/>
  <c r="B167" i="2"/>
  <c r="C167" i="2"/>
  <c r="D167" i="2"/>
  <c r="E167" i="2"/>
  <c r="F167" i="2"/>
  <c r="G167" i="2"/>
  <c r="H167" i="2"/>
  <c r="I167" i="2"/>
  <c r="K167" i="2"/>
  <c r="L167" i="2"/>
  <c r="M167" i="2"/>
  <c r="N167" i="2"/>
  <c r="P167" i="2"/>
  <c r="A168" i="2"/>
  <c r="B168" i="2"/>
  <c r="C168" i="2"/>
  <c r="D168" i="2"/>
  <c r="E168" i="2"/>
  <c r="F168" i="2"/>
  <c r="G168" i="2"/>
  <c r="H168" i="2"/>
  <c r="I168" i="2"/>
  <c r="K168" i="2"/>
  <c r="L168" i="2"/>
  <c r="M168" i="2"/>
  <c r="N168" i="2"/>
  <c r="P168" i="2"/>
  <c r="A169" i="2"/>
  <c r="B169" i="2"/>
  <c r="C169" i="2"/>
  <c r="D169" i="2"/>
  <c r="E169" i="2"/>
  <c r="F169" i="2" s="1"/>
  <c r="G169" i="2"/>
  <c r="H169" i="2"/>
  <c r="I169" i="2"/>
  <c r="K169" i="2"/>
  <c r="O169" i="2" s="1"/>
  <c r="L169" i="2"/>
  <c r="M169" i="2"/>
  <c r="N169" i="2"/>
  <c r="P169" i="2"/>
  <c r="A170" i="2"/>
  <c r="B170" i="2"/>
  <c r="C170" i="2"/>
  <c r="D170" i="2"/>
  <c r="E170" i="2"/>
  <c r="F170" i="2"/>
  <c r="G170" i="2"/>
  <c r="H170" i="2"/>
  <c r="I170" i="2"/>
  <c r="K170" i="2"/>
  <c r="O170" i="2" s="1"/>
  <c r="L170" i="2"/>
  <c r="M170" i="2"/>
  <c r="N170" i="2"/>
  <c r="P170" i="2"/>
  <c r="A171" i="2"/>
  <c r="B171" i="2"/>
  <c r="C171" i="2"/>
  <c r="D171" i="2"/>
  <c r="E171" i="2"/>
  <c r="F171" i="2" s="1"/>
  <c r="G171" i="2"/>
  <c r="H171" i="2"/>
  <c r="I171" i="2"/>
  <c r="K171" i="2"/>
  <c r="O171" i="2" s="1"/>
  <c r="L171" i="2"/>
  <c r="M171" i="2"/>
  <c r="N171" i="2"/>
  <c r="P171" i="2"/>
  <c r="A172" i="2"/>
  <c r="B172" i="2"/>
  <c r="C172" i="2"/>
  <c r="D172" i="2"/>
  <c r="E172" i="2"/>
  <c r="F172" i="2" s="1"/>
  <c r="G172" i="2"/>
  <c r="H172" i="2"/>
  <c r="I172" i="2"/>
  <c r="K172" i="2"/>
  <c r="L172" i="2"/>
  <c r="M172" i="2"/>
  <c r="N172" i="2"/>
  <c r="A173" i="2"/>
  <c r="B173" i="2"/>
  <c r="C173" i="2"/>
  <c r="D173" i="2"/>
  <c r="E173" i="2"/>
  <c r="F173" i="2"/>
  <c r="G173" i="2"/>
  <c r="H173" i="2"/>
  <c r="I173" i="2"/>
  <c r="K173" i="2"/>
  <c r="L173" i="2"/>
  <c r="M173" i="2"/>
  <c r="O173" i="2"/>
  <c r="A174" i="2"/>
  <c r="B174" i="2"/>
  <c r="C174" i="2"/>
  <c r="D174" i="2"/>
  <c r="F174" i="2" s="1"/>
  <c r="E174" i="2"/>
  <c r="G174" i="2"/>
  <c r="H174" i="2"/>
  <c r="I174" i="2"/>
  <c r="K174" i="2"/>
  <c r="L174" i="2"/>
  <c r="M174" i="2"/>
  <c r="O174" i="2"/>
  <c r="A175" i="2"/>
  <c r="B175" i="2"/>
  <c r="C175" i="2"/>
  <c r="D175" i="2"/>
  <c r="E175" i="2"/>
  <c r="F175" i="2" s="1"/>
  <c r="G175" i="2"/>
  <c r="H175" i="2"/>
  <c r="I175" i="2"/>
  <c r="K175" i="2"/>
  <c r="L175" i="2"/>
  <c r="M175" i="2"/>
  <c r="O175" i="2" s="1"/>
  <c r="A176" i="2"/>
  <c r="B176" i="2"/>
  <c r="C176" i="2"/>
  <c r="D176" i="2"/>
  <c r="E176" i="2"/>
  <c r="F176" i="2"/>
  <c r="G176" i="2"/>
  <c r="H176" i="2"/>
  <c r="I176" i="2"/>
  <c r="K176" i="2"/>
  <c r="L176" i="2"/>
  <c r="O176" i="2" s="1"/>
  <c r="M176" i="2"/>
  <c r="N176" i="2"/>
  <c r="A177" i="2"/>
  <c r="B177" i="2"/>
  <c r="C177" i="2"/>
  <c r="D177" i="2"/>
  <c r="E177" i="2"/>
  <c r="F177" i="2" s="1"/>
  <c r="G177" i="2"/>
  <c r="P177" i="2" s="1"/>
  <c r="H177" i="2"/>
  <c r="I177" i="2"/>
  <c r="K177" i="2"/>
  <c r="O177" i="2" s="1"/>
  <c r="L177" i="2"/>
  <c r="M177" i="2"/>
  <c r="A178" i="2"/>
  <c r="B178" i="2"/>
  <c r="C178" i="2"/>
  <c r="D178" i="2"/>
  <c r="F178" i="2" s="1"/>
  <c r="E178" i="2"/>
  <c r="G178" i="2"/>
  <c r="H178" i="2"/>
  <c r="I178" i="2"/>
  <c r="K178" i="2"/>
  <c r="L178" i="2"/>
  <c r="M178" i="2"/>
  <c r="P178" i="2"/>
  <c r="A179" i="2"/>
  <c r="B179" i="2"/>
  <c r="C179" i="2"/>
  <c r="D179" i="2"/>
  <c r="F179" i="2" s="1"/>
  <c r="E179" i="2"/>
  <c r="G179" i="2"/>
  <c r="H179" i="2"/>
  <c r="I179" i="2"/>
  <c r="K179" i="2"/>
  <c r="L179" i="2"/>
  <c r="M179" i="2"/>
  <c r="P179" i="2"/>
  <c r="A180" i="2"/>
  <c r="B180" i="2"/>
  <c r="C180" i="2"/>
  <c r="D180" i="2"/>
  <c r="F180" i="2" s="1"/>
  <c r="E180" i="2"/>
  <c r="G180" i="2"/>
  <c r="H180" i="2"/>
  <c r="I180" i="2"/>
  <c r="K180" i="2"/>
  <c r="L180" i="2"/>
  <c r="M180" i="2"/>
  <c r="P180" i="2"/>
  <c r="A181" i="2"/>
  <c r="B181" i="2"/>
  <c r="C181" i="2"/>
  <c r="D181" i="2"/>
  <c r="F181" i="2" s="1"/>
  <c r="E181" i="2"/>
  <c r="G181" i="2"/>
  <c r="H181" i="2"/>
  <c r="I181" i="2"/>
  <c r="K181" i="2"/>
  <c r="L181" i="2"/>
  <c r="M181" i="2"/>
  <c r="P181" i="2"/>
  <c r="A182" i="2"/>
  <c r="B182" i="2"/>
  <c r="C182" i="2"/>
  <c r="D182" i="2"/>
  <c r="F182" i="2" s="1"/>
  <c r="E182" i="2"/>
  <c r="G182" i="2"/>
  <c r="H182" i="2"/>
  <c r="I182" i="2"/>
  <c r="K182" i="2"/>
  <c r="L182" i="2"/>
  <c r="M182" i="2"/>
  <c r="P182" i="2"/>
  <c r="A183" i="2"/>
  <c r="B183" i="2"/>
  <c r="C183" i="2"/>
  <c r="D183" i="2"/>
  <c r="F183" i="2" s="1"/>
  <c r="E183" i="2"/>
  <c r="G183" i="2"/>
  <c r="H183" i="2"/>
  <c r="I183" i="2"/>
  <c r="K183" i="2"/>
  <c r="L183" i="2"/>
  <c r="M183" i="2"/>
  <c r="P183" i="2"/>
  <c r="A184" i="2"/>
  <c r="B184" i="2"/>
  <c r="C184" i="2"/>
  <c r="D184" i="2"/>
  <c r="F184" i="2" s="1"/>
  <c r="E184" i="2"/>
  <c r="G184" i="2"/>
  <c r="H184" i="2"/>
  <c r="I184" i="2"/>
  <c r="K184" i="2"/>
  <c r="L184" i="2"/>
  <c r="M184" i="2"/>
  <c r="P184" i="2"/>
  <c r="A185" i="2"/>
  <c r="B185" i="2"/>
  <c r="C185" i="2"/>
  <c r="D185" i="2"/>
  <c r="F185" i="2" s="1"/>
  <c r="E185" i="2"/>
  <c r="G185" i="2"/>
  <c r="H185" i="2"/>
  <c r="I185" i="2"/>
  <c r="K185" i="2"/>
  <c r="L185" i="2"/>
  <c r="M185" i="2"/>
  <c r="P185" i="2"/>
  <c r="A186" i="2"/>
  <c r="B186" i="2"/>
  <c r="C186" i="2"/>
  <c r="D186" i="2"/>
  <c r="F186" i="2" s="1"/>
  <c r="E186" i="2"/>
  <c r="G186" i="2"/>
  <c r="H186" i="2"/>
  <c r="I186" i="2"/>
  <c r="K186" i="2"/>
  <c r="L186" i="2"/>
  <c r="M186" i="2"/>
  <c r="P186" i="2"/>
  <c r="A187" i="2"/>
  <c r="B187" i="2"/>
  <c r="C187" i="2"/>
  <c r="D187" i="2"/>
  <c r="F187" i="2" s="1"/>
  <c r="E187" i="2"/>
  <c r="G187" i="2"/>
  <c r="H187" i="2"/>
  <c r="P187" i="2" s="1"/>
  <c r="I187" i="2"/>
  <c r="K187" i="2"/>
  <c r="L187" i="2"/>
  <c r="O187" i="2" s="1"/>
  <c r="M187" i="2"/>
  <c r="A188" i="2"/>
  <c r="B188" i="2"/>
  <c r="C188" i="2"/>
  <c r="D188" i="2"/>
  <c r="E188" i="2"/>
  <c r="F188" i="2" s="1"/>
  <c r="G188" i="2"/>
  <c r="H188" i="2"/>
  <c r="P188" i="2" s="1"/>
  <c r="I188" i="2"/>
  <c r="K188" i="2"/>
  <c r="L188" i="2"/>
  <c r="M188" i="2"/>
  <c r="N188" i="2"/>
  <c r="A189" i="2"/>
  <c r="B189" i="2"/>
  <c r="C189" i="2"/>
  <c r="D189" i="2"/>
  <c r="E189" i="2"/>
  <c r="F189" i="2"/>
  <c r="G189" i="2"/>
  <c r="H189" i="2"/>
  <c r="I189" i="2"/>
  <c r="K189" i="2"/>
  <c r="L189" i="2"/>
  <c r="M189" i="2"/>
  <c r="N189" i="2"/>
  <c r="P189" i="2"/>
  <c r="A190" i="2"/>
  <c r="B190" i="2"/>
  <c r="C190" i="2"/>
  <c r="D190" i="2"/>
  <c r="F190" i="2" s="1"/>
  <c r="E190" i="2"/>
  <c r="G190" i="2"/>
  <c r="H190" i="2"/>
  <c r="I190" i="2"/>
  <c r="K190" i="2"/>
  <c r="L190" i="2"/>
  <c r="M190" i="2"/>
  <c r="A191" i="2"/>
  <c r="B191" i="2"/>
  <c r="C191" i="2"/>
  <c r="D191" i="2"/>
  <c r="E191" i="2"/>
  <c r="G191" i="2"/>
  <c r="P191" i="2" s="1"/>
  <c r="H191" i="2"/>
  <c r="I191" i="2"/>
  <c r="K191" i="2"/>
  <c r="L191" i="2"/>
  <c r="O191" i="2" s="1"/>
  <c r="M191" i="2"/>
  <c r="A192" i="2"/>
  <c r="B192" i="2"/>
  <c r="C192" i="2"/>
  <c r="D192" i="2"/>
  <c r="E192" i="2"/>
  <c r="G192" i="2"/>
  <c r="H192" i="2"/>
  <c r="I192" i="2"/>
  <c r="K192" i="2"/>
  <c r="L192" i="2"/>
  <c r="M192" i="2"/>
  <c r="P192" i="2"/>
  <c r="A193" i="2"/>
  <c r="B193" i="2"/>
  <c r="C193" i="2"/>
  <c r="D193" i="2"/>
  <c r="E193" i="2"/>
  <c r="G193" i="2"/>
  <c r="H193" i="2"/>
  <c r="P193" i="2" s="1"/>
  <c r="I193" i="2"/>
  <c r="K193" i="2"/>
  <c r="L193" i="2"/>
  <c r="M193" i="2"/>
  <c r="A194" i="2"/>
  <c r="B194" i="2"/>
  <c r="C194" i="2"/>
  <c r="D194" i="2"/>
  <c r="F194" i="2" s="1"/>
  <c r="E194" i="2"/>
  <c r="G194" i="2"/>
  <c r="H194" i="2"/>
  <c r="P194" i="2" s="1"/>
  <c r="I194" i="2"/>
  <c r="K194" i="2"/>
  <c r="L194" i="2"/>
  <c r="O194" i="2" s="1"/>
  <c r="M194" i="2"/>
  <c r="A195" i="2"/>
  <c r="B195" i="2"/>
  <c r="C195" i="2"/>
  <c r="D195" i="2"/>
  <c r="E195" i="2"/>
  <c r="G195" i="2"/>
  <c r="H195" i="2"/>
  <c r="I195" i="2"/>
  <c r="K195" i="2"/>
  <c r="L195" i="2"/>
  <c r="M195" i="2"/>
  <c r="P195" i="2"/>
  <c r="A196" i="2"/>
  <c r="B196" i="2"/>
  <c r="C196" i="2"/>
  <c r="D196" i="2"/>
  <c r="E196" i="2"/>
  <c r="F196" i="2"/>
  <c r="G196" i="2"/>
  <c r="N196" i="2" s="1"/>
  <c r="H196" i="2"/>
  <c r="I196" i="2"/>
  <c r="K196" i="2"/>
  <c r="L196" i="2"/>
  <c r="O196" i="2" s="1"/>
  <c r="M196" i="2"/>
  <c r="P196" i="2"/>
  <c r="A197" i="2"/>
  <c r="B197" i="2"/>
  <c r="C197" i="2"/>
  <c r="D197" i="2"/>
  <c r="E197" i="2"/>
  <c r="F197" i="2" s="1"/>
  <c r="G197" i="2"/>
  <c r="N197" i="2" s="1"/>
  <c r="H197" i="2"/>
  <c r="P197" i="2" s="1"/>
  <c r="I197" i="2"/>
  <c r="K197" i="2"/>
  <c r="L197" i="2"/>
  <c r="M197" i="2"/>
  <c r="A198" i="2"/>
  <c r="B198" i="2"/>
  <c r="C198" i="2"/>
  <c r="D198" i="2"/>
  <c r="F198" i="2" s="1"/>
  <c r="E198" i="2"/>
  <c r="G198" i="2"/>
  <c r="P198" i="2" s="1"/>
  <c r="H198" i="2"/>
  <c r="I198" i="2"/>
  <c r="K198" i="2"/>
  <c r="L198" i="2"/>
  <c r="M198" i="2"/>
  <c r="A199" i="2"/>
  <c r="B199" i="2"/>
  <c r="C199" i="2"/>
  <c r="D199" i="2"/>
  <c r="E199" i="2"/>
  <c r="G199" i="2"/>
  <c r="H199" i="2"/>
  <c r="I199" i="2"/>
  <c r="K199" i="2"/>
  <c r="L199" i="2"/>
  <c r="M199" i="2"/>
  <c r="P199" i="2"/>
  <c r="A200" i="2"/>
  <c r="B200" i="2"/>
  <c r="C200" i="2"/>
  <c r="D200" i="2"/>
  <c r="F200" i="2" s="1"/>
  <c r="E200" i="2"/>
  <c r="G200" i="2"/>
  <c r="H200" i="2"/>
  <c r="I200" i="2"/>
  <c r="K200" i="2"/>
  <c r="L200" i="2"/>
  <c r="M200" i="2"/>
  <c r="A201" i="2"/>
  <c r="B201" i="2"/>
  <c r="C201" i="2"/>
  <c r="D201" i="2"/>
  <c r="E201" i="2"/>
  <c r="G201" i="2"/>
  <c r="P201" i="2" s="1"/>
  <c r="H201" i="2"/>
  <c r="I201" i="2"/>
  <c r="K201" i="2"/>
  <c r="L201" i="2"/>
  <c r="O201" i="2" s="1"/>
  <c r="M201" i="2"/>
  <c r="A202" i="2"/>
  <c r="B202" i="2"/>
  <c r="C202" i="2"/>
  <c r="D202" i="2"/>
  <c r="E202" i="2"/>
  <c r="F202" i="2" s="1"/>
  <c r="G202" i="2"/>
  <c r="H202" i="2"/>
  <c r="P202" i="2" s="1"/>
  <c r="I202" i="2"/>
  <c r="K202" i="2"/>
  <c r="L202" i="2"/>
  <c r="M202" i="2"/>
  <c r="N202" i="2"/>
  <c r="A203" i="2"/>
  <c r="B203" i="2"/>
  <c r="C203" i="2"/>
  <c r="D203" i="2"/>
  <c r="E203" i="2"/>
  <c r="G203" i="2"/>
  <c r="H203" i="2"/>
  <c r="I203" i="2"/>
  <c r="K203" i="2"/>
  <c r="L203" i="2"/>
  <c r="O203" i="2" s="1"/>
  <c r="M203" i="2"/>
  <c r="A204" i="2"/>
  <c r="B204" i="2"/>
  <c r="C204" i="2"/>
  <c r="D204" i="2"/>
  <c r="E204" i="2"/>
  <c r="F204" i="2"/>
  <c r="G204" i="2"/>
  <c r="H204" i="2"/>
  <c r="P204" i="2" s="1"/>
  <c r="I204" i="2"/>
  <c r="K204" i="2"/>
  <c r="L204" i="2"/>
  <c r="M204" i="2"/>
  <c r="N204" i="2"/>
  <c r="A205" i="2"/>
  <c r="B205" i="2"/>
  <c r="C205" i="2"/>
  <c r="D205" i="2"/>
  <c r="E205" i="2"/>
  <c r="F205" i="2"/>
  <c r="G205" i="2"/>
  <c r="H205" i="2"/>
  <c r="I205" i="2"/>
  <c r="K205" i="2"/>
  <c r="L205" i="2"/>
  <c r="M205" i="2"/>
  <c r="P205" i="2"/>
  <c r="A206" i="2"/>
  <c r="B206" i="2"/>
  <c r="C206" i="2"/>
  <c r="D206" i="2"/>
  <c r="F206" i="2" s="1"/>
  <c r="E206" i="2"/>
  <c r="G206" i="2"/>
  <c r="H206" i="2"/>
  <c r="P206" i="2" s="1"/>
  <c r="I206" i="2"/>
  <c r="K206" i="2"/>
  <c r="L206" i="2"/>
  <c r="M206" i="2"/>
  <c r="A207" i="2"/>
  <c r="B207" i="2"/>
  <c r="C207" i="2"/>
  <c r="D207" i="2"/>
  <c r="E207" i="2"/>
  <c r="G207" i="2"/>
  <c r="P207" i="2" s="1"/>
  <c r="H207" i="2"/>
  <c r="I207" i="2"/>
  <c r="K207" i="2"/>
  <c r="L207" i="2"/>
  <c r="O207" i="2" s="1"/>
  <c r="M207" i="2"/>
  <c r="A208" i="2"/>
  <c r="B208" i="2"/>
  <c r="C208" i="2"/>
  <c r="D208" i="2"/>
  <c r="E208" i="2"/>
  <c r="G208" i="2"/>
  <c r="P208" i="2" s="1"/>
  <c r="H208" i="2"/>
  <c r="I208" i="2"/>
  <c r="K208" i="2"/>
  <c r="L208" i="2"/>
  <c r="M208" i="2"/>
  <c r="A209" i="2"/>
  <c r="B209" i="2"/>
  <c r="C209" i="2"/>
  <c r="D209" i="2"/>
  <c r="E209" i="2"/>
  <c r="G209" i="2"/>
  <c r="H209" i="2"/>
  <c r="I209" i="2"/>
  <c r="K209" i="2"/>
  <c r="L209" i="2"/>
  <c r="M209" i="2"/>
  <c r="P209" i="2"/>
  <c r="A210" i="2"/>
  <c r="B210" i="2"/>
  <c r="C210" i="2"/>
  <c r="D210" i="2"/>
  <c r="E210" i="2"/>
  <c r="F210" i="2"/>
  <c r="G210" i="2"/>
  <c r="N210" i="2" s="1"/>
  <c r="H210" i="2"/>
  <c r="P210" i="2" s="1"/>
  <c r="I210" i="2"/>
  <c r="K210" i="2"/>
  <c r="L210" i="2"/>
  <c r="O210" i="2" s="1"/>
  <c r="M210" i="2"/>
  <c r="A211" i="2"/>
  <c r="B211" i="2"/>
  <c r="C211" i="2"/>
  <c r="D211" i="2"/>
  <c r="E211" i="2"/>
  <c r="G211" i="2"/>
  <c r="H211" i="2"/>
  <c r="P211" i="2" s="1"/>
  <c r="I211" i="2"/>
  <c r="K211" i="2"/>
  <c r="L211" i="2"/>
  <c r="M211" i="2"/>
  <c r="A212" i="2"/>
  <c r="B212" i="2"/>
  <c r="C212" i="2"/>
  <c r="D212" i="2"/>
  <c r="E212" i="2"/>
  <c r="G212" i="2"/>
  <c r="N212" i="2" s="1"/>
  <c r="H212" i="2"/>
  <c r="P212" i="2" s="1"/>
  <c r="I212" i="2"/>
  <c r="K212" i="2"/>
  <c r="L212" i="2"/>
  <c r="M212" i="2"/>
  <c r="A213" i="2"/>
  <c r="B213" i="2"/>
  <c r="C213" i="2"/>
  <c r="D213" i="2"/>
  <c r="E213" i="2"/>
  <c r="F213" i="2" s="1"/>
  <c r="G213" i="2"/>
  <c r="H213" i="2"/>
  <c r="I213" i="2"/>
  <c r="K213" i="2"/>
  <c r="L213" i="2"/>
  <c r="O213" i="2" s="1"/>
  <c r="M213" i="2"/>
  <c r="P213" i="2"/>
  <c r="A214" i="2"/>
  <c r="B214" i="2"/>
  <c r="C214" i="2"/>
  <c r="D214" i="2"/>
  <c r="E214" i="2"/>
  <c r="G214" i="2"/>
  <c r="P214" i="2" s="1"/>
  <c r="H214" i="2"/>
  <c r="I214" i="2"/>
  <c r="K214" i="2"/>
  <c r="L214" i="2"/>
  <c r="M214" i="2"/>
  <c r="A215" i="2"/>
  <c r="B215" i="2"/>
  <c r="C215" i="2"/>
  <c r="D215" i="2"/>
  <c r="E215" i="2"/>
  <c r="G215" i="2"/>
  <c r="H215" i="2"/>
  <c r="P215" i="2" s="1"/>
  <c r="I215" i="2"/>
  <c r="K215" i="2"/>
  <c r="L215" i="2"/>
  <c r="O215" i="2" s="1"/>
  <c r="M215" i="2"/>
  <c r="A216" i="2"/>
  <c r="B216" i="2"/>
  <c r="C216" i="2"/>
  <c r="D216" i="2"/>
  <c r="F216" i="2" s="1"/>
  <c r="E216" i="2"/>
  <c r="G216" i="2"/>
  <c r="P216" i="2" s="1"/>
  <c r="H216" i="2"/>
  <c r="I216" i="2"/>
  <c r="K216" i="2"/>
  <c r="L216" i="2"/>
  <c r="M216" i="2"/>
  <c r="A217" i="2"/>
  <c r="B217" i="2"/>
  <c r="C217" i="2"/>
  <c r="D217" i="2"/>
  <c r="E217" i="2"/>
  <c r="G217" i="2"/>
  <c r="P217" i="2" s="1"/>
  <c r="H217" i="2"/>
  <c r="I217" i="2"/>
  <c r="K217" i="2"/>
  <c r="L217" i="2"/>
  <c r="O217" i="2" s="1"/>
  <c r="M217" i="2"/>
  <c r="A218" i="2"/>
  <c r="B218" i="2"/>
  <c r="C218" i="2"/>
  <c r="D218" i="2"/>
  <c r="E218" i="2"/>
  <c r="F218" i="2"/>
  <c r="G218" i="2"/>
  <c r="H218" i="2"/>
  <c r="P218" i="2" s="1"/>
  <c r="I218" i="2"/>
  <c r="K218" i="2"/>
  <c r="L218" i="2"/>
  <c r="O218" i="2" s="1"/>
  <c r="M218" i="2"/>
  <c r="N218" i="2"/>
  <c r="A219" i="2"/>
  <c r="B219" i="2"/>
  <c r="C219" i="2"/>
  <c r="D219" i="2"/>
  <c r="E219" i="2"/>
  <c r="G219" i="2"/>
  <c r="H219" i="2"/>
  <c r="P219" i="2" s="1"/>
  <c r="I219" i="2"/>
  <c r="K219" i="2"/>
  <c r="L219" i="2"/>
  <c r="M219" i="2"/>
  <c r="A220" i="2"/>
  <c r="B220" i="2"/>
  <c r="C220" i="2"/>
  <c r="D220" i="2"/>
  <c r="E220" i="2"/>
  <c r="F220" i="2" s="1"/>
  <c r="G220" i="2"/>
  <c r="H220" i="2"/>
  <c r="P220" i="2" s="1"/>
  <c r="I220" i="2"/>
  <c r="K220" i="2"/>
  <c r="L220" i="2"/>
  <c r="M220" i="2"/>
  <c r="N220" i="2"/>
  <c r="A221" i="2"/>
  <c r="B221" i="2"/>
  <c r="C221" i="2"/>
  <c r="D221" i="2"/>
  <c r="E221" i="2"/>
  <c r="F221" i="2"/>
  <c r="G221" i="2"/>
  <c r="N221" i="2" s="1"/>
  <c r="H221" i="2"/>
  <c r="I221" i="2"/>
  <c r="K221" i="2"/>
  <c r="L221" i="2"/>
  <c r="M221" i="2"/>
  <c r="P221" i="2"/>
  <c r="A222" i="2"/>
  <c r="B222" i="2"/>
  <c r="C222" i="2"/>
  <c r="D222" i="2"/>
  <c r="F222" i="2" s="1"/>
  <c r="E222" i="2"/>
  <c r="G222" i="2"/>
  <c r="P222" i="2" s="1"/>
  <c r="H222" i="2"/>
  <c r="I222" i="2"/>
  <c r="K222" i="2"/>
  <c r="L222" i="2"/>
  <c r="M222" i="2"/>
  <c r="A223" i="2"/>
  <c r="B223" i="2"/>
  <c r="C223" i="2"/>
  <c r="D223" i="2"/>
  <c r="E223" i="2"/>
  <c r="G223" i="2"/>
  <c r="H223" i="2"/>
  <c r="P223" i="2" s="1"/>
  <c r="I223" i="2"/>
  <c r="K223" i="2"/>
  <c r="L223" i="2"/>
  <c r="M223" i="2"/>
  <c r="A224" i="2"/>
  <c r="B224" i="2"/>
  <c r="C224" i="2"/>
  <c r="D224" i="2"/>
  <c r="E224" i="2"/>
  <c r="G224" i="2"/>
  <c r="P224" i="2" s="1"/>
  <c r="H224" i="2"/>
  <c r="I224" i="2"/>
  <c r="K224" i="2"/>
  <c r="L224" i="2"/>
  <c r="M224" i="2"/>
  <c r="A225" i="2"/>
  <c r="B225" i="2"/>
  <c r="C225" i="2"/>
  <c r="D225" i="2"/>
  <c r="E225" i="2"/>
  <c r="G225" i="2"/>
  <c r="H225" i="2"/>
  <c r="P225" i="2" s="1"/>
  <c r="I225" i="2"/>
  <c r="K225" i="2"/>
  <c r="L225" i="2"/>
  <c r="O225" i="2" s="1"/>
  <c r="M225" i="2"/>
  <c r="A226" i="2"/>
  <c r="B226" i="2"/>
  <c r="C226" i="2"/>
  <c r="D226" i="2"/>
  <c r="F226" i="2" s="1"/>
  <c r="E226" i="2"/>
  <c r="G226" i="2"/>
  <c r="H226" i="2"/>
  <c r="P226" i="2" s="1"/>
  <c r="I226" i="2"/>
  <c r="K226" i="2"/>
  <c r="N226" i="2" s="1"/>
  <c r="L226" i="2"/>
  <c r="M226" i="2"/>
  <c r="A227" i="2"/>
  <c r="B227" i="2"/>
  <c r="C227" i="2"/>
  <c r="D227" i="2"/>
  <c r="F227" i="2" s="1"/>
  <c r="E227" i="2"/>
  <c r="G227" i="2"/>
  <c r="H227" i="2"/>
  <c r="I227" i="2"/>
  <c r="K227" i="2"/>
  <c r="L227" i="2"/>
  <c r="M227" i="2"/>
  <c r="P227" i="2"/>
  <c r="A228" i="2"/>
  <c r="B228" i="2"/>
  <c r="C228" i="2"/>
  <c r="D228" i="2"/>
  <c r="E228" i="2"/>
  <c r="F228" i="2"/>
  <c r="G228" i="2"/>
  <c r="N228" i="2" s="1"/>
  <c r="H228" i="2"/>
  <c r="I228" i="2"/>
  <c r="K228" i="2"/>
  <c r="L228" i="2"/>
  <c r="O228" i="2" s="1"/>
  <c r="M228" i="2"/>
  <c r="P228" i="2"/>
  <c r="A229" i="2"/>
  <c r="B229" i="2"/>
  <c r="C229" i="2"/>
  <c r="D229" i="2"/>
  <c r="E229" i="2"/>
  <c r="F229" i="2" s="1"/>
  <c r="G229" i="2"/>
  <c r="N229" i="2" s="1"/>
  <c r="H229" i="2"/>
  <c r="P229" i="2" s="1"/>
  <c r="I229" i="2"/>
  <c r="K229" i="2"/>
  <c r="L229" i="2"/>
  <c r="M229" i="2"/>
  <c r="A230" i="2"/>
  <c r="B230" i="2"/>
  <c r="C230" i="2"/>
  <c r="D230" i="2"/>
  <c r="F230" i="2" s="1"/>
  <c r="E230" i="2"/>
  <c r="G230" i="2"/>
  <c r="H230" i="2"/>
  <c r="I230" i="2"/>
  <c r="K230" i="2"/>
  <c r="L230" i="2"/>
  <c r="M230" i="2"/>
  <c r="P230" i="2"/>
  <c r="A231" i="2"/>
  <c r="B231" i="2"/>
  <c r="C231" i="2"/>
  <c r="D231" i="2"/>
  <c r="E231" i="2"/>
  <c r="G231" i="2"/>
  <c r="H231" i="2"/>
  <c r="I231" i="2"/>
  <c r="K231" i="2"/>
  <c r="L231" i="2"/>
  <c r="M231" i="2"/>
  <c r="P231" i="2"/>
  <c r="A232" i="2"/>
  <c r="B232" i="2"/>
  <c r="C232" i="2"/>
  <c r="D232" i="2"/>
  <c r="F232" i="2" s="1"/>
  <c r="E232" i="2"/>
  <c r="G232" i="2"/>
  <c r="H232" i="2"/>
  <c r="I232" i="2"/>
  <c r="K232" i="2"/>
  <c r="L232" i="2"/>
  <c r="M232" i="2"/>
  <c r="A233" i="2"/>
  <c r="B233" i="2"/>
  <c r="C233" i="2"/>
  <c r="D233" i="2"/>
  <c r="E233" i="2"/>
  <c r="G233" i="2"/>
  <c r="P233" i="2" s="1"/>
  <c r="H233" i="2"/>
  <c r="I233" i="2"/>
  <c r="K233" i="2"/>
  <c r="L233" i="2"/>
  <c r="O233" i="2" s="1"/>
  <c r="M233" i="2"/>
  <c r="A234" i="2"/>
  <c r="B234" i="2"/>
  <c r="C234" i="2"/>
  <c r="D234" i="2"/>
  <c r="E234" i="2"/>
  <c r="F234" i="2" s="1"/>
  <c r="G234" i="2"/>
  <c r="H234" i="2"/>
  <c r="P234" i="2" s="1"/>
  <c r="I234" i="2"/>
  <c r="K234" i="2"/>
  <c r="L234" i="2"/>
  <c r="M234" i="2"/>
  <c r="N234" i="2"/>
  <c r="A235" i="2"/>
  <c r="B235" i="2"/>
  <c r="C235" i="2"/>
  <c r="D235" i="2"/>
  <c r="E235" i="2"/>
  <c r="G235" i="2"/>
  <c r="P235" i="2" s="1"/>
  <c r="H235" i="2"/>
  <c r="I235" i="2"/>
  <c r="K235" i="2"/>
  <c r="L235" i="2"/>
  <c r="O235" i="2" s="1"/>
  <c r="M235" i="2"/>
  <c r="A236" i="2"/>
  <c r="B236" i="2"/>
  <c r="C236" i="2"/>
  <c r="D236" i="2"/>
  <c r="E236" i="2"/>
  <c r="F236" i="2"/>
  <c r="G236" i="2"/>
  <c r="H236" i="2"/>
  <c r="P236" i="2" s="1"/>
  <c r="I236" i="2"/>
  <c r="K236" i="2"/>
  <c r="L236" i="2"/>
  <c r="M236" i="2"/>
  <c r="N236" i="2"/>
  <c r="A237" i="2"/>
  <c r="B237" i="2"/>
  <c r="C237" i="2"/>
  <c r="D237" i="2"/>
  <c r="E237" i="2"/>
  <c r="F237" i="2"/>
  <c r="G237" i="2"/>
  <c r="N237" i="2" s="1"/>
  <c r="H237" i="2"/>
  <c r="I237" i="2"/>
  <c r="K237" i="2"/>
  <c r="L237" i="2"/>
  <c r="M237" i="2"/>
  <c r="P237" i="2"/>
  <c r="A238" i="2"/>
  <c r="B238" i="2"/>
  <c r="C238" i="2"/>
  <c r="D238" i="2"/>
  <c r="F238" i="2" s="1"/>
  <c r="E238" i="2"/>
  <c r="G238" i="2"/>
  <c r="P238" i="2" s="1"/>
  <c r="H238" i="2"/>
  <c r="I238" i="2"/>
  <c r="K238" i="2"/>
  <c r="L238" i="2"/>
  <c r="M238" i="2"/>
  <c r="A239" i="2"/>
  <c r="B239" i="2"/>
  <c r="C239" i="2"/>
  <c r="D239" i="2"/>
  <c r="E239" i="2"/>
  <c r="G239" i="2"/>
  <c r="P239" i="2" s="1"/>
  <c r="H239" i="2"/>
  <c r="I239" i="2"/>
  <c r="K239" i="2"/>
  <c r="L239" i="2"/>
  <c r="O239" i="2" s="1"/>
  <c r="M239" i="2"/>
  <c r="A240" i="2"/>
  <c r="B240" i="2"/>
  <c r="C240" i="2"/>
  <c r="D240" i="2"/>
  <c r="E240" i="2"/>
  <c r="G240" i="2"/>
  <c r="P240" i="2" s="1"/>
  <c r="H240" i="2"/>
  <c r="I240" i="2"/>
  <c r="K240" i="2"/>
  <c r="L240" i="2"/>
  <c r="M240" i="2"/>
  <c r="A241" i="2"/>
  <c r="B241" i="2"/>
  <c r="C241" i="2"/>
  <c r="D241" i="2"/>
  <c r="E241" i="2"/>
  <c r="G241" i="2"/>
  <c r="H241" i="2"/>
  <c r="I241" i="2"/>
  <c r="K241" i="2"/>
  <c r="L241" i="2"/>
  <c r="M241" i="2"/>
  <c r="P241" i="2"/>
  <c r="A242" i="2"/>
  <c r="B242" i="2"/>
  <c r="C242" i="2"/>
  <c r="D242" i="2"/>
  <c r="E242" i="2"/>
  <c r="F242" i="2"/>
  <c r="G242" i="2"/>
  <c r="N242" i="2" s="1"/>
  <c r="H242" i="2"/>
  <c r="P242" i="2" s="1"/>
  <c r="I242" i="2"/>
  <c r="K242" i="2"/>
  <c r="L242" i="2"/>
  <c r="O242" i="2" s="1"/>
  <c r="M242" i="2"/>
  <c r="A243" i="2"/>
  <c r="B243" i="2"/>
  <c r="C243" i="2"/>
  <c r="D243" i="2"/>
  <c r="E243" i="2"/>
  <c r="G243" i="2"/>
  <c r="H243" i="2"/>
  <c r="P243" i="2" s="1"/>
  <c r="I243" i="2"/>
  <c r="K243" i="2"/>
  <c r="L243" i="2"/>
  <c r="O243" i="2" s="1"/>
  <c r="M243" i="2"/>
  <c r="A244" i="2"/>
  <c r="B244" i="2"/>
  <c r="C244" i="2"/>
  <c r="D244" i="2"/>
  <c r="F244" i="2" s="1"/>
  <c r="E244" i="2"/>
  <c r="G244" i="2"/>
  <c r="H244" i="2"/>
  <c r="P244" i="2" s="1"/>
  <c r="I244" i="2"/>
  <c r="K244" i="2"/>
  <c r="N244" i="2" s="1"/>
  <c r="L244" i="2"/>
  <c r="M244" i="2"/>
  <c r="A245" i="2"/>
  <c r="B245" i="2"/>
  <c r="C245" i="2"/>
  <c r="D245" i="2"/>
  <c r="E245" i="2"/>
  <c r="F245" i="2" s="1"/>
  <c r="G245" i="2"/>
  <c r="H245" i="2"/>
  <c r="I245" i="2"/>
  <c r="K245" i="2"/>
  <c r="L245" i="2"/>
  <c r="O245" i="2" s="1"/>
  <c r="M245" i="2"/>
  <c r="P245" i="2"/>
  <c r="A246" i="2"/>
  <c r="B246" i="2"/>
  <c r="C246" i="2"/>
  <c r="D246" i="2"/>
  <c r="E246" i="2"/>
  <c r="G246" i="2"/>
  <c r="P246" i="2" s="1"/>
  <c r="H246" i="2"/>
  <c r="I246" i="2"/>
  <c r="K246" i="2"/>
  <c r="L246" i="2"/>
  <c r="M246" i="2"/>
  <c r="A247" i="2"/>
  <c r="B247" i="2"/>
  <c r="C247" i="2"/>
  <c r="D247" i="2"/>
  <c r="E247" i="2"/>
  <c r="G247" i="2"/>
  <c r="H247" i="2"/>
  <c r="P247" i="2" s="1"/>
  <c r="I247" i="2"/>
  <c r="K247" i="2"/>
  <c r="L247" i="2"/>
  <c r="O247" i="2" s="1"/>
  <c r="M247" i="2"/>
  <c r="A248" i="2"/>
  <c r="B248" i="2"/>
  <c r="C248" i="2"/>
  <c r="D248" i="2"/>
  <c r="F248" i="2" s="1"/>
  <c r="E248" i="2"/>
  <c r="G248" i="2"/>
  <c r="P248" i="2" s="1"/>
  <c r="H248" i="2"/>
  <c r="I248" i="2"/>
  <c r="K248" i="2"/>
  <c r="L248" i="2"/>
  <c r="M248" i="2"/>
  <c r="A249" i="2"/>
  <c r="B249" i="2"/>
  <c r="C249" i="2"/>
  <c r="D249" i="2"/>
  <c r="E249" i="2"/>
  <c r="G249" i="2"/>
  <c r="H249" i="2"/>
  <c r="I249" i="2"/>
  <c r="K249" i="2"/>
  <c r="L249" i="2"/>
  <c r="O249" i="2" s="1"/>
  <c r="M249" i="2"/>
  <c r="A250" i="2"/>
  <c r="B250" i="2"/>
  <c r="C250" i="2"/>
  <c r="D250" i="2"/>
  <c r="E250" i="2"/>
  <c r="F250" i="2"/>
  <c r="G250" i="2"/>
  <c r="H250" i="2"/>
  <c r="P250" i="2" s="1"/>
  <c r="I250" i="2"/>
  <c r="K250" i="2"/>
  <c r="L250" i="2"/>
  <c r="O250" i="2" s="1"/>
  <c r="M250" i="2"/>
  <c r="N250" i="2"/>
  <c r="A251" i="2"/>
  <c r="B251" i="2"/>
  <c r="C251" i="2"/>
  <c r="D251" i="2"/>
  <c r="E251" i="2"/>
  <c r="G251" i="2"/>
  <c r="H251" i="2"/>
  <c r="I251" i="2"/>
  <c r="K251" i="2"/>
  <c r="L251" i="2"/>
  <c r="M251" i="2"/>
  <c r="P251" i="2"/>
  <c r="A252" i="2"/>
  <c r="B252" i="2"/>
  <c r="C252" i="2"/>
  <c r="D252" i="2"/>
  <c r="E252" i="2"/>
  <c r="F252" i="2" s="1"/>
  <c r="G252" i="2"/>
  <c r="H252" i="2"/>
  <c r="P252" i="2" s="1"/>
  <c r="I252" i="2"/>
  <c r="K252" i="2"/>
  <c r="L252" i="2"/>
  <c r="M252" i="2"/>
  <c r="N252" i="2"/>
  <c r="A253" i="2"/>
  <c r="B253" i="2"/>
  <c r="C253" i="2"/>
  <c r="D253" i="2"/>
  <c r="E253" i="2"/>
  <c r="F253" i="2"/>
  <c r="G253" i="2"/>
  <c r="H253" i="2"/>
  <c r="I253" i="2"/>
  <c r="K253" i="2"/>
  <c r="L253" i="2"/>
  <c r="M253" i="2"/>
  <c r="N253" i="2"/>
  <c r="P253" i="2"/>
  <c r="A254" i="2"/>
  <c r="B254" i="2"/>
  <c r="C254" i="2"/>
  <c r="D254" i="2"/>
  <c r="F254" i="2" s="1"/>
  <c r="E254" i="2"/>
  <c r="G254" i="2"/>
  <c r="H254" i="2"/>
  <c r="I254" i="2"/>
  <c r="K254" i="2"/>
  <c r="L254" i="2"/>
  <c r="M254" i="2"/>
  <c r="A255" i="2"/>
  <c r="B255" i="2"/>
  <c r="C255" i="2"/>
  <c r="D255" i="2"/>
  <c r="E255" i="2"/>
  <c r="G255" i="2"/>
  <c r="P255" i="2" s="1"/>
  <c r="H255" i="2"/>
  <c r="I255" i="2"/>
  <c r="K255" i="2"/>
  <c r="L255" i="2"/>
  <c r="O255" i="2" s="1"/>
  <c r="M255" i="2"/>
  <c r="A256" i="2"/>
  <c r="B256" i="2"/>
  <c r="C256" i="2"/>
  <c r="D256" i="2"/>
  <c r="E256" i="2"/>
  <c r="G256" i="2"/>
  <c r="H256" i="2"/>
  <c r="I256" i="2"/>
  <c r="K256" i="2"/>
  <c r="L256" i="2"/>
  <c r="M256" i="2"/>
  <c r="P256" i="2"/>
  <c r="A257" i="2"/>
  <c r="B257" i="2"/>
  <c r="C257" i="2"/>
  <c r="D257" i="2"/>
  <c r="F257" i="2" s="1"/>
  <c r="E257" i="2"/>
  <c r="G257" i="2"/>
  <c r="H257" i="2"/>
  <c r="P257" i="2" s="1"/>
  <c r="I257" i="2"/>
  <c r="K257" i="2"/>
  <c r="L257" i="2"/>
  <c r="O257" i="2" s="1"/>
  <c r="M257" i="2"/>
  <c r="A258" i="2"/>
  <c r="B258" i="2"/>
  <c r="C258" i="2"/>
  <c r="D258" i="2"/>
  <c r="F258" i="2" s="1"/>
  <c r="E258" i="2"/>
  <c r="G258" i="2"/>
  <c r="H258" i="2"/>
  <c r="I258" i="2"/>
  <c r="K258" i="2"/>
  <c r="L258" i="2"/>
  <c r="O258" i="2" s="1"/>
  <c r="M258" i="2"/>
  <c r="P258" i="2"/>
  <c r="A259" i="2"/>
  <c r="B259" i="2"/>
  <c r="C259" i="2"/>
  <c r="D259" i="2"/>
  <c r="F259" i="2" s="1"/>
  <c r="E259" i="2"/>
  <c r="G259" i="2"/>
  <c r="H259" i="2"/>
  <c r="I259" i="2"/>
  <c r="K259" i="2"/>
  <c r="L259" i="2"/>
  <c r="M259" i="2"/>
  <c r="P259" i="2"/>
  <c r="A260" i="2"/>
  <c r="B260" i="2"/>
  <c r="C260" i="2"/>
  <c r="D260" i="2"/>
  <c r="E260" i="2"/>
  <c r="F260" i="2"/>
  <c r="G260" i="2"/>
  <c r="N260" i="2" s="1"/>
  <c r="H260" i="2"/>
  <c r="I260" i="2"/>
  <c r="K260" i="2"/>
  <c r="L260" i="2"/>
  <c r="O260" i="2" s="1"/>
  <c r="M260" i="2"/>
  <c r="P260" i="2"/>
  <c r="A261" i="2"/>
  <c r="B261" i="2"/>
  <c r="C261" i="2"/>
  <c r="D261" i="2"/>
  <c r="E261" i="2"/>
  <c r="F261" i="2" s="1"/>
  <c r="G261" i="2"/>
  <c r="N261" i="2" s="1"/>
  <c r="H261" i="2"/>
  <c r="P261" i="2" s="1"/>
  <c r="I261" i="2"/>
  <c r="K261" i="2"/>
  <c r="L261" i="2"/>
  <c r="M261" i="2"/>
  <c r="A262" i="2"/>
  <c r="B262" i="2"/>
  <c r="C262" i="2"/>
  <c r="D262" i="2"/>
  <c r="F262" i="2" s="1"/>
  <c r="E262" i="2"/>
  <c r="G262" i="2"/>
  <c r="P262" i="2" s="1"/>
  <c r="H262" i="2"/>
  <c r="I262" i="2"/>
  <c r="K262" i="2"/>
  <c r="L262" i="2"/>
  <c r="M262" i="2"/>
  <c r="A263" i="2"/>
  <c r="B263" i="2"/>
  <c r="C263" i="2"/>
  <c r="D263" i="2"/>
  <c r="F263" i="2" s="1"/>
  <c r="E263" i="2"/>
  <c r="G263" i="2"/>
  <c r="H263" i="2"/>
  <c r="I263" i="2"/>
  <c r="K263" i="2"/>
  <c r="L263" i="2"/>
  <c r="M263" i="2"/>
  <c r="P263" i="2"/>
  <c r="A264" i="2"/>
  <c r="B264" i="2"/>
  <c r="C264" i="2"/>
  <c r="D264" i="2"/>
  <c r="F264" i="2" s="1"/>
  <c r="E264" i="2"/>
  <c r="G264" i="2"/>
  <c r="H264" i="2"/>
  <c r="I264" i="2"/>
  <c r="K264" i="2"/>
  <c r="L264" i="2"/>
  <c r="M264" i="2"/>
  <c r="A265" i="2"/>
  <c r="B265" i="2"/>
  <c r="C265" i="2"/>
  <c r="D265" i="2"/>
  <c r="E265" i="2"/>
  <c r="G265" i="2"/>
  <c r="H265" i="2"/>
  <c r="I265" i="2"/>
  <c r="K265" i="2"/>
  <c r="L265" i="2"/>
  <c r="O265" i="2" s="1"/>
  <c r="M265" i="2"/>
  <c r="P265" i="2"/>
  <c r="A266" i="2"/>
  <c r="B266" i="2"/>
  <c r="C266" i="2"/>
  <c r="D266" i="2"/>
  <c r="E266" i="2"/>
  <c r="F266" i="2"/>
  <c r="G266" i="2"/>
  <c r="H266" i="2"/>
  <c r="P266" i="2" s="1"/>
  <c r="I266" i="2"/>
  <c r="K266" i="2"/>
  <c r="L266" i="2"/>
  <c r="M266" i="2"/>
  <c r="N266" i="2"/>
  <c r="A267" i="2"/>
  <c r="B267" i="2"/>
  <c r="C267" i="2"/>
  <c r="D267" i="2"/>
  <c r="E267" i="2"/>
  <c r="G267" i="2"/>
  <c r="H267" i="2"/>
  <c r="I267" i="2"/>
  <c r="K267" i="2"/>
  <c r="L267" i="2"/>
  <c r="O267" i="2" s="1"/>
  <c r="M267" i="2"/>
  <c r="A268" i="2"/>
  <c r="B268" i="2"/>
  <c r="C268" i="2"/>
  <c r="D268" i="2"/>
  <c r="F268" i="2" s="1"/>
  <c r="E268" i="2"/>
  <c r="G268" i="2"/>
  <c r="H268" i="2"/>
  <c r="P268" i="2" s="1"/>
  <c r="I268" i="2"/>
  <c r="K268" i="2"/>
  <c r="L268" i="2"/>
  <c r="O268" i="2" s="1"/>
  <c r="M268" i="2"/>
  <c r="N268" i="2"/>
  <c r="A269" i="2"/>
  <c r="B269" i="2"/>
  <c r="C269" i="2"/>
  <c r="D269" i="2"/>
  <c r="E269" i="2"/>
  <c r="F269" i="2" s="1"/>
  <c r="G269" i="2"/>
  <c r="N269" i="2" s="1"/>
  <c r="H269" i="2"/>
  <c r="I269" i="2"/>
  <c r="K269" i="2"/>
  <c r="L269" i="2"/>
  <c r="M269" i="2"/>
  <c r="P269" i="2"/>
  <c r="A270" i="2"/>
  <c r="B270" i="2"/>
  <c r="C270" i="2"/>
  <c r="D270" i="2"/>
  <c r="F270" i="2" s="1"/>
  <c r="E270" i="2"/>
  <c r="G270" i="2"/>
  <c r="P270" i="2" s="1"/>
  <c r="H270" i="2"/>
  <c r="I270" i="2"/>
  <c r="K270" i="2"/>
  <c r="L270" i="2"/>
  <c r="M270" i="2"/>
  <c r="A271" i="2"/>
  <c r="B271" i="2"/>
  <c r="C271" i="2"/>
  <c r="D271" i="2"/>
  <c r="E271" i="2"/>
  <c r="G271" i="2"/>
  <c r="P271" i="2" s="1"/>
  <c r="H271" i="2"/>
  <c r="I271" i="2"/>
  <c r="K271" i="2"/>
  <c r="L271" i="2"/>
  <c r="O271" i="2" s="1"/>
  <c r="M271" i="2"/>
  <c r="A272" i="2"/>
  <c r="B272" i="2"/>
  <c r="C272" i="2"/>
  <c r="D272" i="2"/>
  <c r="F272" i="2" s="1"/>
  <c r="E272" i="2"/>
  <c r="G272" i="2"/>
  <c r="P272" i="2" s="1"/>
  <c r="H272" i="2"/>
  <c r="I272" i="2"/>
  <c r="K272" i="2"/>
  <c r="L272" i="2"/>
  <c r="M272" i="2"/>
  <c r="A273" i="2"/>
  <c r="B273" i="2"/>
  <c r="C273" i="2"/>
  <c r="D273" i="2"/>
  <c r="E273" i="2"/>
  <c r="G273" i="2"/>
  <c r="H273" i="2"/>
  <c r="I273" i="2"/>
  <c r="K273" i="2"/>
  <c r="L273" i="2"/>
  <c r="M273" i="2"/>
  <c r="P273" i="2"/>
  <c r="A274" i="2"/>
  <c r="B274" i="2"/>
  <c r="C274" i="2"/>
  <c r="D274" i="2"/>
  <c r="E274" i="2"/>
  <c r="F274" i="2"/>
  <c r="G274" i="2"/>
  <c r="N274" i="2" s="1"/>
  <c r="H274" i="2"/>
  <c r="I274" i="2"/>
  <c r="K274" i="2"/>
  <c r="L274" i="2"/>
  <c r="O274" i="2" s="1"/>
  <c r="M274" i="2"/>
  <c r="A275" i="2"/>
  <c r="B275" i="2"/>
  <c r="C275" i="2"/>
  <c r="D275" i="2"/>
  <c r="E275" i="2"/>
  <c r="G275" i="2"/>
  <c r="H275" i="2"/>
  <c r="P275" i="2" s="1"/>
  <c r="I275" i="2"/>
  <c r="K275" i="2"/>
  <c r="L275" i="2"/>
  <c r="O275" i="2" s="1"/>
  <c r="M275" i="2"/>
  <c r="A276" i="2"/>
  <c r="B276" i="2"/>
  <c r="C276" i="2"/>
  <c r="D276" i="2"/>
  <c r="F276" i="2" s="1"/>
  <c r="E276" i="2"/>
  <c r="G276" i="2"/>
  <c r="H276" i="2"/>
  <c r="I276" i="2"/>
  <c r="K276" i="2"/>
  <c r="N276" i="2" s="1"/>
  <c r="L276" i="2"/>
  <c r="M276" i="2"/>
  <c r="P276" i="2"/>
  <c r="A277" i="2"/>
  <c r="B277" i="2"/>
  <c r="C277" i="2"/>
  <c r="D277" i="2"/>
  <c r="E277" i="2"/>
  <c r="G277" i="2"/>
  <c r="H277" i="2"/>
  <c r="I277" i="2"/>
  <c r="K277" i="2"/>
  <c r="L277" i="2"/>
  <c r="M277" i="2"/>
  <c r="P277" i="2"/>
  <c r="A278" i="2"/>
  <c r="B278" i="2"/>
  <c r="C278" i="2"/>
  <c r="D278" i="2"/>
  <c r="E278" i="2"/>
  <c r="G278" i="2"/>
  <c r="H278" i="2"/>
  <c r="I278" i="2"/>
  <c r="K278" i="2"/>
  <c r="L278" i="2"/>
  <c r="M278" i="2"/>
  <c r="P278" i="2"/>
  <c r="A279" i="2"/>
  <c r="B279" i="2"/>
  <c r="C279" i="2"/>
  <c r="D279" i="2"/>
  <c r="E279" i="2"/>
  <c r="G279" i="2"/>
  <c r="H279" i="2"/>
  <c r="P279" i="2" s="1"/>
  <c r="I279" i="2"/>
  <c r="K279" i="2"/>
  <c r="L279" i="2"/>
  <c r="O279" i="2" s="1"/>
  <c r="M279" i="2"/>
  <c r="A280" i="2"/>
  <c r="B280" i="2"/>
  <c r="C280" i="2"/>
  <c r="D280" i="2"/>
  <c r="F280" i="2" s="1"/>
  <c r="E280" i="2"/>
  <c r="G280" i="2"/>
  <c r="P280" i="2" s="1"/>
  <c r="H280" i="2"/>
  <c r="I280" i="2"/>
  <c r="K280" i="2"/>
  <c r="L280" i="2"/>
  <c r="M280" i="2"/>
  <c r="A281" i="2"/>
  <c r="B281" i="2"/>
  <c r="C281" i="2"/>
  <c r="D281" i="2"/>
  <c r="E281" i="2"/>
  <c r="G281" i="2"/>
  <c r="H281" i="2"/>
  <c r="I281" i="2"/>
  <c r="K281" i="2"/>
  <c r="L281" i="2"/>
  <c r="O281" i="2" s="1"/>
  <c r="M281" i="2"/>
  <c r="A282" i="2"/>
  <c r="B282" i="2"/>
  <c r="C282" i="2"/>
  <c r="D282" i="2"/>
  <c r="E282" i="2"/>
  <c r="F282" i="2"/>
  <c r="G282" i="2"/>
  <c r="H282" i="2"/>
  <c r="P282" i="2" s="1"/>
  <c r="I282" i="2"/>
  <c r="K282" i="2"/>
  <c r="L282" i="2"/>
  <c r="M282" i="2"/>
  <c r="N282" i="2"/>
  <c r="A283" i="2"/>
  <c r="B283" i="2"/>
  <c r="C283" i="2"/>
  <c r="D283" i="2"/>
  <c r="F283" i="2" s="1"/>
  <c r="E283" i="2"/>
  <c r="G283" i="2"/>
  <c r="H283" i="2"/>
  <c r="P283" i="2" s="1"/>
  <c r="I283" i="2"/>
  <c r="K283" i="2"/>
  <c r="L283" i="2"/>
  <c r="M283" i="2"/>
  <c r="A284" i="2"/>
  <c r="B284" i="2"/>
  <c r="C284" i="2"/>
  <c r="D284" i="2"/>
  <c r="E284" i="2"/>
  <c r="F284" i="2" s="1"/>
  <c r="G284" i="2"/>
  <c r="H284" i="2"/>
  <c r="I284" i="2"/>
  <c r="K284" i="2"/>
  <c r="L284" i="2"/>
  <c r="M284" i="2"/>
  <c r="N284" i="2"/>
  <c r="P284" i="2"/>
  <c r="A285" i="2"/>
  <c r="B285" i="2"/>
  <c r="C285" i="2"/>
  <c r="D285" i="2"/>
  <c r="E285" i="2"/>
  <c r="F285" i="2"/>
  <c r="G285" i="2"/>
  <c r="H285" i="2"/>
  <c r="I285" i="2"/>
  <c r="K285" i="2"/>
  <c r="L285" i="2"/>
  <c r="O285" i="2" s="1"/>
  <c r="M285" i="2"/>
  <c r="N285" i="2"/>
  <c r="P285" i="2"/>
  <c r="A286" i="2"/>
  <c r="B286" i="2"/>
  <c r="C286" i="2"/>
  <c r="D286" i="2"/>
  <c r="F286" i="2" s="1"/>
  <c r="E286" i="2"/>
  <c r="G286" i="2"/>
  <c r="H286" i="2"/>
  <c r="P286" i="2" s="1"/>
  <c r="I286" i="2"/>
  <c r="K286" i="2"/>
  <c r="L286" i="2"/>
  <c r="M286" i="2"/>
  <c r="A287" i="2"/>
  <c r="B287" i="2"/>
  <c r="C287" i="2"/>
  <c r="D287" i="2"/>
  <c r="F287" i="2" s="1"/>
  <c r="E287" i="2"/>
  <c r="G287" i="2"/>
  <c r="P287" i="2" s="1"/>
  <c r="H287" i="2"/>
  <c r="I287" i="2"/>
  <c r="K287" i="2"/>
  <c r="L287" i="2"/>
  <c r="M287" i="2"/>
  <c r="A288" i="2"/>
  <c r="B288" i="2"/>
  <c r="C288" i="2"/>
  <c r="D288" i="2"/>
  <c r="E288" i="2"/>
  <c r="G288" i="2"/>
  <c r="P288" i="2" s="1"/>
  <c r="H288" i="2"/>
  <c r="I288" i="2"/>
  <c r="K288" i="2"/>
  <c r="L288" i="2"/>
  <c r="M288" i="2"/>
  <c r="A289" i="2"/>
  <c r="B289" i="2"/>
  <c r="C289" i="2"/>
  <c r="D289" i="2"/>
  <c r="F289" i="2" s="1"/>
  <c r="E289" i="2"/>
  <c r="G289" i="2"/>
  <c r="P289" i="2" s="1"/>
  <c r="H289" i="2"/>
  <c r="I289" i="2"/>
  <c r="K289" i="2"/>
  <c r="L289" i="2"/>
  <c r="M289" i="2"/>
  <c r="A290" i="2"/>
  <c r="B290" i="2"/>
  <c r="C290" i="2"/>
  <c r="D290" i="2"/>
  <c r="F290" i="2" s="1"/>
  <c r="E290" i="2"/>
  <c r="G290" i="2"/>
  <c r="H290" i="2"/>
  <c r="I290" i="2"/>
  <c r="K290" i="2"/>
  <c r="L290" i="2"/>
  <c r="O290" i="2" s="1"/>
  <c r="M290" i="2"/>
  <c r="P290" i="2"/>
  <c r="A291" i="2"/>
  <c r="B291" i="2"/>
  <c r="C291" i="2"/>
  <c r="D291" i="2"/>
  <c r="E291" i="2"/>
  <c r="G291" i="2"/>
  <c r="H291" i="2"/>
  <c r="I291" i="2"/>
  <c r="K291" i="2"/>
  <c r="L291" i="2"/>
  <c r="M291" i="2"/>
  <c r="P291" i="2"/>
  <c r="A292" i="2"/>
  <c r="B292" i="2"/>
  <c r="C292" i="2"/>
  <c r="D292" i="2"/>
  <c r="E292" i="2"/>
  <c r="F292" i="2"/>
  <c r="G292" i="2"/>
  <c r="N292" i="2" s="1"/>
  <c r="H292" i="2"/>
  <c r="I292" i="2"/>
  <c r="K292" i="2"/>
  <c r="L292" i="2"/>
  <c r="M292" i="2"/>
  <c r="A293" i="2"/>
  <c r="B293" i="2"/>
  <c r="C293" i="2"/>
  <c r="D293" i="2"/>
  <c r="F293" i="2" s="1"/>
  <c r="E293" i="2"/>
  <c r="G293" i="2"/>
  <c r="H293" i="2"/>
  <c r="P293" i="2" s="1"/>
  <c r="I293" i="2"/>
  <c r="K293" i="2"/>
  <c r="N293" i="2" s="1"/>
  <c r="L293" i="2"/>
  <c r="M293" i="2"/>
  <c r="A294" i="2"/>
  <c r="B294" i="2"/>
  <c r="C294" i="2"/>
  <c r="D294" i="2"/>
  <c r="F294" i="2" s="1"/>
  <c r="E294" i="2"/>
  <c r="G294" i="2"/>
  <c r="H294" i="2"/>
  <c r="I294" i="2"/>
  <c r="K294" i="2"/>
  <c r="L294" i="2"/>
  <c r="M294" i="2"/>
  <c r="P294" i="2"/>
  <c r="A295" i="2"/>
  <c r="B295" i="2"/>
  <c r="C295" i="2"/>
  <c r="D295" i="2"/>
  <c r="F295" i="2" s="1"/>
  <c r="E295" i="2"/>
  <c r="G295" i="2"/>
  <c r="H295" i="2"/>
  <c r="I295" i="2"/>
  <c r="K295" i="2"/>
  <c r="L295" i="2"/>
  <c r="M295" i="2"/>
  <c r="P295" i="2"/>
  <c r="A296" i="2"/>
  <c r="B296" i="2"/>
  <c r="C296" i="2"/>
  <c r="D296" i="2"/>
  <c r="E296" i="2"/>
  <c r="G296" i="2"/>
  <c r="H296" i="2"/>
  <c r="I296" i="2"/>
  <c r="K296" i="2"/>
  <c r="L296" i="2"/>
  <c r="M296" i="2"/>
  <c r="A297" i="2"/>
  <c r="B297" i="2"/>
  <c r="C297" i="2"/>
  <c r="D297" i="2"/>
  <c r="E297" i="2"/>
  <c r="G297" i="2"/>
  <c r="H297" i="2"/>
  <c r="I297" i="2"/>
  <c r="K297" i="2"/>
  <c r="L297" i="2"/>
  <c r="O297" i="2" s="1"/>
  <c r="M297" i="2"/>
  <c r="P297" i="2"/>
  <c r="A298" i="2"/>
  <c r="B298" i="2"/>
  <c r="C298" i="2"/>
  <c r="D298" i="2"/>
  <c r="E298" i="2"/>
  <c r="F298" i="2"/>
  <c r="G298" i="2"/>
  <c r="H298" i="2"/>
  <c r="P298" i="2" s="1"/>
  <c r="I298" i="2"/>
  <c r="K298" i="2"/>
  <c r="L298" i="2"/>
  <c r="M298" i="2"/>
  <c r="N298" i="2"/>
  <c r="A299" i="2"/>
  <c r="B299" i="2"/>
  <c r="C299" i="2"/>
  <c r="D299" i="2"/>
  <c r="E299" i="2"/>
  <c r="G299" i="2"/>
  <c r="P299" i="2" s="1"/>
  <c r="H299" i="2"/>
  <c r="I299" i="2"/>
  <c r="K299" i="2"/>
  <c r="L299" i="2"/>
  <c r="O299" i="2" s="1"/>
  <c r="M299" i="2"/>
  <c r="A300" i="2"/>
  <c r="B300" i="2"/>
  <c r="C300" i="2"/>
  <c r="D300" i="2"/>
  <c r="E300" i="2"/>
  <c r="F300" i="2"/>
  <c r="G300" i="2"/>
  <c r="H300" i="2"/>
  <c r="I300" i="2"/>
  <c r="K300" i="2"/>
  <c r="L300" i="2"/>
  <c r="M300" i="2"/>
  <c r="N300" i="2"/>
  <c r="P300" i="2"/>
  <c r="A301" i="2"/>
  <c r="B301" i="2"/>
  <c r="C301" i="2"/>
  <c r="D301" i="2"/>
  <c r="E301" i="2"/>
  <c r="F301" i="2"/>
  <c r="G301" i="2"/>
  <c r="H301" i="2"/>
  <c r="I301" i="2"/>
  <c r="K301" i="2"/>
  <c r="L301" i="2"/>
  <c r="M301" i="2"/>
  <c r="P301" i="2"/>
  <c r="A302" i="2"/>
  <c r="B302" i="2"/>
  <c r="C302" i="2"/>
  <c r="D302" i="2"/>
  <c r="F302" i="2" s="1"/>
  <c r="E302" i="2"/>
  <c r="G302" i="2"/>
  <c r="H302" i="2"/>
  <c r="I302" i="2"/>
  <c r="K302" i="2"/>
  <c r="L302" i="2"/>
  <c r="M302" i="2"/>
  <c r="P302" i="2"/>
  <c r="A303" i="2"/>
  <c r="B303" i="2"/>
  <c r="C303" i="2"/>
  <c r="D303" i="2"/>
  <c r="E303" i="2"/>
  <c r="G303" i="2"/>
  <c r="H303" i="2"/>
  <c r="I303" i="2"/>
  <c r="K303" i="2"/>
  <c r="L303" i="2"/>
  <c r="O303" i="2" s="1"/>
  <c r="M303" i="2"/>
  <c r="A304" i="2"/>
  <c r="B304" i="2"/>
  <c r="C304" i="2"/>
  <c r="D304" i="2"/>
  <c r="E304" i="2"/>
  <c r="G304" i="2"/>
  <c r="P304" i="2" s="1"/>
  <c r="H304" i="2"/>
  <c r="I304" i="2"/>
  <c r="K304" i="2"/>
  <c r="L304" i="2"/>
  <c r="M304" i="2"/>
  <c r="A305" i="2"/>
  <c r="B305" i="2"/>
  <c r="C305" i="2"/>
  <c r="D305" i="2"/>
  <c r="F305" i="2" s="1"/>
  <c r="E305" i="2"/>
  <c r="G305" i="2"/>
  <c r="H305" i="2"/>
  <c r="I305" i="2"/>
  <c r="K305" i="2"/>
  <c r="L305" i="2"/>
  <c r="M305" i="2"/>
  <c r="P305" i="2"/>
  <c r="A306" i="2"/>
  <c r="B306" i="2"/>
  <c r="C306" i="2"/>
  <c r="D306" i="2"/>
  <c r="E306" i="2"/>
  <c r="F306" i="2"/>
  <c r="G306" i="2"/>
  <c r="N306" i="2" s="1"/>
  <c r="H306" i="2"/>
  <c r="I306" i="2"/>
  <c r="K306" i="2"/>
  <c r="L306" i="2"/>
  <c r="O306" i="2" s="1"/>
  <c r="M306" i="2"/>
  <c r="P306" i="2"/>
  <c r="A307" i="2"/>
  <c r="B307" i="2"/>
  <c r="C307" i="2"/>
  <c r="D307" i="2"/>
  <c r="E307" i="2"/>
  <c r="G307" i="2"/>
  <c r="H307" i="2"/>
  <c r="I307" i="2"/>
  <c r="K307" i="2"/>
  <c r="L307" i="2"/>
  <c r="M307" i="2"/>
  <c r="P307" i="2"/>
  <c r="A308" i="2"/>
  <c r="B308" i="2"/>
  <c r="C308" i="2"/>
  <c r="D308" i="2"/>
  <c r="E308" i="2"/>
  <c r="G308" i="2"/>
  <c r="H308" i="2"/>
  <c r="P308" i="2" s="1"/>
  <c r="I308" i="2"/>
  <c r="K308" i="2"/>
  <c r="N308" i="2" s="1"/>
  <c r="L308" i="2"/>
  <c r="M308" i="2"/>
  <c r="A309" i="2"/>
  <c r="B309" i="2"/>
  <c r="C309" i="2"/>
  <c r="D309" i="2"/>
  <c r="E309" i="2"/>
  <c r="G309" i="2"/>
  <c r="H309" i="2"/>
  <c r="I309" i="2"/>
  <c r="K309" i="2"/>
  <c r="L309" i="2"/>
  <c r="M309" i="2"/>
  <c r="P309" i="2"/>
  <c r="A310" i="2"/>
  <c r="B310" i="2"/>
  <c r="C310" i="2"/>
  <c r="D310" i="2"/>
  <c r="E310" i="2"/>
  <c r="G310" i="2"/>
  <c r="P310" i="2" s="1"/>
  <c r="H310" i="2"/>
  <c r="I310" i="2"/>
  <c r="K310" i="2"/>
  <c r="L310" i="2"/>
  <c r="M310" i="2"/>
  <c r="A311" i="2"/>
  <c r="B311" i="2"/>
  <c r="C311" i="2"/>
  <c r="D311" i="2"/>
  <c r="E311" i="2"/>
  <c r="G311" i="2"/>
  <c r="H311" i="2"/>
  <c r="P311" i="2" s="1"/>
  <c r="I311" i="2"/>
  <c r="K311" i="2"/>
  <c r="L311" i="2"/>
  <c r="O311" i="2" s="1"/>
  <c r="M311" i="2"/>
  <c r="A312" i="2"/>
  <c r="B312" i="2"/>
  <c r="C312" i="2"/>
  <c r="D312" i="2"/>
  <c r="F312" i="2" s="1"/>
  <c r="E312" i="2"/>
  <c r="G312" i="2"/>
  <c r="P312" i="2" s="1"/>
  <c r="H312" i="2"/>
  <c r="I312" i="2"/>
  <c r="K312" i="2"/>
  <c r="L312" i="2"/>
  <c r="M312" i="2"/>
  <c r="A313" i="2"/>
  <c r="B313" i="2"/>
  <c r="C313" i="2"/>
  <c r="D313" i="2"/>
  <c r="E313" i="2"/>
  <c r="G313" i="2"/>
  <c r="P313" i="2" s="1"/>
  <c r="H313" i="2"/>
  <c r="I313" i="2"/>
  <c r="K313" i="2"/>
  <c r="L313" i="2"/>
  <c r="O313" i="2" s="1"/>
  <c r="M313" i="2"/>
  <c r="A314" i="2"/>
  <c r="B314" i="2"/>
  <c r="C314" i="2"/>
  <c r="D314" i="2"/>
  <c r="E314" i="2"/>
  <c r="F314" i="2"/>
  <c r="G314" i="2"/>
  <c r="H314" i="2"/>
  <c r="P314" i="2" s="1"/>
  <c r="I314" i="2"/>
  <c r="K314" i="2"/>
  <c r="L314" i="2"/>
  <c r="O314" i="2" s="1"/>
  <c r="M314" i="2"/>
  <c r="N314" i="2"/>
  <c r="A315" i="2"/>
  <c r="B315" i="2"/>
  <c r="C315" i="2"/>
  <c r="D315" i="2"/>
  <c r="E315" i="2"/>
  <c r="G315" i="2"/>
  <c r="H315" i="2"/>
  <c r="P315" i="2" s="1"/>
  <c r="I315" i="2"/>
  <c r="K315" i="2"/>
  <c r="L315" i="2"/>
  <c r="M315" i="2"/>
  <c r="A316" i="2"/>
  <c r="B316" i="2"/>
  <c r="C316" i="2"/>
  <c r="D316" i="2"/>
  <c r="E316" i="2"/>
  <c r="F316" i="2"/>
  <c r="G316" i="2"/>
  <c r="H316" i="2"/>
  <c r="P316" i="2" s="1"/>
  <c r="I316" i="2"/>
  <c r="K316" i="2"/>
  <c r="L316" i="2"/>
  <c r="M316" i="2"/>
  <c r="N316" i="2"/>
  <c r="A317" i="2"/>
  <c r="B317" i="2"/>
  <c r="C317" i="2"/>
  <c r="D317" i="2"/>
  <c r="E317" i="2"/>
  <c r="F317" i="2"/>
  <c r="G317" i="2"/>
  <c r="H317" i="2"/>
  <c r="I317" i="2"/>
  <c r="K317" i="2"/>
  <c r="L317" i="2"/>
  <c r="M317" i="2"/>
  <c r="N317" i="2"/>
  <c r="P317" i="2"/>
  <c r="A318" i="2"/>
  <c r="B318" i="2"/>
  <c r="C318" i="2"/>
  <c r="D318" i="2"/>
  <c r="F318" i="2" s="1"/>
  <c r="E318" i="2"/>
  <c r="G318" i="2"/>
  <c r="H318" i="2"/>
  <c r="I318" i="2"/>
  <c r="K318" i="2"/>
  <c r="L318" i="2"/>
  <c r="M318" i="2"/>
  <c r="A319" i="2"/>
  <c r="B319" i="2"/>
  <c r="C319" i="2"/>
  <c r="D319" i="2"/>
  <c r="E319" i="2"/>
  <c r="G319" i="2"/>
  <c r="P319" i="2" s="1"/>
  <c r="H319" i="2"/>
  <c r="I319" i="2"/>
  <c r="K319" i="2"/>
  <c r="L319" i="2"/>
  <c r="O319" i="2" s="1"/>
  <c r="M319" i="2"/>
  <c r="A320" i="2"/>
  <c r="B320" i="2"/>
  <c r="C320" i="2"/>
  <c r="D320" i="2"/>
  <c r="E320" i="2"/>
  <c r="G320" i="2"/>
  <c r="P320" i="2" s="1"/>
  <c r="H320" i="2"/>
  <c r="I320" i="2"/>
  <c r="K320" i="2"/>
  <c r="L320" i="2"/>
  <c r="M320" i="2"/>
  <c r="A321" i="2"/>
  <c r="B321" i="2"/>
  <c r="C321" i="2"/>
  <c r="D321" i="2"/>
  <c r="F321" i="2" s="1"/>
  <c r="E321" i="2"/>
  <c r="G321" i="2"/>
  <c r="H321" i="2"/>
  <c r="I321" i="2"/>
  <c r="K321" i="2"/>
  <c r="L321" i="2"/>
  <c r="N321" i="2" s="1"/>
  <c r="M321" i="2"/>
  <c r="P321" i="2"/>
  <c r="A322" i="2"/>
  <c r="B322" i="2"/>
  <c r="C322" i="2"/>
  <c r="D322" i="2"/>
  <c r="F322" i="2" s="1"/>
  <c r="E322" i="2"/>
  <c r="G322" i="2"/>
  <c r="H322" i="2"/>
  <c r="I322" i="2"/>
  <c r="K322" i="2"/>
  <c r="L322" i="2"/>
  <c r="M322" i="2"/>
  <c r="P322" i="2"/>
  <c r="A323" i="2"/>
  <c r="B323" i="2"/>
  <c r="C323" i="2"/>
  <c r="D323" i="2"/>
  <c r="F323" i="2" s="1"/>
  <c r="E323" i="2"/>
  <c r="G323" i="2"/>
  <c r="H323" i="2"/>
  <c r="I323" i="2"/>
  <c r="K323" i="2"/>
  <c r="L323" i="2"/>
  <c r="N323" i="2" s="1"/>
  <c r="M323" i="2"/>
  <c r="P323" i="2"/>
  <c r="A324" i="2"/>
  <c r="B324" i="2"/>
  <c r="C324" i="2"/>
  <c r="D324" i="2"/>
  <c r="E324" i="2"/>
  <c r="F324" i="2"/>
  <c r="G324" i="2"/>
  <c r="N324" i="2" s="1"/>
  <c r="H324" i="2"/>
  <c r="I324" i="2"/>
  <c r="K324" i="2"/>
  <c r="L324" i="2"/>
  <c r="M324" i="2"/>
  <c r="P324" i="2"/>
  <c r="A325" i="2"/>
  <c r="B325" i="2"/>
  <c r="C325" i="2"/>
  <c r="D325" i="2"/>
  <c r="F325" i="2" s="1"/>
  <c r="E325" i="2"/>
  <c r="G325" i="2"/>
  <c r="N325" i="2" s="1"/>
  <c r="H325" i="2"/>
  <c r="P325" i="2" s="1"/>
  <c r="I325" i="2"/>
  <c r="K325" i="2"/>
  <c r="O325" i="2" s="1"/>
  <c r="L325" i="2"/>
  <c r="M325" i="2"/>
  <c r="A326" i="2"/>
  <c r="B326" i="2"/>
  <c r="C326" i="2"/>
  <c r="D326" i="2"/>
  <c r="F326" i="2" s="1"/>
  <c r="E326" i="2"/>
  <c r="G326" i="2"/>
  <c r="H326" i="2"/>
  <c r="I326" i="2"/>
  <c r="K326" i="2"/>
  <c r="L326" i="2"/>
  <c r="M326" i="2"/>
  <c r="P326" i="2"/>
  <c r="A327" i="2"/>
  <c r="B327" i="2"/>
  <c r="C327" i="2"/>
  <c r="D327" i="2"/>
  <c r="F327" i="2" s="1"/>
  <c r="E327" i="2"/>
  <c r="G327" i="2"/>
  <c r="H327" i="2"/>
  <c r="I327" i="2"/>
  <c r="K327" i="2"/>
  <c r="L327" i="2"/>
  <c r="N327" i="2" s="1"/>
  <c r="M327" i="2"/>
  <c r="P327" i="2"/>
  <c r="A328" i="2"/>
  <c r="B328" i="2"/>
  <c r="C328" i="2"/>
  <c r="D328" i="2"/>
  <c r="E328" i="2"/>
  <c r="G328" i="2"/>
  <c r="H328" i="2"/>
  <c r="I328" i="2"/>
  <c r="K328" i="2"/>
  <c r="L328" i="2"/>
  <c r="M328" i="2"/>
  <c r="A329" i="2"/>
  <c r="B329" i="2"/>
  <c r="C329" i="2"/>
  <c r="D329" i="2"/>
  <c r="E329" i="2"/>
  <c r="G329" i="2"/>
  <c r="H329" i="2"/>
  <c r="I329" i="2"/>
  <c r="K329" i="2"/>
  <c r="L329" i="2"/>
  <c r="N329" i="2" s="1"/>
  <c r="M329" i="2"/>
  <c r="P329" i="2"/>
  <c r="A330" i="2"/>
  <c r="B330" i="2"/>
  <c r="C330" i="2"/>
  <c r="D330" i="2"/>
  <c r="E330" i="2"/>
  <c r="F330" i="2"/>
  <c r="G330" i="2"/>
  <c r="H330" i="2"/>
  <c r="P330" i="2" s="1"/>
  <c r="I330" i="2"/>
  <c r="K330" i="2"/>
  <c r="L330" i="2"/>
  <c r="M330" i="2"/>
  <c r="N330" i="2"/>
  <c r="A331" i="2"/>
  <c r="B331" i="2"/>
  <c r="C331" i="2"/>
  <c r="D331" i="2"/>
  <c r="E331" i="2"/>
  <c r="G331" i="2"/>
  <c r="H331" i="2"/>
  <c r="I331" i="2"/>
  <c r="K331" i="2"/>
  <c r="L331" i="2"/>
  <c r="M331" i="2"/>
  <c r="A332" i="2"/>
  <c r="B332" i="2"/>
  <c r="C332" i="2"/>
  <c r="D332" i="2"/>
  <c r="E332" i="2"/>
  <c r="F332" i="2" s="1"/>
  <c r="G332" i="2"/>
  <c r="H332" i="2"/>
  <c r="I332" i="2"/>
  <c r="K332" i="2"/>
  <c r="L332" i="2"/>
  <c r="M332" i="2"/>
  <c r="N332" i="2"/>
  <c r="P332" i="2"/>
  <c r="A333" i="2"/>
  <c r="B333" i="2"/>
  <c r="C333" i="2"/>
  <c r="D333" i="2"/>
  <c r="E333" i="2"/>
  <c r="F333" i="2"/>
  <c r="G333" i="2"/>
  <c r="H333" i="2"/>
  <c r="I333" i="2"/>
  <c r="K333" i="2"/>
  <c r="L333" i="2"/>
  <c r="M333" i="2"/>
  <c r="P333" i="2"/>
  <c r="A334" i="2"/>
  <c r="B334" i="2"/>
  <c r="C334" i="2"/>
  <c r="D334" i="2"/>
  <c r="F334" i="2" s="1"/>
  <c r="E334" i="2"/>
  <c r="G334" i="2"/>
  <c r="H334" i="2"/>
  <c r="P334" i="2" s="1"/>
  <c r="I334" i="2"/>
  <c r="K334" i="2"/>
  <c r="L334" i="2"/>
  <c r="N334" i="2" s="1"/>
  <c r="M334" i="2"/>
  <c r="A335" i="2"/>
  <c r="B335" i="2"/>
  <c r="C335" i="2"/>
  <c r="D335" i="2"/>
  <c r="E335" i="2"/>
  <c r="G335" i="2"/>
  <c r="P335" i="2" s="1"/>
  <c r="H335" i="2"/>
  <c r="I335" i="2"/>
  <c r="K335" i="2"/>
  <c r="L335" i="2"/>
  <c r="M335" i="2"/>
  <c r="A336" i="2"/>
  <c r="B336" i="2"/>
  <c r="C336" i="2"/>
  <c r="D336" i="2"/>
  <c r="E336" i="2"/>
  <c r="G336" i="2"/>
  <c r="P336" i="2" s="1"/>
  <c r="H336" i="2"/>
  <c r="I336" i="2"/>
  <c r="K336" i="2"/>
  <c r="L336" i="2"/>
  <c r="M336" i="2"/>
  <c r="A337" i="2"/>
  <c r="B337" i="2"/>
  <c r="C337" i="2"/>
  <c r="D337" i="2"/>
  <c r="F337" i="2" s="1"/>
  <c r="E337" i="2"/>
  <c r="G337" i="2"/>
  <c r="H337" i="2"/>
  <c r="I337" i="2"/>
  <c r="K337" i="2"/>
  <c r="L337" i="2"/>
  <c r="N337" i="2" s="1"/>
  <c r="M337" i="2"/>
  <c r="P337" i="2"/>
  <c r="A338" i="2"/>
  <c r="B338" i="2"/>
  <c r="C338" i="2"/>
  <c r="D338" i="2"/>
  <c r="E338" i="2"/>
  <c r="F338" i="2"/>
  <c r="G338" i="2"/>
  <c r="H338" i="2"/>
  <c r="I338" i="2"/>
  <c r="K338" i="2"/>
  <c r="O338" i="2" s="1"/>
  <c r="L338" i="2"/>
  <c r="M338" i="2"/>
  <c r="A339" i="2"/>
  <c r="B339" i="2"/>
  <c r="C339" i="2"/>
  <c r="D339" i="2"/>
  <c r="F339" i="2" s="1"/>
  <c r="E339" i="2"/>
  <c r="G339" i="2"/>
  <c r="H339" i="2"/>
  <c r="P339" i="2" s="1"/>
  <c r="I339" i="2"/>
  <c r="K339" i="2"/>
  <c r="L339" i="2"/>
  <c r="M339" i="2"/>
  <c r="A340" i="2"/>
  <c r="B340" i="2"/>
  <c r="C340" i="2"/>
  <c r="D340" i="2"/>
  <c r="F340" i="2" s="1"/>
  <c r="E340" i="2"/>
  <c r="G340" i="2"/>
  <c r="N340" i="2" s="1"/>
  <c r="H340" i="2"/>
  <c r="I340" i="2"/>
  <c r="K340" i="2"/>
  <c r="L340" i="2"/>
  <c r="M340" i="2"/>
  <c r="P340" i="2"/>
  <c r="A341" i="2"/>
  <c r="B341" i="2"/>
  <c r="C341" i="2"/>
  <c r="D341" i="2"/>
  <c r="E341" i="2"/>
  <c r="G341" i="2"/>
  <c r="H341" i="2"/>
  <c r="P341" i="2" s="1"/>
  <c r="I341" i="2"/>
  <c r="K341" i="2"/>
  <c r="L341" i="2"/>
  <c r="M341" i="2"/>
  <c r="A342" i="2"/>
  <c r="B342" i="2"/>
  <c r="C342" i="2"/>
  <c r="D342" i="2"/>
  <c r="E342" i="2"/>
  <c r="G342" i="2"/>
  <c r="P342" i="2" s="1"/>
  <c r="H342" i="2"/>
  <c r="I342" i="2"/>
  <c r="K342" i="2"/>
  <c r="L342" i="2"/>
  <c r="M342" i="2"/>
  <c r="A343" i="2"/>
  <c r="B343" i="2"/>
  <c r="C343" i="2"/>
  <c r="D343" i="2"/>
  <c r="F343" i="2" s="1"/>
  <c r="E343" i="2"/>
  <c r="G343" i="2"/>
  <c r="P343" i="2" s="1"/>
  <c r="H343" i="2"/>
  <c r="I343" i="2"/>
  <c r="K343" i="2"/>
  <c r="L343" i="2"/>
  <c r="M343" i="2"/>
  <c r="A344" i="2"/>
  <c r="B344" i="2"/>
  <c r="C344" i="2"/>
  <c r="D344" i="2"/>
  <c r="F344" i="2" s="1"/>
  <c r="E344" i="2"/>
  <c r="G344" i="2"/>
  <c r="P344" i="2" s="1"/>
  <c r="H344" i="2"/>
  <c r="I344" i="2"/>
  <c r="K344" i="2"/>
  <c r="L344" i="2"/>
  <c r="N344" i="2" s="1"/>
  <c r="M344" i="2"/>
  <c r="A345" i="2"/>
  <c r="B345" i="2"/>
  <c r="C345" i="2"/>
  <c r="D345" i="2"/>
  <c r="E345" i="2"/>
  <c r="G345" i="2"/>
  <c r="H345" i="2"/>
  <c r="I345" i="2"/>
  <c r="K345" i="2"/>
  <c r="L345" i="2"/>
  <c r="M345" i="2"/>
  <c r="A346" i="2"/>
  <c r="B346" i="2"/>
  <c r="C346" i="2"/>
  <c r="D346" i="2"/>
  <c r="E346" i="2"/>
  <c r="F346" i="2" s="1"/>
  <c r="G346" i="2"/>
  <c r="H346" i="2"/>
  <c r="P346" i="2" s="1"/>
  <c r="I346" i="2"/>
  <c r="K346" i="2"/>
  <c r="L346" i="2"/>
  <c r="M346" i="2"/>
  <c r="N346" i="2"/>
  <c r="A347" i="2"/>
  <c r="B347" i="2"/>
  <c r="C347" i="2"/>
  <c r="D347" i="2"/>
  <c r="F347" i="2" s="1"/>
  <c r="E347" i="2"/>
  <c r="G347" i="2"/>
  <c r="P347" i="2" s="1"/>
  <c r="H347" i="2"/>
  <c r="I347" i="2"/>
  <c r="K347" i="2"/>
  <c r="L347" i="2"/>
  <c r="M347" i="2"/>
  <c r="A348" i="2"/>
  <c r="B348" i="2"/>
  <c r="C348" i="2"/>
  <c r="D348" i="2"/>
  <c r="E348" i="2"/>
  <c r="F348" i="2" s="1"/>
  <c r="G348" i="2"/>
  <c r="H348" i="2"/>
  <c r="I348" i="2"/>
  <c r="K348" i="2"/>
  <c r="L348" i="2"/>
  <c r="M348" i="2"/>
  <c r="N348" i="2"/>
  <c r="P348" i="2"/>
  <c r="A349" i="2"/>
  <c r="B349" i="2"/>
  <c r="C349" i="2"/>
  <c r="D349" i="2"/>
  <c r="E349" i="2"/>
  <c r="F349" i="2"/>
  <c r="G349" i="2"/>
  <c r="H349" i="2"/>
  <c r="I349" i="2"/>
  <c r="K349" i="2"/>
  <c r="O349" i="2" s="1"/>
  <c r="L349" i="2"/>
  <c r="M349" i="2"/>
  <c r="N349" i="2"/>
  <c r="P349" i="2"/>
  <c r="A350" i="2"/>
  <c r="B350" i="2"/>
  <c r="C350" i="2"/>
  <c r="D350" i="2"/>
  <c r="F350" i="2" s="1"/>
  <c r="E350" i="2"/>
  <c r="G350" i="2"/>
  <c r="P350" i="2" s="1"/>
  <c r="H350" i="2"/>
  <c r="I350" i="2"/>
  <c r="K350" i="2"/>
  <c r="L350" i="2"/>
  <c r="M350" i="2"/>
  <c r="A351" i="2"/>
  <c r="B351" i="2"/>
  <c r="C351" i="2"/>
  <c r="D351" i="2"/>
  <c r="E351" i="2"/>
  <c r="G351" i="2"/>
  <c r="P351" i="2" s="1"/>
  <c r="H351" i="2"/>
  <c r="I351" i="2"/>
  <c r="K351" i="2"/>
  <c r="L351" i="2"/>
  <c r="M351" i="2"/>
  <c r="A352" i="2"/>
  <c r="B352" i="2"/>
  <c r="C352" i="2"/>
  <c r="D352" i="2"/>
  <c r="E352" i="2"/>
  <c r="G352" i="2"/>
  <c r="P352" i="2" s="1"/>
  <c r="H352" i="2"/>
  <c r="I352" i="2"/>
  <c r="K352" i="2"/>
  <c r="L352" i="2"/>
  <c r="M352" i="2"/>
  <c r="A353" i="2"/>
  <c r="B353" i="2"/>
  <c r="C353" i="2"/>
  <c r="D353" i="2"/>
  <c r="E353" i="2"/>
  <c r="F353" i="2"/>
  <c r="G353" i="2"/>
  <c r="P353" i="2" s="1"/>
  <c r="H353" i="2"/>
  <c r="I353" i="2"/>
  <c r="K353" i="2"/>
  <c r="L353" i="2"/>
  <c r="M353" i="2"/>
  <c r="N353" i="2"/>
  <c r="A354" i="2"/>
  <c r="B354" i="2"/>
  <c r="C354" i="2"/>
  <c r="D354" i="2"/>
  <c r="F354" i="2" s="1"/>
  <c r="E354" i="2"/>
  <c r="G354" i="2"/>
  <c r="H354" i="2"/>
  <c r="I354" i="2"/>
  <c r="K354" i="2"/>
  <c r="L354" i="2"/>
  <c r="N354" i="2" s="1"/>
  <c r="M354" i="2"/>
  <c r="A355" i="2"/>
  <c r="B355" i="2"/>
  <c r="C355" i="2"/>
  <c r="D355" i="2"/>
  <c r="E355" i="2"/>
  <c r="F355" i="2" s="1"/>
  <c r="G355" i="2"/>
  <c r="H355" i="2"/>
  <c r="I355" i="2"/>
  <c r="K355" i="2"/>
  <c r="L355" i="2"/>
  <c r="M355" i="2"/>
  <c r="A356" i="2"/>
  <c r="B356" i="2"/>
  <c r="C356" i="2"/>
  <c r="D356" i="2"/>
  <c r="E356" i="2"/>
  <c r="G356" i="2"/>
  <c r="P356" i="2" s="1"/>
  <c r="H356" i="2"/>
  <c r="I356" i="2"/>
  <c r="K356" i="2"/>
  <c r="L356" i="2"/>
  <c r="M356" i="2"/>
  <c r="A357" i="2"/>
  <c r="B357" i="2"/>
  <c r="C357" i="2"/>
  <c r="D357" i="2"/>
  <c r="E357" i="2"/>
  <c r="F357" i="2"/>
  <c r="G357" i="2"/>
  <c r="P357" i="2" s="1"/>
  <c r="H357" i="2"/>
  <c r="I357" i="2"/>
  <c r="K357" i="2"/>
  <c r="L357" i="2"/>
  <c r="M357" i="2"/>
  <c r="N357" i="2"/>
  <c r="A358" i="2"/>
  <c r="B358" i="2"/>
  <c r="C358" i="2"/>
  <c r="D358" i="2"/>
  <c r="F358" i="2" s="1"/>
  <c r="E358" i="2"/>
  <c r="G358" i="2"/>
  <c r="H358" i="2"/>
  <c r="I358" i="2"/>
  <c r="K358" i="2"/>
  <c r="L358" i="2"/>
  <c r="N358" i="2" s="1"/>
  <c r="M358" i="2"/>
  <c r="A359" i="2"/>
  <c r="B359" i="2"/>
  <c r="C359" i="2"/>
  <c r="D359" i="2"/>
  <c r="E359" i="2"/>
  <c r="G359" i="2"/>
  <c r="P359" i="2" s="1"/>
  <c r="H359" i="2"/>
  <c r="I359" i="2"/>
  <c r="K359" i="2"/>
  <c r="L359" i="2"/>
  <c r="M359" i="2"/>
  <c r="A360" i="2"/>
  <c r="B360" i="2"/>
  <c r="C360" i="2"/>
  <c r="D360" i="2"/>
  <c r="E360" i="2"/>
  <c r="G360" i="2"/>
  <c r="P360" i="2" s="1"/>
  <c r="H360" i="2"/>
  <c r="I360" i="2"/>
  <c r="K360" i="2"/>
  <c r="L360" i="2"/>
  <c r="M360" i="2"/>
  <c r="A361" i="2"/>
  <c r="B361" i="2"/>
  <c r="C361" i="2"/>
  <c r="D361" i="2"/>
  <c r="E361" i="2"/>
  <c r="F361" i="2" s="1"/>
  <c r="G361" i="2"/>
  <c r="P361" i="2" s="1"/>
  <c r="H361" i="2"/>
  <c r="I361" i="2"/>
  <c r="K361" i="2"/>
  <c r="O361" i="2" s="1"/>
  <c r="L361" i="2"/>
  <c r="M361" i="2"/>
  <c r="A362" i="2"/>
  <c r="B362" i="2"/>
  <c r="C362" i="2"/>
  <c r="D362" i="2"/>
  <c r="F362" i="2" s="1"/>
  <c r="E362" i="2"/>
  <c r="G362" i="2"/>
  <c r="H362" i="2"/>
  <c r="I362" i="2"/>
  <c r="K362" i="2"/>
  <c r="L362" i="2"/>
  <c r="N362" i="2" s="1"/>
  <c r="M362" i="2"/>
  <c r="A363" i="2"/>
  <c r="B363" i="2"/>
  <c r="C363" i="2"/>
  <c r="D363" i="2"/>
  <c r="E363" i="2"/>
  <c r="F363" i="2" s="1"/>
  <c r="G363" i="2"/>
  <c r="P363" i="2" s="1"/>
  <c r="H363" i="2"/>
  <c r="I363" i="2"/>
  <c r="K363" i="2"/>
  <c r="O363" i="2" s="1"/>
  <c r="L363" i="2"/>
  <c r="M363" i="2"/>
  <c r="A364" i="2"/>
  <c r="B364" i="2"/>
  <c r="C364" i="2"/>
  <c r="D364" i="2"/>
  <c r="F364" i="2" s="1"/>
  <c r="E364" i="2"/>
  <c r="G364" i="2"/>
  <c r="P364" i="2" s="1"/>
  <c r="H364" i="2"/>
  <c r="I364" i="2"/>
  <c r="K364" i="2"/>
  <c r="L364" i="2"/>
  <c r="M364" i="2"/>
  <c r="A365" i="2"/>
  <c r="B365" i="2"/>
  <c r="C365" i="2"/>
  <c r="D365" i="2"/>
  <c r="E365" i="2"/>
  <c r="F365" i="2"/>
  <c r="G365" i="2"/>
  <c r="P365" i="2" s="1"/>
  <c r="H365" i="2"/>
  <c r="I365" i="2"/>
  <c r="K365" i="2"/>
  <c r="L365" i="2"/>
  <c r="M365" i="2"/>
  <c r="A366" i="2"/>
  <c r="B366" i="2"/>
  <c r="C366" i="2"/>
  <c r="D366" i="2"/>
  <c r="E366" i="2"/>
  <c r="G366" i="2"/>
  <c r="P366" i="2" s="1"/>
  <c r="H366" i="2"/>
  <c r="I366" i="2"/>
  <c r="K366" i="2"/>
  <c r="L366" i="2"/>
  <c r="M366" i="2"/>
  <c r="A367" i="2"/>
  <c r="B367" i="2"/>
  <c r="C367" i="2"/>
  <c r="D367" i="2"/>
  <c r="E367" i="2"/>
  <c r="F367" i="2" s="1"/>
  <c r="G367" i="2"/>
  <c r="P367" i="2" s="1"/>
  <c r="H367" i="2"/>
  <c r="I367" i="2"/>
  <c r="K367" i="2"/>
  <c r="L367" i="2"/>
  <c r="M367" i="2"/>
  <c r="N367" i="2"/>
  <c r="A368" i="2"/>
  <c r="B368" i="2"/>
  <c r="C368" i="2"/>
  <c r="D368" i="2"/>
  <c r="F368" i="2" s="1"/>
  <c r="E368" i="2"/>
  <c r="G368" i="2"/>
  <c r="H368" i="2"/>
  <c r="I368" i="2"/>
  <c r="K368" i="2"/>
  <c r="L368" i="2"/>
  <c r="M368" i="2"/>
  <c r="A369" i="2"/>
  <c r="B369" i="2"/>
  <c r="C369" i="2"/>
  <c r="D369" i="2"/>
  <c r="E369" i="2"/>
  <c r="G369" i="2"/>
  <c r="P369" i="2" s="1"/>
  <c r="H369" i="2"/>
  <c r="I369" i="2"/>
  <c r="K369" i="2"/>
  <c r="L369" i="2"/>
  <c r="M369" i="2"/>
  <c r="A370" i="2"/>
  <c r="B370" i="2"/>
  <c r="C370" i="2"/>
  <c r="D370" i="2"/>
  <c r="E370" i="2"/>
  <c r="G370" i="2"/>
  <c r="P370" i="2" s="1"/>
  <c r="H370" i="2"/>
  <c r="I370" i="2"/>
  <c r="K370" i="2"/>
  <c r="L370" i="2"/>
  <c r="M370" i="2"/>
  <c r="A371" i="2"/>
  <c r="B371" i="2"/>
  <c r="C371" i="2"/>
  <c r="D371" i="2"/>
  <c r="E371" i="2"/>
  <c r="F371" i="2" s="1"/>
  <c r="G371" i="2"/>
  <c r="P371" i="2" s="1"/>
  <c r="H371" i="2"/>
  <c r="I371" i="2"/>
  <c r="K371" i="2"/>
  <c r="L371" i="2"/>
  <c r="M371" i="2"/>
  <c r="A372" i="2"/>
  <c r="B372" i="2"/>
  <c r="C372" i="2"/>
  <c r="D372" i="2"/>
  <c r="E372" i="2"/>
  <c r="G372" i="2"/>
  <c r="P372" i="2" s="1"/>
  <c r="H372" i="2"/>
  <c r="I372" i="2"/>
  <c r="K372" i="2"/>
  <c r="L372" i="2"/>
  <c r="M372" i="2"/>
  <c r="A373" i="2"/>
  <c r="B373" i="2"/>
  <c r="C373" i="2"/>
  <c r="D373" i="2"/>
  <c r="E373" i="2"/>
  <c r="F373" i="2" s="1"/>
  <c r="G373" i="2"/>
  <c r="H373" i="2"/>
  <c r="I373" i="2"/>
  <c r="K373" i="2"/>
  <c r="L373" i="2"/>
  <c r="M373" i="2"/>
  <c r="A374" i="2"/>
  <c r="B374" i="2"/>
  <c r="C374" i="2"/>
  <c r="D374" i="2"/>
  <c r="F374" i="2" s="1"/>
  <c r="E374" i="2"/>
  <c r="G374" i="2"/>
  <c r="H374" i="2"/>
  <c r="I374" i="2"/>
  <c r="K374" i="2"/>
  <c r="L374" i="2"/>
  <c r="N374" i="2" s="1"/>
  <c r="M374" i="2"/>
  <c r="A375" i="2"/>
  <c r="B375" i="2"/>
  <c r="C375" i="2"/>
  <c r="D375" i="2"/>
  <c r="E375" i="2"/>
  <c r="F375" i="2" s="1"/>
  <c r="G375" i="2"/>
  <c r="H375" i="2"/>
  <c r="I375" i="2"/>
  <c r="K375" i="2"/>
  <c r="O375" i="2" s="1"/>
  <c r="L375" i="2"/>
  <c r="M375" i="2"/>
  <c r="A376" i="2"/>
  <c r="B376" i="2"/>
  <c r="C376" i="2"/>
  <c r="D376" i="2"/>
  <c r="E376" i="2"/>
  <c r="G376" i="2"/>
  <c r="P376" i="2" s="1"/>
  <c r="H376" i="2"/>
  <c r="I376" i="2"/>
  <c r="K376" i="2"/>
  <c r="L376" i="2"/>
  <c r="M376" i="2"/>
  <c r="A377" i="2"/>
  <c r="B377" i="2"/>
  <c r="C377" i="2"/>
  <c r="D377" i="2"/>
  <c r="E377" i="2"/>
  <c r="F377" i="2" s="1"/>
  <c r="G377" i="2"/>
  <c r="P377" i="2" s="1"/>
  <c r="H377" i="2"/>
  <c r="I377" i="2"/>
  <c r="K377" i="2"/>
  <c r="L377" i="2"/>
  <c r="M377" i="2"/>
  <c r="N377" i="2"/>
  <c r="A378" i="2"/>
  <c r="B378" i="2"/>
  <c r="C378" i="2"/>
  <c r="D378" i="2"/>
  <c r="F378" i="2" s="1"/>
  <c r="E378" i="2"/>
  <c r="G378" i="2"/>
  <c r="H378" i="2"/>
  <c r="I378" i="2"/>
  <c r="K378" i="2"/>
  <c r="L378" i="2"/>
  <c r="N378" i="2" s="1"/>
  <c r="M378" i="2"/>
  <c r="A379" i="2"/>
  <c r="B379" i="2"/>
  <c r="C379" i="2"/>
  <c r="D379" i="2"/>
  <c r="E379" i="2"/>
  <c r="F379" i="2" s="1"/>
  <c r="G379" i="2"/>
  <c r="P379" i="2" s="1"/>
  <c r="H379" i="2"/>
  <c r="I379" i="2"/>
  <c r="K379" i="2"/>
  <c r="L379" i="2"/>
  <c r="M379" i="2"/>
  <c r="A380" i="2"/>
  <c r="B380" i="2"/>
  <c r="C380" i="2"/>
  <c r="D380" i="2"/>
  <c r="F380" i="2" s="1"/>
  <c r="E380" i="2"/>
  <c r="G380" i="2"/>
  <c r="H380" i="2"/>
  <c r="I380" i="2"/>
  <c r="K380" i="2"/>
  <c r="L380" i="2"/>
  <c r="M380" i="2"/>
  <c r="A381" i="2"/>
  <c r="B381" i="2"/>
  <c r="C381" i="2"/>
  <c r="D381" i="2"/>
  <c r="E381" i="2"/>
  <c r="G381" i="2"/>
  <c r="H381" i="2"/>
  <c r="I381" i="2"/>
  <c r="K381" i="2"/>
  <c r="L381" i="2"/>
  <c r="M381" i="2"/>
  <c r="A382" i="2"/>
  <c r="B382" i="2"/>
  <c r="C382" i="2"/>
  <c r="D382" i="2"/>
  <c r="E382" i="2"/>
  <c r="G382" i="2"/>
  <c r="P382" i="2" s="1"/>
  <c r="H382" i="2"/>
  <c r="I382" i="2"/>
  <c r="K382" i="2"/>
  <c r="L382" i="2"/>
  <c r="N382" i="2" s="1"/>
  <c r="M382" i="2"/>
  <c r="A383" i="2"/>
  <c r="B383" i="2"/>
  <c r="C383" i="2"/>
  <c r="D383" i="2"/>
  <c r="E383" i="2"/>
  <c r="F383" i="2"/>
  <c r="G383" i="2"/>
  <c r="H383" i="2"/>
  <c r="I383" i="2"/>
  <c r="K383" i="2"/>
  <c r="L383" i="2"/>
  <c r="M383" i="2"/>
  <c r="O383" i="2"/>
  <c r="A384" i="2"/>
  <c r="B384" i="2"/>
  <c r="C384" i="2"/>
  <c r="D384" i="2"/>
  <c r="E384" i="2"/>
  <c r="F384" i="2" s="1"/>
  <c r="G384" i="2"/>
  <c r="H384" i="2"/>
  <c r="I384" i="2"/>
  <c r="K384" i="2"/>
  <c r="O384" i="2" s="1"/>
  <c r="L384" i="2"/>
  <c r="M384" i="2"/>
  <c r="A385" i="2"/>
  <c r="B385" i="2"/>
  <c r="C385" i="2"/>
  <c r="D385" i="2"/>
  <c r="E385" i="2"/>
  <c r="G385" i="2"/>
  <c r="H385" i="2"/>
  <c r="I385" i="2"/>
  <c r="K385" i="2"/>
  <c r="L385" i="2"/>
  <c r="O385" i="2" s="1"/>
  <c r="M385" i="2"/>
  <c r="A386" i="2"/>
  <c r="B386" i="2"/>
  <c r="C386" i="2"/>
  <c r="D386" i="2"/>
  <c r="E386" i="2"/>
  <c r="F386" i="2"/>
  <c r="G386" i="2"/>
  <c r="H386" i="2"/>
  <c r="I386" i="2"/>
  <c r="K386" i="2"/>
  <c r="L386" i="2"/>
  <c r="M386" i="2"/>
  <c r="N386" i="2"/>
  <c r="O386" i="2"/>
  <c r="A387" i="2"/>
  <c r="B387" i="2"/>
  <c r="C387" i="2"/>
  <c r="D387" i="2"/>
  <c r="E387" i="2"/>
  <c r="F387" i="2"/>
  <c r="G387" i="2"/>
  <c r="P387" i="2" s="1"/>
  <c r="H387" i="2"/>
  <c r="I387" i="2"/>
  <c r="K387" i="2"/>
  <c r="O387" i="2" s="1"/>
  <c r="L387" i="2"/>
  <c r="M387" i="2"/>
  <c r="A388" i="2"/>
  <c r="B388" i="2"/>
  <c r="C388" i="2"/>
  <c r="D388" i="2"/>
  <c r="F388" i="2" s="1"/>
  <c r="E388" i="2"/>
  <c r="G388" i="2"/>
  <c r="H388" i="2"/>
  <c r="I388" i="2"/>
  <c r="K388" i="2"/>
  <c r="O388" i="2" s="1"/>
  <c r="L388" i="2"/>
  <c r="M388" i="2"/>
  <c r="A389" i="2"/>
  <c r="B389" i="2"/>
  <c r="C389" i="2"/>
  <c r="D389" i="2"/>
  <c r="E389" i="2"/>
  <c r="G389" i="2"/>
  <c r="H389" i="2"/>
  <c r="I389" i="2"/>
  <c r="K389" i="2"/>
  <c r="L389" i="2"/>
  <c r="M389" i="2"/>
  <c r="A390" i="2"/>
  <c r="B390" i="2"/>
  <c r="C390" i="2"/>
  <c r="D390" i="2"/>
  <c r="F390" i="2" s="1"/>
  <c r="E390" i="2"/>
  <c r="G390" i="2"/>
  <c r="H390" i="2"/>
  <c r="I390" i="2"/>
  <c r="K390" i="2"/>
  <c r="L390" i="2"/>
  <c r="M390" i="2"/>
  <c r="P390" i="2"/>
  <c r="A391" i="2"/>
  <c r="B391" i="2"/>
  <c r="C391" i="2"/>
  <c r="D391" i="2"/>
  <c r="F391" i="2" s="1"/>
  <c r="E391" i="2"/>
  <c r="G391" i="2"/>
  <c r="H391" i="2"/>
  <c r="I391" i="2"/>
  <c r="K391" i="2"/>
  <c r="L391" i="2"/>
  <c r="N391" i="2" s="1"/>
  <c r="M391" i="2"/>
  <c r="P391" i="2"/>
  <c r="A392" i="2"/>
  <c r="B392" i="2"/>
  <c r="C392" i="2"/>
  <c r="D392" i="2"/>
  <c r="E392" i="2"/>
  <c r="F392" i="2" s="1"/>
  <c r="G392" i="2"/>
  <c r="N392" i="2" s="1"/>
  <c r="H392" i="2"/>
  <c r="I392" i="2"/>
  <c r="K392" i="2"/>
  <c r="L392" i="2"/>
  <c r="M392" i="2"/>
  <c r="P392" i="2"/>
  <c r="A393" i="2"/>
  <c r="B393" i="2"/>
  <c r="C393" i="2"/>
  <c r="D393" i="2"/>
  <c r="E393" i="2"/>
  <c r="F393" i="2"/>
  <c r="G393" i="2"/>
  <c r="H393" i="2"/>
  <c r="P393" i="2" s="1"/>
  <c r="I393" i="2"/>
  <c r="K393" i="2"/>
  <c r="L393" i="2"/>
  <c r="M393" i="2"/>
  <c r="N393" i="2"/>
  <c r="A394" i="2"/>
  <c r="B394" i="2"/>
  <c r="C394" i="2"/>
  <c r="D394" i="2"/>
  <c r="E394" i="2"/>
  <c r="F394" i="2"/>
  <c r="G394" i="2"/>
  <c r="N394" i="2" s="1"/>
  <c r="H394" i="2"/>
  <c r="I394" i="2"/>
  <c r="K394" i="2"/>
  <c r="L394" i="2"/>
  <c r="M394" i="2"/>
  <c r="A395" i="2"/>
  <c r="B395" i="2"/>
  <c r="C395" i="2"/>
  <c r="D395" i="2"/>
  <c r="F395" i="2" s="1"/>
  <c r="E395" i="2"/>
  <c r="G395" i="2"/>
  <c r="N395" i="2" s="1"/>
  <c r="H395" i="2"/>
  <c r="P395" i="2" s="1"/>
  <c r="I395" i="2"/>
  <c r="K395" i="2"/>
  <c r="L395" i="2"/>
  <c r="M395" i="2"/>
  <c r="A396" i="2"/>
  <c r="B396" i="2"/>
  <c r="C396" i="2"/>
  <c r="D396" i="2"/>
  <c r="E396" i="2"/>
  <c r="F396" i="2" s="1"/>
  <c r="G396" i="2"/>
  <c r="P396" i="2" s="1"/>
  <c r="H396" i="2"/>
  <c r="I396" i="2"/>
  <c r="K396" i="2"/>
  <c r="L396" i="2"/>
  <c r="M396" i="2"/>
  <c r="A397" i="2"/>
  <c r="B397" i="2"/>
  <c r="C397" i="2"/>
  <c r="D397" i="2"/>
  <c r="E397" i="2"/>
  <c r="G397" i="2"/>
  <c r="H397" i="2"/>
  <c r="I397" i="2"/>
  <c r="K397" i="2"/>
  <c r="L397" i="2"/>
  <c r="M397" i="2"/>
  <c r="P397" i="2"/>
  <c r="A398" i="2"/>
  <c r="B398" i="2"/>
  <c r="C398" i="2"/>
  <c r="D398" i="2"/>
  <c r="E398" i="2"/>
  <c r="G398" i="2"/>
  <c r="P398" i="2" s="1"/>
  <c r="H398" i="2"/>
  <c r="I398" i="2"/>
  <c r="K398" i="2"/>
  <c r="L398" i="2"/>
  <c r="M398" i="2"/>
  <c r="A399" i="2"/>
  <c r="B399" i="2"/>
  <c r="C399" i="2"/>
  <c r="D399" i="2"/>
  <c r="E399" i="2"/>
  <c r="F399" i="2" s="1"/>
  <c r="G399" i="2"/>
  <c r="H399" i="2"/>
  <c r="P399" i="2" s="1"/>
  <c r="I399" i="2"/>
  <c r="K399" i="2"/>
  <c r="L399" i="2"/>
  <c r="M399" i="2"/>
  <c r="A400" i="2"/>
  <c r="B400" i="2"/>
  <c r="C400" i="2"/>
  <c r="D400" i="2"/>
  <c r="E400" i="2"/>
  <c r="G400" i="2"/>
  <c r="H400" i="2"/>
  <c r="P400" i="2" s="1"/>
  <c r="I400" i="2"/>
  <c r="K400" i="2"/>
  <c r="N400" i="2" s="1"/>
  <c r="L400" i="2"/>
  <c r="M400" i="2"/>
  <c r="A401" i="2"/>
  <c r="B401" i="2"/>
  <c r="C401" i="2"/>
  <c r="D401" i="2"/>
  <c r="E401" i="2"/>
  <c r="F401" i="2" s="1"/>
  <c r="G401" i="2"/>
  <c r="H401" i="2"/>
  <c r="I401" i="2"/>
  <c r="K401" i="2"/>
  <c r="N401" i="2" s="1"/>
  <c r="L401" i="2"/>
  <c r="M401" i="2"/>
  <c r="P401" i="2"/>
  <c r="A402" i="2"/>
  <c r="B402" i="2"/>
  <c r="C402" i="2"/>
  <c r="D402" i="2"/>
  <c r="E402" i="2"/>
  <c r="F402" i="2"/>
  <c r="G402" i="2"/>
  <c r="H402" i="2"/>
  <c r="I402" i="2"/>
  <c r="K402" i="2"/>
  <c r="L402" i="2"/>
  <c r="M402" i="2"/>
  <c r="N402" i="2"/>
  <c r="A403" i="2"/>
  <c r="B403" i="2"/>
  <c r="C403" i="2"/>
  <c r="D403" i="2"/>
  <c r="E403" i="2"/>
  <c r="F403" i="2"/>
  <c r="G403" i="2"/>
  <c r="H403" i="2"/>
  <c r="P403" i="2" s="1"/>
  <c r="I403" i="2"/>
  <c r="K403" i="2"/>
  <c r="L403" i="2"/>
  <c r="M403" i="2"/>
  <c r="N403" i="2"/>
  <c r="A404" i="2"/>
  <c r="B404" i="2"/>
  <c r="C404" i="2"/>
  <c r="D404" i="2"/>
  <c r="E404" i="2"/>
  <c r="F404" i="2"/>
  <c r="G404" i="2"/>
  <c r="H404" i="2"/>
  <c r="I404" i="2"/>
  <c r="K404" i="2"/>
  <c r="L404" i="2"/>
  <c r="M404" i="2"/>
  <c r="A405" i="2"/>
  <c r="B405" i="2"/>
  <c r="C405" i="2"/>
  <c r="D405" i="2"/>
  <c r="F405" i="2" s="1"/>
  <c r="E405" i="2"/>
  <c r="G405" i="2"/>
  <c r="H405" i="2"/>
  <c r="I405" i="2"/>
  <c r="K405" i="2"/>
  <c r="L405" i="2"/>
  <c r="M405" i="2"/>
  <c r="A406" i="2"/>
  <c r="B406" i="2"/>
  <c r="C406" i="2"/>
  <c r="D406" i="2"/>
  <c r="E406" i="2"/>
  <c r="G406" i="2"/>
  <c r="H406" i="2"/>
  <c r="I406" i="2"/>
  <c r="K406" i="2"/>
  <c r="L406" i="2"/>
  <c r="M406" i="2"/>
  <c r="A407" i="2"/>
  <c r="B407" i="2"/>
  <c r="C407" i="2"/>
  <c r="D407" i="2"/>
  <c r="E407" i="2"/>
  <c r="F407" i="2" s="1"/>
  <c r="G407" i="2"/>
  <c r="H407" i="2"/>
  <c r="P407" i="2" s="1"/>
  <c r="I407" i="2"/>
  <c r="K407" i="2"/>
  <c r="L407" i="2"/>
  <c r="M407" i="2"/>
  <c r="A408" i="2"/>
  <c r="B408" i="2"/>
  <c r="C408" i="2"/>
  <c r="D408" i="2"/>
  <c r="E408" i="2"/>
  <c r="F408" i="2"/>
  <c r="G408" i="2"/>
  <c r="H408" i="2"/>
  <c r="I408" i="2"/>
  <c r="K408" i="2"/>
  <c r="L408" i="2"/>
  <c r="M408" i="2"/>
  <c r="N408" i="2"/>
  <c r="P408" i="2"/>
  <c r="A409" i="2"/>
  <c r="B409" i="2"/>
  <c r="C409" i="2"/>
  <c r="D409" i="2"/>
  <c r="E409" i="2"/>
  <c r="F409" i="2" s="1"/>
  <c r="G409" i="2"/>
  <c r="N409" i="2" s="1"/>
  <c r="H409" i="2"/>
  <c r="I409" i="2"/>
  <c r="K409" i="2"/>
  <c r="L409" i="2"/>
  <c r="M409" i="2"/>
  <c r="P409" i="2"/>
  <c r="A410" i="2"/>
  <c r="B410" i="2"/>
  <c r="C410" i="2"/>
  <c r="D410" i="2"/>
  <c r="E410" i="2"/>
  <c r="F410" i="2"/>
  <c r="G410" i="2"/>
  <c r="H410" i="2"/>
  <c r="P410" i="2" s="1"/>
  <c r="I410" i="2"/>
  <c r="K410" i="2"/>
  <c r="L410" i="2"/>
  <c r="M410" i="2"/>
  <c r="N410" i="2"/>
  <c r="A411" i="2"/>
  <c r="B411" i="2"/>
  <c r="C411" i="2"/>
  <c r="D411" i="2"/>
  <c r="E411" i="2"/>
  <c r="G411" i="2"/>
  <c r="H411" i="2"/>
  <c r="P411" i="2" s="1"/>
  <c r="I411" i="2"/>
  <c r="K411" i="2"/>
  <c r="N411" i="2" s="1"/>
  <c r="L411" i="2"/>
  <c r="M411" i="2"/>
  <c r="A412" i="2"/>
  <c r="B412" i="2"/>
  <c r="C412" i="2"/>
  <c r="D412" i="2"/>
  <c r="E412" i="2"/>
  <c r="G412" i="2"/>
  <c r="H412" i="2"/>
  <c r="I412" i="2"/>
  <c r="K412" i="2"/>
  <c r="L412" i="2"/>
  <c r="M412" i="2"/>
  <c r="A413" i="2"/>
  <c r="B413" i="2"/>
  <c r="C413" i="2"/>
  <c r="D413" i="2"/>
  <c r="E413" i="2"/>
  <c r="G413" i="2"/>
  <c r="H413" i="2"/>
  <c r="P413" i="2" s="1"/>
  <c r="I413" i="2"/>
  <c r="K413" i="2"/>
  <c r="L413" i="2"/>
  <c r="M413" i="2"/>
  <c r="A414" i="2"/>
  <c r="B414" i="2"/>
  <c r="C414" i="2"/>
  <c r="D414" i="2"/>
  <c r="E414" i="2"/>
  <c r="G414" i="2"/>
  <c r="H414" i="2"/>
  <c r="P414" i="2" s="1"/>
  <c r="I414" i="2"/>
  <c r="K414" i="2"/>
  <c r="L414" i="2"/>
  <c r="M414" i="2"/>
  <c r="A415" i="2"/>
  <c r="B415" i="2"/>
  <c r="C415" i="2"/>
  <c r="D415" i="2"/>
  <c r="E415" i="2"/>
  <c r="F415" i="2"/>
  <c r="G415" i="2"/>
  <c r="H415" i="2"/>
  <c r="I415" i="2"/>
  <c r="K415" i="2"/>
  <c r="L415" i="2"/>
  <c r="M415" i="2"/>
  <c r="N415" i="2"/>
  <c r="A416" i="2"/>
  <c r="B416" i="2"/>
  <c r="C416" i="2"/>
  <c r="D416" i="2"/>
  <c r="E416" i="2"/>
  <c r="F416" i="2"/>
  <c r="G416" i="2"/>
  <c r="H416" i="2"/>
  <c r="I416" i="2"/>
  <c r="K416" i="2"/>
  <c r="L416" i="2"/>
  <c r="M416" i="2"/>
  <c r="O416" i="2"/>
  <c r="A417" i="2"/>
  <c r="B417" i="2"/>
  <c r="C417" i="2"/>
  <c r="D417" i="2"/>
  <c r="E417" i="2"/>
  <c r="F417" i="2" s="1"/>
  <c r="G417" i="2"/>
  <c r="H417" i="2"/>
  <c r="I417" i="2"/>
  <c r="K417" i="2"/>
  <c r="L417" i="2"/>
  <c r="M417" i="2"/>
  <c r="O417" i="2"/>
  <c r="A418" i="2"/>
  <c r="B418" i="2"/>
  <c r="C418" i="2"/>
  <c r="D418" i="2"/>
  <c r="F418" i="2" s="1"/>
  <c r="E418" i="2"/>
  <c r="G418" i="2"/>
  <c r="H418" i="2"/>
  <c r="I418" i="2"/>
  <c r="K418" i="2"/>
  <c r="O418" i="2" s="1"/>
  <c r="L418" i="2"/>
  <c r="M418" i="2"/>
  <c r="A419" i="2"/>
  <c r="B419" i="2"/>
  <c r="C419" i="2"/>
  <c r="D419" i="2"/>
  <c r="E419" i="2"/>
  <c r="F419" i="2" s="1"/>
  <c r="G419" i="2"/>
  <c r="H419" i="2"/>
  <c r="I419" i="2"/>
  <c r="K419" i="2"/>
  <c r="O419" i="2" s="1"/>
  <c r="L419" i="2"/>
  <c r="M419" i="2"/>
  <c r="A420" i="2"/>
  <c r="B420" i="2"/>
  <c r="C420" i="2"/>
  <c r="D420" i="2"/>
  <c r="E420" i="2"/>
  <c r="F420" i="2" s="1"/>
  <c r="G420" i="2"/>
  <c r="H420" i="2"/>
  <c r="I420" i="2"/>
  <c r="K420" i="2"/>
  <c r="L420" i="2"/>
  <c r="M420" i="2"/>
  <c r="O420" i="2"/>
  <c r="A421" i="2"/>
  <c r="B421" i="2"/>
  <c r="C421" i="2"/>
  <c r="D421" i="2"/>
  <c r="E421" i="2"/>
  <c r="F421" i="2"/>
  <c r="G421" i="2"/>
  <c r="H421" i="2"/>
  <c r="I421" i="2"/>
  <c r="K421" i="2"/>
  <c r="L421" i="2"/>
  <c r="M421" i="2"/>
  <c r="O421" i="2"/>
  <c r="A422" i="2"/>
  <c r="B422" i="2"/>
  <c r="C422" i="2"/>
  <c r="D422" i="2"/>
  <c r="E422" i="2"/>
  <c r="F422" i="2" s="1"/>
  <c r="G422" i="2"/>
  <c r="H422" i="2"/>
  <c r="I422" i="2"/>
  <c r="K422" i="2"/>
  <c r="L422" i="2"/>
  <c r="M422" i="2"/>
  <c r="O422" i="2"/>
  <c r="A423" i="2"/>
  <c r="B423" i="2"/>
  <c r="C423" i="2"/>
  <c r="D423" i="2"/>
  <c r="E423" i="2"/>
  <c r="F423" i="2" s="1"/>
  <c r="G423" i="2"/>
  <c r="H423" i="2"/>
  <c r="I423" i="2"/>
  <c r="K423" i="2"/>
  <c r="O423" i="2" s="1"/>
  <c r="L423" i="2"/>
  <c r="M423" i="2"/>
  <c r="A424" i="2"/>
  <c r="B424" i="2"/>
  <c r="C424" i="2"/>
  <c r="D424" i="2"/>
  <c r="E424" i="2"/>
  <c r="F424" i="2" s="1"/>
  <c r="G424" i="2"/>
  <c r="P424" i="2" s="1"/>
  <c r="H424" i="2"/>
  <c r="I424" i="2"/>
  <c r="K424" i="2"/>
  <c r="O424" i="2" s="1"/>
  <c r="L424" i="2"/>
  <c r="M424" i="2"/>
  <c r="A425" i="2"/>
  <c r="B425" i="2"/>
  <c r="C425" i="2"/>
  <c r="D425" i="2"/>
  <c r="E425" i="2"/>
  <c r="F425" i="2" s="1"/>
  <c r="G425" i="2"/>
  <c r="H425" i="2"/>
  <c r="I425" i="2"/>
  <c r="K425" i="2"/>
  <c r="L425" i="2"/>
  <c r="M425" i="2"/>
  <c r="O425" i="2"/>
  <c r="A426" i="2"/>
  <c r="B426" i="2"/>
  <c r="C426" i="2"/>
  <c r="D426" i="2"/>
  <c r="E426" i="2"/>
  <c r="F426" i="2"/>
  <c r="G426" i="2"/>
  <c r="H426" i="2"/>
  <c r="I426" i="2"/>
  <c r="K426" i="2"/>
  <c r="L426" i="2"/>
  <c r="M426" i="2"/>
  <c r="O426" i="2"/>
  <c r="A427" i="2"/>
  <c r="B427" i="2"/>
  <c r="C427" i="2"/>
  <c r="D427" i="2"/>
  <c r="E427" i="2"/>
  <c r="F427" i="2" s="1"/>
  <c r="G427" i="2"/>
  <c r="H427" i="2"/>
  <c r="I427" i="2"/>
  <c r="K427" i="2"/>
  <c r="O427" i="2" s="1"/>
  <c r="L427" i="2"/>
  <c r="M427" i="2"/>
  <c r="A428" i="2"/>
  <c r="B428" i="2"/>
  <c r="C428" i="2"/>
  <c r="D428" i="2"/>
  <c r="E428" i="2"/>
  <c r="F428" i="2" s="1"/>
  <c r="G428" i="2"/>
  <c r="P428" i="2" s="1"/>
  <c r="H428" i="2"/>
  <c r="I428" i="2"/>
  <c r="K428" i="2"/>
  <c r="L428" i="2"/>
  <c r="M428" i="2"/>
  <c r="A429" i="2"/>
  <c r="B429" i="2"/>
  <c r="C429" i="2"/>
  <c r="D429" i="2"/>
  <c r="E429" i="2"/>
  <c r="F429" i="2" s="1"/>
  <c r="G429" i="2"/>
  <c r="P429" i="2" s="1"/>
  <c r="H429" i="2"/>
  <c r="I429" i="2"/>
  <c r="K429" i="2"/>
  <c r="O429" i="2" s="1"/>
  <c r="L429" i="2"/>
  <c r="M429" i="2"/>
  <c r="A430" i="2"/>
  <c r="B430" i="2"/>
  <c r="C430" i="2"/>
  <c r="D430" i="2"/>
  <c r="E430" i="2"/>
  <c r="F430" i="2" s="1"/>
  <c r="G430" i="2"/>
  <c r="H430" i="2"/>
  <c r="I430" i="2"/>
  <c r="K430" i="2"/>
  <c r="L430" i="2"/>
  <c r="M430" i="2"/>
  <c r="O430" i="2"/>
  <c r="A431" i="2"/>
  <c r="B431" i="2"/>
  <c r="C431" i="2"/>
  <c r="D431" i="2"/>
  <c r="E431" i="2"/>
  <c r="F431" i="2"/>
  <c r="G431" i="2"/>
  <c r="H431" i="2"/>
  <c r="I431" i="2"/>
  <c r="K431" i="2"/>
  <c r="L431" i="2"/>
  <c r="M431" i="2"/>
  <c r="O431" i="2"/>
  <c r="A432" i="2"/>
  <c r="B432" i="2"/>
  <c r="C432" i="2"/>
  <c r="D432" i="2"/>
  <c r="E432" i="2"/>
  <c r="F432" i="2" s="1"/>
  <c r="G432" i="2"/>
  <c r="H432" i="2"/>
  <c r="I432" i="2"/>
  <c r="K432" i="2"/>
  <c r="O432" i="2" s="1"/>
  <c r="L432" i="2"/>
  <c r="M432" i="2"/>
  <c r="A433" i="2"/>
  <c r="B433" i="2"/>
  <c r="C433" i="2"/>
  <c r="D433" i="2"/>
  <c r="E433" i="2"/>
  <c r="G433" i="2"/>
  <c r="P433" i="2" s="1"/>
  <c r="H433" i="2"/>
  <c r="I433" i="2"/>
  <c r="K433" i="2"/>
  <c r="N433" i="2" s="1"/>
  <c r="L433" i="2"/>
  <c r="M433" i="2"/>
  <c r="A434" i="2"/>
  <c r="B434" i="2"/>
  <c r="C434" i="2"/>
  <c r="D434" i="2"/>
  <c r="E434" i="2"/>
  <c r="F434" i="2" s="1"/>
  <c r="G434" i="2"/>
  <c r="P434" i="2" s="1"/>
  <c r="H434" i="2"/>
  <c r="I434" i="2"/>
  <c r="K434" i="2"/>
  <c r="O434" i="2" s="1"/>
  <c r="L434" i="2"/>
  <c r="M434" i="2"/>
  <c r="A435" i="2"/>
  <c r="B435" i="2"/>
  <c r="C435" i="2"/>
  <c r="D435" i="2"/>
  <c r="E435" i="2"/>
  <c r="F435" i="2" s="1"/>
  <c r="G435" i="2"/>
  <c r="H435" i="2"/>
  <c r="I435" i="2"/>
  <c r="K435" i="2"/>
  <c r="L435" i="2"/>
  <c r="M435" i="2"/>
  <c r="O435" i="2" s="1"/>
  <c r="A436" i="2"/>
  <c r="B436" i="2"/>
  <c r="C436" i="2"/>
  <c r="D436" i="2"/>
  <c r="E436" i="2"/>
  <c r="F436" i="2"/>
  <c r="G436" i="2"/>
  <c r="H436" i="2"/>
  <c r="I436" i="2"/>
  <c r="K436" i="2"/>
  <c r="L436" i="2"/>
  <c r="M436" i="2"/>
  <c r="O436" i="2"/>
  <c r="A437" i="2"/>
  <c r="B437" i="2"/>
  <c r="C437" i="2"/>
  <c r="D437" i="2"/>
  <c r="F437" i="2" s="1"/>
  <c r="E437" i="2"/>
  <c r="G437" i="2"/>
  <c r="H437" i="2"/>
  <c r="I437" i="2"/>
  <c r="K437" i="2"/>
  <c r="O437" i="2" s="1"/>
  <c r="L437" i="2"/>
  <c r="M437" i="2"/>
  <c r="A438" i="2"/>
  <c r="B438" i="2"/>
  <c r="C438" i="2"/>
  <c r="D438" i="2"/>
  <c r="E438" i="2"/>
  <c r="G438" i="2"/>
  <c r="H438" i="2"/>
  <c r="I438" i="2"/>
  <c r="K438" i="2"/>
  <c r="N438" i="2" s="1"/>
  <c r="L438" i="2"/>
  <c r="M438" i="2"/>
  <c r="A439" i="2"/>
  <c r="B439" i="2"/>
  <c r="C439" i="2"/>
  <c r="D439" i="2"/>
  <c r="E439" i="2"/>
  <c r="F439" i="2" s="1"/>
  <c r="G439" i="2"/>
  <c r="P439" i="2" s="1"/>
  <c r="H439" i="2"/>
  <c r="I439" i="2"/>
  <c r="K439" i="2"/>
  <c r="L439" i="2"/>
  <c r="M439" i="2"/>
  <c r="A440" i="2"/>
  <c r="B440" i="2"/>
  <c r="C440" i="2"/>
  <c r="D440" i="2"/>
  <c r="E440" i="2"/>
  <c r="F440" i="2" s="1"/>
  <c r="G440" i="2"/>
  <c r="P440" i="2" s="1"/>
  <c r="H440" i="2"/>
  <c r="I440" i="2"/>
  <c r="K440" i="2"/>
  <c r="L440" i="2"/>
  <c r="M440" i="2"/>
  <c r="O440" i="2" s="1"/>
  <c r="A441" i="2"/>
  <c r="B441" i="2"/>
  <c r="C441" i="2"/>
  <c r="D441" i="2"/>
  <c r="E441" i="2"/>
  <c r="F441" i="2"/>
  <c r="G441" i="2"/>
  <c r="H441" i="2"/>
  <c r="I441" i="2"/>
  <c r="K441" i="2"/>
  <c r="L441" i="2"/>
  <c r="M441" i="2"/>
  <c r="O441" i="2"/>
  <c r="A442" i="2"/>
  <c r="B442" i="2"/>
  <c r="C442" i="2"/>
  <c r="D442" i="2"/>
  <c r="E442" i="2"/>
  <c r="F442" i="2" s="1"/>
  <c r="G442" i="2"/>
  <c r="H442" i="2"/>
  <c r="I442" i="2"/>
  <c r="K442" i="2"/>
  <c r="O442" i="2" s="1"/>
  <c r="L442" i="2"/>
  <c r="M442" i="2"/>
  <c r="A443" i="2"/>
  <c r="B443" i="2"/>
  <c r="C443" i="2"/>
  <c r="D443" i="2"/>
  <c r="E443" i="2"/>
  <c r="G443" i="2"/>
  <c r="H443" i="2"/>
  <c r="I443" i="2"/>
  <c r="K443" i="2"/>
  <c r="L443" i="2"/>
  <c r="M443" i="2"/>
  <c r="A444" i="2"/>
  <c r="B444" i="2"/>
  <c r="C444" i="2"/>
  <c r="D444" i="2"/>
  <c r="E444" i="2"/>
  <c r="F444" i="2"/>
  <c r="G444" i="2"/>
  <c r="P444" i="2" s="1"/>
  <c r="H444" i="2"/>
  <c r="I444" i="2"/>
  <c r="K444" i="2"/>
  <c r="L444" i="2"/>
  <c r="M444" i="2"/>
  <c r="N444" i="2"/>
  <c r="A445" i="2"/>
  <c r="B445" i="2"/>
  <c r="C445" i="2"/>
  <c r="D445" i="2"/>
  <c r="E445" i="2"/>
  <c r="F445" i="2" s="1"/>
  <c r="G445" i="2"/>
  <c r="P445" i="2" s="1"/>
  <c r="H445" i="2"/>
  <c r="I445" i="2"/>
  <c r="K445" i="2"/>
  <c r="L445" i="2"/>
  <c r="M445" i="2"/>
  <c r="O445" i="2" s="1"/>
  <c r="A446" i="2"/>
  <c r="B446" i="2"/>
  <c r="C446" i="2"/>
  <c r="D446" i="2"/>
  <c r="E446" i="2"/>
  <c r="F446" i="2"/>
  <c r="G446" i="2"/>
  <c r="H446" i="2"/>
  <c r="I446" i="2"/>
  <c r="K446" i="2"/>
  <c r="L446" i="2"/>
  <c r="M446" i="2"/>
  <c r="O446" i="2"/>
  <c r="A447" i="2"/>
  <c r="B447" i="2"/>
  <c r="C447" i="2"/>
  <c r="D447" i="2"/>
  <c r="E447" i="2"/>
  <c r="F447" i="2" s="1"/>
  <c r="G447" i="2"/>
  <c r="H447" i="2"/>
  <c r="I447" i="2"/>
  <c r="K447" i="2"/>
  <c r="O447" i="2" s="1"/>
  <c r="L447" i="2"/>
  <c r="M447" i="2"/>
  <c r="A448" i="2"/>
  <c r="B448" i="2"/>
  <c r="C448" i="2"/>
  <c r="D448" i="2"/>
  <c r="E448" i="2"/>
  <c r="G448" i="2"/>
  <c r="P448" i="2" s="1"/>
  <c r="H448" i="2"/>
  <c r="I448" i="2"/>
  <c r="K448" i="2"/>
  <c r="L448" i="2"/>
  <c r="M448" i="2"/>
  <c r="A449" i="2"/>
  <c r="B449" i="2"/>
  <c r="C449" i="2"/>
  <c r="D449" i="2"/>
  <c r="E449" i="2"/>
  <c r="F449" i="2"/>
  <c r="G449" i="2"/>
  <c r="P449" i="2" s="1"/>
  <c r="H449" i="2"/>
  <c r="I449" i="2"/>
  <c r="K449" i="2"/>
  <c r="L449" i="2"/>
  <c r="M449" i="2"/>
  <c r="N449" i="2"/>
  <c r="A450" i="2"/>
  <c r="B450" i="2"/>
  <c r="C450" i="2"/>
  <c r="D450" i="2"/>
  <c r="E450" i="2"/>
  <c r="F450" i="2" s="1"/>
  <c r="G450" i="2"/>
  <c r="P450" i="2" s="1"/>
  <c r="H450" i="2"/>
  <c r="I450" i="2"/>
  <c r="K450" i="2"/>
  <c r="L450" i="2"/>
  <c r="M450" i="2"/>
  <c r="O450" i="2" s="1"/>
  <c r="A451" i="2"/>
  <c r="B451" i="2"/>
  <c r="C451" i="2"/>
  <c r="D451" i="2"/>
  <c r="E451" i="2"/>
  <c r="F451" i="2"/>
  <c r="G451" i="2"/>
  <c r="H451" i="2"/>
  <c r="I451" i="2"/>
  <c r="K451" i="2"/>
  <c r="L451" i="2"/>
  <c r="M451" i="2"/>
  <c r="O451" i="2"/>
  <c r="A452" i="2"/>
  <c r="B452" i="2"/>
  <c r="C452" i="2"/>
  <c r="D452" i="2"/>
  <c r="F452" i="2" s="1"/>
  <c r="E452" i="2"/>
  <c r="G452" i="2"/>
  <c r="H452" i="2"/>
  <c r="I452" i="2"/>
  <c r="K452" i="2"/>
  <c r="L452" i="2"/>
  <c r="M452" i="2"/>
  <c r="A453" i="2"/>
  <c r="B453" i="2"/>
  <c r="C453" i="2"/>
  <c r="D453" i="2"/>
  <c r="E453" i="2"/>
  <c r="G453" i="2"/>
  <c r="P453" i="2" s="1"/>
  <c r="H453" i="2"/>
  <c r="I453" i="2"/>
  <c r="K453" i="2"/>
  <c r="L453" i="2"/>
  <c r="M453" i="2"/>
  <c r="A454" i="2"/>
  <c r="B454" i="2"/>
  <c r="C454" i="2"/>
  <c r="D454" i="2"/>
  <c r="E454" i="2"/>
  <c r="F454" i="2"/>
  <c r="G454" i="2"/>
  <c r="P454" i="2" s="1"/>
  <c r="H454" i="2"/>
  <c r="I454" i="2"/>
  <c r="K454" i="2"/>
  <c r="L454" i="2"/>
  <c r="M454" i="2"/>
  <c r="N454" i="2"/>
  <c r="A455" i="2"/>
  <c r="B455" i="2"/>
  <c r="C455" i="2"/>
  <c r="D455" i="2"/>
  <c r="E455" i="2"/>
  <c r="F455" i="2" s="1"/>
  <c r="G455" i="2"/>
  <c r="P455" i="2" s="1"/>
  <c r="H455" i="2"/>
  <c r="I455" i="2"/>
  <c r="K455" i="2"/>
  <c r="L455" i="2"/>
  <c r="M455" i="2"/>
  <c r="O455" i="2" s="1"/>
  <c r="A456" i="2"/>
  <c r="B456" i="2"/>
  <c r="C456" i="2"/>
  <c r="D456" i="2"/>
  <c r="E456" i="2"/>
  <c r="F456" i="2"/>
  <c r="G456" i="2"/>
  <c r="P456" i="2" s="1"/>
  <c r="H456" i="2"/>
  <c r="I456" i="2"/>
  <c r="K456" i="2"/>
  <c r="L456" i="2"/>
  <c r="M456" i="2"/>
  <c r="O456" i="2"/>
  <c r="A457" i="2"/>
  <c r="B457" i="2"/>
  <c r="C457" i="2"/>
  <c r="D457" i="2"/>
  <c r="F457" i="2" s="1"/>
  <c r="E457" i="2"/>
  <c r="G457" i="2"/>
  <c r="H457" i="2"/>
  <c r="I457" i="2"/>
  <c r="K457" i="2"/>
  <c r="L457" i="2"/>
  <c r="M457" i="2"/>
  <c r="A458" i="2"/>
  <c r="B458" i="2"/>
  <c r="C458" i="2"/>
  <c r="D458" i="2"/>
  <c r="E458" i="2"/>
  <c r="G458" i="2"/>
  <c r="P458" i="2" s="1"/>
  <c r="H458" i="2"/>
  <c r="I458" i="2"/>
  <c r="K458" i="2"/>
  <c r="L458" i="2"/>
  <c r="M458" i="2"/>
  <c r="A459" i="2"/>
  <c r="B459" i="2"/>
  <c r="C459" i="2"/>
  <c r="D459" i="2"/>
  <c r="E459" i="2"/>
  <c r="F459" i="2"/>
  <c r="G459" i="2"/>
  <c r="H459" i="2"/>
  <c r="I459" i="2"/>
  <c r="K459" i="2"/>
  <c r="L459" i="2"/>
  <c r="M459" i="2"/>
  <c r="O459" i="2"/>
  <c r="A460" i="2"/>
  <c r="B460" i="2"/>
  <c r="C460" i="2"/>
  <c r="D460" i="2"/>
  <c r="E460" i="2"/>
  <c r="F460" i="2"/>
  <c r="G460" i="2"/>
  <c r="H460" i="2"/>
  <c r="I460" i="2"/>
  <c r="K460" i="2"/>
  <c r="L460" i="2"/>
  <c r="M460" i="2"/>
  <c r="N460" i="2"/>
  <c r="O460" i="2"/>
  <c r="A461" i="2"/>
  <c r="B461" i="2"/>
  <c r="C461" i="2"/>
  <c r="D461" i="2"/>
  <c r="E461" i="2"/>
  <c r="F461" i="2"/>
  <c r="G461" i="2"/>
  <c r="P461" i="2" s="1"/>
  <c r="H461" i="2"/>
  <c r="I461" i="2"/>
  <c r="K461" i="2"/>
  <c r="L461" i="2"/>
  <c r="M461" i="2"/>
  <c r="O461" i="2"/>
  <c r="A462" i="2"/>
  <c r="B462" i="2"/>
  <c r="C462" i="2"/>
  <c r="D462" i="2"/>
  <c r="F462" i="2" s="1"/>
  <c r="E462" i="2"/>
  <c r="G462" i="2"/>
  <c r="H462" i="2"/>
  <c r="I462" i="2"/>
  <c r="K462" i="2"/>
  <c r="O462" i="2" s="1"/>
  <c r="L462" i="2"/>
  <c r="M462" i="2"/>
  <c r="A463" i="2"/>
  <c r="B463" i="2"/>
  <c r="C463" i="2"/>
  <c r="D463" i="2"/>
  <c r="E463" i="2"/>
  <c r="F463" i="2" s="1"/>
  <c r="G463" i="2"/>
  <c r="H463" i="2"/>
  <c r="I463" i="2"/>
  <c r="K463" i="2"/>
  <c r="L463" i="2"/>
  <c r="M463" i="2"/>
  <c r="A464" i="2"/>
  <c r="B464" i="2"/>
  <c r="C464" i="2"/>
  <c r="D464" i="2"/>
  <c r="F464" i="2" s="1"/>
  <c r="E464" i="2"/>
  <c r="G464" i="2"/>
  <c r="P464" i="2" s="1"/>
  <c r="H464" i="2"/>
  <c r="I464" i="2"/>
  <c r="K464" i="2"/>
  <c r="L464" i="2"/>
  <c r="O464" i="2" s="1"/>
  <c r="M464" i="2"/>
  <c r="A465" i="2"/>
  <c r="B465" i="2"/>
  <c r="C465" i="2"/>
  <c r="D465" i="2"/>
  <c r="E465" i="2"/>
  <c r="F465" i="2"/>
  <c r="G465" i="2"/>
  <c r="H465" i="2"/>
  <c r="I465" i="2"/>
  <c r="K465" i="2"/>
  <c r="L465" i="2"/>
  <c r="M465" i="2"/>
  <c r="N465" i="2"/>
  <c r="O465" i="2"/>
  <c r="A466" i="2"/>
  <c r="B466" i="2"/>
  <c r="C466" i="2"/>
  <c r="D466" i="2"/>
  <c r="E466" i="2"/>
  <c r="F466" i="2"/>
  <c r="G466" i="2"/>
  <c r="P466" i="2" s="1"/>
  <c r="H466" i="2"/>
  <c r="I466" i="2"/>
  <c r="K466" i="2"/>
  <c r="L466" i="2"/>
  <c r="M466" i="2"/>
  <c r="O466" i="2"/>
  <c r="A467" i="2"/>
  <c r="B467" i="2"/>
  <c r="C467" i="2"/>
  <c r="D467" i="2"/>
  <c r="F467" i="2" s="1"/>
  <c r="E467" i="2"/>
  <c r="G467" i="2"/>
  <c r="H467" i="2"/>
  <c r="I467" i="2"/>
  <c r="K467" i="2"/>
  <c r="O467" i="2" s="1"/>
  <c r="L467" i="2"/>
  <c r="M467" i="2"/>
  <c r="A468" i="2"/>
  <c r="B468" i="2"/>
  <c r="C468" i="2"/>
  <c r="D468" i="2"/>
  <c r="E468" i="2"/>
  <c r="F468" i="2" s="1"/>
  <c r="G468" i="2"/>
  <c r="H468" i="2"/>
  <c r="I468" i="2"/>
  <c r="K468" i="2"/>
  <c r="L468" i="2"/>
  <c r="M468" i="2"/>
  <c r="A469" i="2"/>
  <c r="B469" i="2"/>
  <c r="C469" i="2"/>
  <c r="D469" i="2"/>
  <c r="E469" i="2"/>
  <c r="F469" i="2"/>
  <c r="G469" i="2"/>
  <c r="P469" i="2" s="1"/>
  <c r="H469" i="2"/>
  <c r="I469" i="2"/>
  <c r="K469" i="2"/>
  <c r="L469" i="2"/>
  <c r="M469" i="2"/>
  <c r="O469" i="2"/>
  <c r="A470" i="2"/>
  <c r="B470" i="2"/>
  <c r="C470" i="2"/>
  <c r="D470" i="2"/>
  <c r="E470" i="2"/>
  <c r="F470" i="2"/>
  <c r="G470" i="2"/>
  <c r="H470" i="2"/>
  <c r="I470" i="2"/>
  <c r="K470" i="2"/>
  <c r="L470" i="2"/>
  <c r="M470" i="2"/>
  <c r="N470" i="2"/>
  <c r="O470" i="2"/>
  <c r="A471" i="2"/>
  <c r="B471" i="2"/>
  <c r="C471" i="2"/>
  <c r="D471" i="2"/>
  <c r="E471" i="2"/>
  <c r="F471" i="2"/>
  <c r="G471" i="2"/>
  <c r="P471" i="2" s="1"/>
  <c r="H471" i="2"/>
  <c r="I471" i="2"/>
  <c r="K471" i="2"/>
  <c r="L471" i="2"/>
  <c r="M471" i="2"/>
  <c r="O471" i="2"/>
  <c r="A472" i="2"/>
  <c r="B472" i="2"/>
  <c r="C472" i="2"/>
  <c r="D472" i="2"/>
  <c r="E472" i="2"/>
  <c r="F472" i="2" s="1"/>
  <c r="G472" i="2"/>
  <c r="H472" i="2"/>
  <c r="I472" i="2"/>
  <c r="K472" i="2"/>
  <c r="O472" i="2" s="1"/>
  <c r="L472" i="2"/>
  <c r="M472" i="2"/>
  <c r="A473" i="2"/>
  <c r="B473" i="2"/>
  <c r="C473" i="2"/>
  <c r="D473" i="2"/>
  <c r="E473" i="2"/>
  <c r="F473" i="2" s="1"/>
  <c r="G473" i="2"/>
  <c r="P473" i="2" s="1"/>
  <c r="H473" i="2"/>
  <c r="I473" i="2"/>
  <c r="K473" i="2"/>
  <c r="L473" i="2"/>
  <c r="M473" i="2"/>
  <c r="A474" i="2"/>
  <c r="B474" i="2"/>
  <c r="C474" i="2"/>
  <c r="D474" i="2"/>
  <c r="E474" i="2"/>
  <c r="F474" i="2"/>
  <c r="G474" i="2"/>
  <c r="P474" i="2" s="1"/>
  <c r="H474" i="2"/>
  <c r="I474" i="2"/>
  <c r="K474" i="2"/>
  <c r="L474" i="2"/>
  <c r="M474" i="2"/>
  <c r="O474" i="2"/>
  <c r="A475" i="2"/>
  <c r="B475" i="2"/>
  <c r="C475" i="2"/>
  <c r="D475" i="2"/>
  <c r="E475" i="2"/>
  <c r="F475" i="2"/>
  <c r="G475" i="2"/>
  <c r="H475" i="2"/>
  <c r="I475" i="2"/>
  <c r="K475" i="2"/>
  <c r="L475" i="2"/>
  <c r="M475" i="2"/>
  <c r="O475" i="2"/>
  <c r="A476" i="2"/>
  <c r="B476" i="2"/>
  <c r="C476" i="2"/>
  <c r="D476" i="2"/>
  <c r="E476" i="2"/>
  <c r="F476" i="2"/>
  <c r="G476" i="2"/>
  <c r="H476" i="2"/>
  <c r="I476" i="2"/>
  <c r="K476" i="2"/>
  <c r="L476" i="2"/>
  <c r="M476" i="2"/>
  <c r="O476" i="2"/>
  <c r="A477" i="2"/>
  <c r="B477" i="2"/>
  <c r="C477" i="2"/>
  <c r="D477" i="2"/>
  <c r="F477" i="2" s="1"/>
  <c r="E477" i="2"/>
  <c r="G477" i="2"/>
  <c r="H477" i="2"/>
  <c r="I477" i="2"/>
  <c r="K477" i="2"/>
  <c r="O477" i="2" s="1"/>
  <c r="L477" i="2"/>
  <c r="M477" i="2"/>
  <c r="A478" i="2"/>
  <c r="B478" i="2"/>
  <c r="C478" i="2"/>
  <c r="D478" i="2"/>
  <c r="E478" i="2"/>
  <c r="F478" i="2" s="1"/>
  <c r="G478" i="2"/>
  <c r="H478" i="2"/>
  <c r="I478" i="2"/>
  <c r="K478" i="2"/>
  <c r="L478" i="2"/>
  <c r="M478" i="2"/>
  <c r="A479" i="2"/>
  <c r="B479" i="2"/>
  <c r="C479" i="2"/>
  <c r="D479" i="2"/>
  <c r="F479" i="2" s="1"/>
  <c r="E479" i="2"/>
  <c r="G479" i="2"/>
  <c r="P479" i="2" s="1"/>
  <c r="H479" i="2"/>
  <c r="I479" i="2"/>
  <c r="K479" i="2"/>
  <c r="L479" i="2"/>
  <c r="O479" i="2" s="1"/>
  <c r="M479" i="2"/>
  <c r="A480" i="2"/>
  <c r="B480" i="2"/>
  <c r="C480" i="2"/>
  <c r="D480" i="2"/>
  <c r="E480" i="2"/>
  <c r="F480" i="2"/>
  <c r="G480" i="2"/>
  <c r="H480" i="2"/>
  <c r="I480" i="2"/>
  <c r="K480" i="2"/>
  <c r="L480" i="2"/>
  <c r="M480" i="2"/>
  <c r="O480" i="2"/>
  <c r="A481" i="2"/>
  <c r="B481" i="2"/>
  <c r="C481" i="2"/>
  <c r="D481" i="2"/>
  <c r="E481" i="2"/>
  <c r="F481" i="2"/>
  <c r="G481" i="2"/>
  <c r="H481" i="2"/>
  <c r="I481" i="2"/>
  <c r="K481" i="2"/>
  <c r="L481" i="2"/>
  <c r="M481" i="2"/>
  <c r="O481" i="2"/>
  <c r="A482" i="2"/>
  <c r="B482" i="2"/>
  <c r="C482" i="2"/>
  <c r="D482" i="2"/>
  <c r="F482" i="2" s="1"/>
  <c r="E482" i="2"/>
  <c r="G482" i="2"/>
  <c r="H482" i="2"/>
  <c r="I482" i="2"/>
  <c r="K482" i="2"/>
  <c r="O482" i="2" s="1"/>
  <c r="L482" i="2"/>
  <c r="M482" i="2"/>
  <c r="A483" i="2"/>
  <c r="B483" i="2"/>
  <c r="C483" i="2"/>
  <c r="D483" i="2"/>
  <c r="E483" i="2"/>
  <c r="F483" i="2" s="1"/>
  <c r="G483" i="2"/>
  <c r="H483" i="2"/>
  <c r="I483" i="2"/>
  <c r="K483" i="2"/>
  <c r="L483" i="2"/>
  <c r="M483" i="2"/>
  <c r="A484" i="2"/>
  <c r="B484" i="2"/>
  <c r="C484" i="2"/>
  <c r="D484" i="2"/>
  <c r="E484" i="2"/>
  <c r="F484" i="2" s="1"/>
  <c r="G484" i="2"/>
  <c r="H484" i="2"/>
  <c r="I484" i="2"/>
  <c r="K484" i="2"/>
  <c r="L484" i="2"/>
  <c r="M484" i="2"/>
  <c r="O484" i="2"/>
  <c r="A485" i="2"/>
  <c r="B485" i="2"/>
  <c r="C485" i="2"/>
  <c r="D485" i="2"/>
  <c r="E485" i="2"/>
  <c r="F485" i="2"/>
  <c r="G485" i="2"/>
  <c r="H485" i="2"/>
  <c r="I485" i="2"/>
  <c r="K485" i="2"/>
  <c r="L485" i="2"/>
  <c r="M485" i="2"/>
  <c r="O485" i="2"/>
  <c r="A486" i="2"/>
  <c r="B486" i="2"/>
  <c r="C486" i="2"/>
  <c r="D486" i="2"/>
  <c r="E486" i="2"/>
  <c r="F486" i="2"/>
  <c r="G486" i="2"/>
  <c r="H486" i="2"/>
  <c r="I486" i="2"/>
  <c r="K486" i="2"/>
  <c r="L486" i="2"/>
  <c r="M486" i="2"/>
  <c r="O486" i="2"/>
  <c r="A487" i="2"/>
  <c r="B487" i="2"/>
  <c r="C487" i="2"/>
  <c r="D487" i="2"/>
  <c r="E487" i="2"/>
  <c r="F487" i="2" s="1"/>
  <c r="G487" i="2"/>
  <c r="H487" i="2"/>
  <c r="I487" i="2"/>
  <c r="K487" i="2"/>
  <c r="O487" i="2" s="1"/>
  <c r="L487" i="2"/>
  <c r="M487" i="2"/>
  <c r="A488" i="2"/>
  <c r="B488" i="2"/>
  <c r="C488" i="2"/>
  <c r="D488" i="2"/>
  <c r="E488" i="2"/>
  <c r="F488" i="2" s="1"/>
  <c r="G488" i="2"/>
  <c r="P488" i="2" s="1"/>
  <c r="H488" i="2"/>
  <c r="I488" i="2"/>
  <c r="K488" i="2"/>
  <c r="L488" i="2"/>
  <c r="M488" i="2"/>
  <c r="A489" i="2"/>
  <c r="B489" i="2"/>
  <c r="C489" i="2"/>
  <c r="D489" i="2"/>
  <c r="E489" i="2"/>
  <c r="F489" i="2" s="1"/>
  <c r="G489" i="2"/>
  <c r="H489" i="2"/>
  <c r="I489" i="2"/>
  <c r="K489" i="2"/>
  <c r="L489" i="2"/>
  <c r="M489" i="2"/>
  <c r="O489" i="2" s="1"/>
  <c r="A490" i="2"/>
  <c r="B490" i="2"/>
  <c r="C490" i="2"/>
  <c r="D490" i="2"/>
  <c r="E490" i="2"/>
  <c r="F490" i="2"/>
  <c r="G490" i="2"/>
  <c r="H490" i="2"/>
  <c r="I490" i="2"/>
  <c r="K490" i="2"/>
  <c r="L490" i="2"/>
  <c r="M490" i="2"/>
  <c r="O490" i="2"/>
  <c r="A491" i="2"/>
  <c r="B491" i="2"/>
  <c r="C491" i="2"/>
  <c r="D491" i="2"/>
  <c r="F491" i="2" s="1"/>
  <c r="E491" i="2"/>
  <c r="G491" i="2"/>
  <c r="H491" i="2"/>
  <c r="I491" i="2"/>
  <c r="K491" i="2"/>
  <c r="O491" i="2" s="1"/>
  <c r="L491" i="2"/>
  <c r="M491" i="2"/>
  <c r="A492" i="2"/>
  <c r="B492" i="2"/>
  <c r="C492" i="2"/>
  <c r="D492" i="2"/>
  <c r="E492" i="2"/>
  <c r="F492" i="2" s="1"/>
  <c r="G492" i="2"/>
  <c r="H492" i="2"/>
  <c r="I492" i="2"/>
  <c r="K492" i="2"/>
  <c r="N492" i="2" s="1"/>
  <c r="L492" i="2"/>
  <c r="M492" i="2"/>
  <c r="A493" i="2"/>
  <c r="B493" i="2"/>
  <c r="C493" i="2"/>
  <c r="D493" i="2"/>
  <c r="E493" i="2"/>
  <c r="F493" i="2" s="1"/>
  <c r="G493" i="2"/>
  <c r="P493" i="2" s="1"/>
  <c r="H493" i="2"/>
  <c r="I493" i="2"/>
  <c r="K493" i="2"/>
  <c r="L493" i="2"/>
  <c r="M493" i="2"/>
  <c r="A494" i="2"/>
  <c r="B494" i="2"/>
  <c r="C494" i="2"/>
  <c r="D494" i="2"/>
  <c r="E494" i="2"/>
  <c r="F494" i="2" s="1"/>
  <c r="G494" i="2"/>
  <c r="H494" i="2"/>
  <c r="I494" i="2"/>
  <c r="K494" i="2"/>
  <c r="L494" i="2"/>
  <c r="M494" i="2"/>
  <c r="O494" i="2"/>
  <c r="A495" i="2"/>
  <c r="B495" i="2"/>
  <c r="C495" i="2"/>
  <c r="D495" i="2"/>
  <c r="E495" i="2"/>
  <c r="F495" i="2"/>
  <c r="G495" i="2"/>
  <c r="H495" i="2"/>
  <c r="I495" i="2"/>
  <c r="K495" i="2"/>
  <c r="L495" i="2"/>
  <c r="M495" i="2"/>
  <c r="O495" i="2"/>
  <c r="A496" i="2"/>
  <c r="B496" i="2"/>
  <c r="C496" i="2"/>
  <c r="D496" i="2"/>
  <c r="E496" i="2"/>
  <c r="F496" i="2" s="1"/>
  <c r="G496" i="2"/>
  <c r="H496" i="2"/>
  <c r="I496" i="2"/>
  <c r="K496" i="2"/>
  <c r="O496" i="2" s="1"/>
  <c r="L496" i="2"/>
  <c r="M496" i="2"/>
  <c r="A497" i="2"/>
  <c r="B497" i="2"/>
  <c r="C497" i="2"/>
  <c r="D497" i="2"/>
  <c r="E497" i="2"/>
  <c r="G497" i="2"/>
  <c r="P497" i="2" s="1"/>
  <c r="H497" i="2"/>
  <c r="I497" i="2"/>
  <c r="K497" i="2"/>
  <c r="N497" i="2" s="1"/>
  <c r="L497" i="2"/>
  <c r="M497" i="2"/>
  <c r="A498" i="2"/>
  <c r="B498" i="2"/>
  <c r="C498" i="2"/>
  <c r="D498" i="2"/>
  <c r="E498" i="2"/>
  <c r="F498" i="2" s="1"/>
  <c r="G498" i="2"/>
  <c r="P498" i="2" s="1"/>
  <c r="H498" i="2"/>
  <c r="I498" i="2"/>
  <c r="K498" i="2"/>
  <c r="L498" i="2"/>
  <c r="M498" i="2"/>
  <c r="A499" i="2"/>
  <c r="B499" i="2"/>
  <c r="C499" i="2"/>
  <c r="D499" i="2"/>
  <c r="E499" i="2"/>
  <c r="F499" i="2" s="1"/>
  <c r="G499" i="2"/>
  <c r="H499" i="2"/>
  <c r="I499" i="2"/>
  <c r="K499" i="2"/>
  <c r="L499" i="2"/>
  <c r="M499" i="2"/>
  <c r="O499" i="2" s="1"/>
  <c r="A500" i="2"/>
  <c r="B500" i="2"/>
  <c r="C500" i="2"/>
  <c r="D500" i="2"/>
  <c r="E500" i="2"/>
  <c r="F500" i="2"/>
  <c r="G500" i="2"/>
  <c r="H500" i="2"/>
  <c r="I500" i="2"/>
  <c r="K500" i="2"/>
  <c r="L500" i="2"/>
  <c r="M500" i="2"/>
  <c r="O500" i="2"/>
  <c r="A501" i="2"/>
  <c r="B501" i="2"/>
  <c r="C501" i="2"/>
  <c r="D501" i="2"/>
  <c r="E501" i="2"/>
  <c r="F501" i="2" s="1"/>
  <c r="G501" i="2"/>
  <c r="H501" i="2"/>
  <c r="I501" i="2"/>
  <c r="K501" i="2"/>
  <c r="O501" i="2" s="1"/>
  <c r="L501" i="2"/>
  <c r="M501" i="2"/>
  <c r="A502" i="2"/>
  <c r="B502" i="2"/>
  <c r="C502" i="2"/>
  <c r="D502" i="2"/>
  <c r="E502" i="2"/>
  <c r="G502" i="2"/>
  <c r="P502" i="2" s="1"/>
  <c r="H502" i="2"/>
  <c r="I502" i="2"/>
  <c r="K502" i="2"/>
  <c r="N502" i="2" s="1"/>
  <c r="L502" i="2"/>
  <c r="M502" i="2"/>
  <c r="A503" i="2"/>
  <c r="B503" i="2"/>
  <c r="C503" i="2"/>
  <c r="D503" i="2"/>
  <c r="E503" i="2"/>
  <c r="F503" i="2" s="1"/>
  <c r="G503" i="2"/>
  <c r="P503" i="2" s="1"/>
  <c r="H503" i="2"/>
  <c r="I503" i="2"/>
  <c r="K503" i="2"/>
  <c r="O503" i="2" s="1"/>
  <c r="L503" i="2"/>
  <c r="M503" i="2"/>
  <c r="A504" i="2"/>
  <c r="B504" i="2"/>
  <c r="C504" i="2"/>
  <c r="D504" i="2"/>
  <c r="E504" i="2"/>
  <c r="F504" i="2" s="1"/>
  <c r="G504" i="2"/>
  <c r="P504" i="2" s="1"/>
  <c r="H504" i="2"/>
  <c r="I504" i="2"/>
  <c r="K504" i="2"/>
  <c r="L504" i="2"/>
  <c r="M504" i="2"/>
  <c r="O504" i="2" s="1"/>
  <c r="A505" i="2"/>
  <c r="B505" i="2"/>
  <c r="C505" i="2"/>
  <c r="D505" i="2"/>
  <c r="E505" i="2"/>
  <c r="F505" i="2"/>
  <c r="G505" i="2"/>
  <c r="H505" i="2"/>
  <c r="I505" i="2"/>
  <c r="K505" i="2"/>
  <c r="L505" i="2"/>
  <c r="M505" i="2"/>
  <c r="O505" i="2"/>
  <c r="A506" i="2"/>
  <c r="B506" i="2"/>
  <c r="C506" i="2"/>
  <c r="D506" i="2"/>
  <c r="E506" i="2"/>
  <c r="F506" i="2" s="1"/>
  <c r="G506" i="2"/>
  <c r="H506" i="2"/>
  <c r="I506" i="2"/>
  <c r="K506" i="2"/>
  <c r="O506" i="2" s="1"/>
  <c r="L506" i="2"/>
  <c r="M506" i="2"/>
  <c r="A507" i="2"/>
  <c r="B507" i="2"/>
  <c r="C507" i="2"/>
  <c r="D507" i="2"/>
  <c r="E507" i="2"/>
  <c r="G507" i="2"/>
  <c r="H507" i="2"/>
  <c r="I507" i="2"/>
  <c r="K507" i="2"/>
  <c r="O507" i="2" s="1"/>
  <c r="L507" i="2"/>
  <c r="M507" i="2"/>
  <c r="A508" i="2"/>
  <c r="B508" i="2"/>
  <c r="C508" i="2"/>
  <c r="D508" i="2"/>
  <c r="E508" i="2"/>
  <c r="F508" i="2"/>
  <c r="G508" i="2"/>
  <c r="P508" i="2" s="1"/>
  <c r="H508" i="2"/>
  <c r="I508" i="2"/>
  <c r="K508" i="2"/>
  <c r="O508" i="2" s="1"/>
  <c r="L508" i="2"/>
  <c r="M508" i="2"/>
  <c r="N508" i="2"/>
  <c r="A509" i="2"/>
  <c r="B509" i="2"/>
  <c r="C509" i="2"/>
  <c r="D509" i="2"/>
  <c r="E509" i="2"/>
  <c r="F509" i="2" s="1"/>
  <c r="G509" i="2"/>
  <c r="P509" i="2" s="1"/>
  <c r="H509" i="2"/>
  <c r="I509" i="2"/>
  <c r="K509" i="2"/>
  <c r="L509" i="2"/>
  <c r="M509" i="2"/>
  <c r="A510" i="2"/>
  <c r="B510" i="2"/>
  <c r="C510" i="2"/>
  <c r="D510" i="2"/>
  <c r="E510" i="2"/>
  <c r="F510" i="2"/>
  <c r="G510" i="2"/>
  <c r="H510" i="2"/>
  <c r="I510" i="2"/>
  <c r="K510" i="2"/>
  <c r="L510" i="2"/>
  <c r="M510" i="2"/>
  <c r="O510" i="2"/>
  <c r="A511" i="2"/>
  <c r="B511" i="2"/>
  <c r="C511" i="2"/>
  <c r="D511" i="2"/>
  <c r="E511" i="2"/>
  <c r="F511" i="2" s="1"/>
  <c r="G511" i="2"/>
  <c r="H511" i="2"/>
  <c r="I511" i="2"/>
  <c r="K511" i="2"/>
  <c r="O511" i="2" s="1"/>
  <c r="L511" i="2"/>
  <c r="M511" i="2"/>
  <c r="A512" i="2"/>
  <c r="B512" i="2"/>
  <c r="C512" i="2"/>
  <c r="D512" i="2"/>
  <c r="E512" i="2"/>
  <c r="G512" i="2"/>
  <c r="P512" i="2" s="1"/>
  <c r="H512" i="2"/>
  <c r="I512" i="2"/>
  <c r="K512" i="2"/>
  <c r="O512" i="2" s="1"/>
  <c r="L512" i="2"/>
  <c r="M512" i="2"/>
  <c r="A513" i="2"/>
  <c r="B513" i="2"/>
  <c r="C513" i="2"/>
  <c r="D513" i="2"/>
  <c r="E513" i="2"/>
  <c r="F513" i="2"/>
  <c r="G513" i="2"/>
  <c r="P513" i="2" s="1"/>
  <c r="H513" i="2"/>
  <c r="I513" i="2"/>
  <c r="K513" i="2"/>
  <c r="O513" i="2" s="1"/>
  <c r="L513" i="2"/>
  <c r="M513" i="2"/>
  <c r="N513" i="2"/>
  <c r="A514" i="2"/>
  <c r="B514" i="2"/>
  <c r="C514" i="2"/>
  <c r="D514" i="2"/>
  <c r="E514" i="2"/>
  <c r="F514" i="2" s="1"/>
  <c r="G514" i="2"/>
  <c r="P514" i="2" s="1"/>
  <c r="H514" i="2"/>
  <c r="I514" i="2"/>
  <c r="K514" i="2"/>
  <c r="L514" i="2"/>
  <c r="M514" i="2"/>
  <c r="A515" i="2"/>
  <c r="B515" i="2"/>
  <c r="C515" i="2"/>
  <c r="D515" i="2"/>
  <c r="E515" i="2"/>
  <c r="F515" i="2"/>
  <c r="G515" i="2"/>
  <c r="H515" i="2"/>
  <c r="I515" i="2"/>
  <c r="K515" i="2"/>
  <c r="L515" i="2"/>
  <c r="M515" i="2"/>
  <c r="O515" i="2"/>
  <c r="A516" i="2"/>
  <c r="B516" i="2"/>
  <c r="C516" i="2"/>
  <c r="D516" i="2"/>
  <c r="F516" i="2" s="1"/>
  <c r="E516" i="2"/>
  <c r="G516" i="2"/>
  <c r="H516" i="2"/>
  <c r="I516" i="2"/>
  <c r="K516" i="2"/>
  <c r="L516" i="2"/>
  <c r="M516" i="2"/>
  <c r="A517" i="2"/>
  <c r="B517" i="2"/>
  <c r="C517" i="2"/>
  <c r="D517" i="2"/>
  <c r="E517" i="2"/>
  <c r="G517" i="2"/>
  <c r="P517" i="2" s="1"/>
  <c r="H517" i="2"/>
  <c r="I517" i="2"/>
  <c r="K517" i="2"/>
  <c r="O517" i="2" s="1"/>
  <c r="L517" i="2"/>
  <c r="M517" i="2"/>
  <c r="A518" i="2"/>
  <c r="B518" i="2"/>
  <c r="C518" i="2"/>
  <c r="D518" i="2"/>
  <c r="E518" i="2"/>
  <c r="F518" i="2"/>
  <c r="G518" i="2"/>
  <c r="P518" i="2" s="1"/>
  <c r="H518" i="2"/>
  <c r="I518" i="2"/>
  <c r="K518" i="2"/>
  <c r="O518" i="2" s="1"/>
  <c r="L518" i="2"/>
  <c r="M518" i="2"/>
  <c r="N518" i="2"/>
  <c r="A519" i="2"/>
  <c r="B519" i="2"/>
  <c r="C519" i="2"/>
  <c r="D519" i="2"/>
  <c r="E519" i="2"/>
  <c r="F519" i="2" s="1"/>
  <c r="G519" i="2"/>
  <c r="P519" i="2" s="1"/>
  <c r="H519" i="2"/>
  <c r="I519" i="2"/>
  <c r="K519" i="2"/>
  <c r="L519" i="2"/>
  <c r="M519" i="2"/>
  <c r="O519" i="2" s="1"/>
  <c r="A520" i="2"/>
  <c r="B520" i="2"/>
  <c r="C520" i="2"/>
  <c r="D520" i="2"/>
  <c r="E520" i="2"/>
  <c r="F520" i="2"/>
  <c r="G520" i="2"/>
  <c r="P520" i="2" s="1"/>
  <c r="H520" i="2"/>
  <c r="I520" i="2"/>
  <c r="K520" i="2"/>
  <c r="L520" i="2"/>
  <c r="M520" i="2"/>
  <c r="O520" i="2"/>
  <c r="A521" i="2"/>
  <c r="B521" i="2"/>
  <c r="C521" i="2"/>
  <c r="D521" i="2"/>
  <c r="F521" i="2" s="1"/>
  <c r="E521" i="2"/>
  <c r="G521" i="2"/>
  <c r="H521" i="2"/>
  <c r="I521" i="2"/>
  <c r="K521" i="2"/>
  <c r="O521" i="2" s="1"/>
  <c r="L521" i="2"/>
  <c r="M521" i="2"/>
  <c r="A522" i="2"/>
  <c r="B522" i="2"/>
  <c r="C522" i="2"/>
  <c r="D522" i="2"/>
  <c r="E522" i="2"/>
  <c r="G522" i="2"/>
  <c r="H522" i="2"/>
  <c r="I522" i="2"/>
  <c r="K522" i="2"/>
  <c r="O522" i="2" s="1"/>
  <c r="L522" i="2"/>
  <c r="M522" i="2"/>
  <c r="A523" i="2"/>
  <c r="B523" i="2"/>
  <c r="C523" i="2"/>
  <c r="D523" i="2"/>
  <c r="E523" i="2"/>
  <c r="F523" i="2"/>
  <c r="G523" i="2"/>
  <c r="H523" i="2"/>
  <c r="I523" i="2"/>
  <c r="K523" i="2"/>
  <c r="L523" i="2"/>
  <c r="M523" i="2"/>
  <c r="O523" i="2"/>
  <c r="A524" i="2"/>
  <c r="B524" i="2"/>
  <c r="C524" i="2"/>
  <c r="D524" i="2"/>
  <c r="E524" i="2"/>
  <c r="F524" i="2"/>
  <c r="G524" i="2"/>
  <c r="H524" i="2"/>
  <c r="I524" i="2"/>
  <c r="K524" i="2"/>
  <c r="L524" i="2"/>
  <c r="M524" i="2"/>
  <c r="N524" i="2"/>
  <c r="O524" i="2"/>
  <c r="A525" i="2"/>
  <c r="B525" i="2"/>
  <c r="C525" i="2"/>
  <c r="D525" i="2"/>
  <c r="E525" i="2"/>
  <c r="F525" i="2"/>
  <c r="G525" i="2"/>
  <c r="P525" i="2" s="1"/>
  <c r="H525" i="2"/>
  <c r="I525" i="2"/>
  <c r="K525" i="2"/>
  <c r="L525" i="2"/>
  <c r="M525" i="2"/>
  <c r="O525" i="2"/>
  <c r="A526" i="2"/>
  <c r="B526" i="2"/>
  <c r="C526" i="2"/>
  <c r="D526" i="2"/>
  <c r="F526" i="2" s="1"/>
  <c r="E526" i="2"/>
  <c r="G526" i="2"/>
  <c r="H526" i="2"/>
  <c r="I526" i="2"/>
  <c r="K526" i="2"/>
  <c r="L526" i="2"/>
  <c r="M526" i="2"/>
  <c r="A527" i="2"/>
  <c r="B527" i="2"/>
  <c r="C527" i="2"/>
  <c r="D527" i="2"/>
  <c r="E527" i="2"/>
  <c r="G527" i="2"/>
  <c r="P527" i="2" s="1"/>
  <c r="H527" i="2"/>
  <c r="I527" i="2"/>
  <c r="K527" i="2"/>
  <c r="L527" i="2"/>
  <c r="M527" i="2"/>
  <c r="A528" i="2"/>
  <c r="B528" i="2"/>
  <c r="C528" i="2"/>
  <c r="D528" i="2"/>
  <c r="E528" i="2"/>
  <c r="F528" i="2"/>
  <c r="G528" i="2"/>
  <c r="P528" i="2" s="1"/>
  <c r="H528" i="2"/>
  <c r="I528" i="2"/>
  <c r="K528" i="2"/>
  <c r="L528" i="2"/>
  <c r="M528" i="2"/>
  <c r="O528" i="2"/>
  <c r="A529" i="2"/>
  <c r="B529" i="2"/>
  <c r="C529" i="2"/>
  <c r="D529" i="2"/>
  <c r="E529" i="2"/>
  <c r="F529" i="2"/>
  <c r="G529" i="2"/>
  <c r="H529" i="2"/>
  <c r="I529" i="2"/>
  <c r="K529" i="2"/>
  <c r="L529" i="2"/>
  <c r="M529" i="2"/>
  <c r="N529" i="2"/>
  <c r="O529" i="2"/>
  <c r="A530" i="2"/>
  <c r="B530" i="2"/>
  <c r="C530" i="2"/>
  <c r="D530" i="2"/>
  <c r="E530" i="2"/>
  <c r="F530" i="2"/>
  <c r="G530" i="2"/>
  <c r="P530" i="2" s="1"/>
  <c r="H530" i="2"/>
  <c r="I530" i="2"/>
  <c r="K530" i="2"/>
  <c r="L530" i="2"/>
  <c r="M530" i="2"/>
  <c r="O530" i="2"/>
  <c r="A531" i="2"/>
  <c r="B531" i="2"/>
  <c r="C531" i="2"/>
  <c r="D531" i="2"/>
  <c r="F531" i="2" s="1"/>
  <c r="E531" i="2"/>
  <c r="G531" i="2"/>
  <c r="H531" i="2"/>
  <c r="I531" i="2"/>
  <c r="K531" i="2"/>
  <c r="O531" i="2" s="1"/>
  <c r="L531" i="2"/>
  <c r="M531" i="2"/>
  <c r="A532" i="2"/>
  <c r="B532" i="2"/>
  <c r="C532" i="2"/>
  <c r="D532" i="2"/>
  <c r="E532" i="2"/>
  <c r="F532" i="2" s="1"/>
  <c r="G532" i="2"/>
  <c r="H532" i="2"/>
  <c r="I532" i="2"/>
  <c r="K532" i="2"/>
  <c r="L532" i="2"/>
  <c r="M532" i="2"/>
  <c r="A533" i="2"/>
  <c r="B533" i="2"/>
  <c r="C533" i="2"/>
  <c r="D533" i="2"/>
  <c r="F533" i="2" s="1"/>
  <c r="E533" i="2"/>
  <c r="G533" i="2"/>
  <c r="P533" i="2" s="1"/>
  <c r="H533" i="2"/>
  <c r="I533" i="2"/>
  <c r="K533" i="2"/>
  <c r="L533" i="2"/>
  <c r="O533" i="2" s="1"/>
  <c r="M533" i="2"/>
  <c r="A534" i="2"/>
  <c r="B534" i="2"/>
  <c r="C534" i="2"/>
  <c r="D534" i="2"/>
  <c r="E534" i="2"/>
  <c r="F534" i="2"/>
  <c r="G534" i="2"/>
  <c r="H534" i="2"/>
  <c r="I534" i="2"/>
  <c r="K534" i="2"/>
  <c r="L534" i="2"/>
  <c r="M534" i="2"/>
  <c r="N534" i="2"/>
  <c r="O534" i="2"/>
  <c r="A535" i="2"/>
  <c r="B535" i="2"/>
  <c r="C535" i="2"/>
  <c r="D535" i="2"/>
  <c r="E535" i="2"/>
  <c r="F535" i="2"/>
  <c r="G535" i="2"/>
  <c r="P535" i="2" s="1"/>
  <c r="H535" i="2"/>
  <c r="I535" i="2"/>
  <c r="K535" i="2"/>
  <c r="L535" i="2"/>
  <c r="M535" i="2"/>
  <c r="O535" i="2"/>
  <c r="A536" i="2"/>
  <c r="B536" i="2"/>
  <c r="C536" i="2"/>
  <c r="D536" i="2"/>
  <c r="F536" i="2" s="1"/>
  <c r="E536" i="2"/>
  <c r="G536" i="2"/>
  <c r="H536" i="2"/>
  <c r="I536" i="2"/>
  <c r="K536" i="2"/>
  <c r="O536" i="2" s="1"/>
  <c r="L536" i="2"/>
  <c r="M536" i="2"/>
  <c r="A537" i="2"/>
  <c r="B537" i="2"/>
  <c r="C537" i="2"/>
  <c r="D537" i="2"/>
  <c r="E537" i="2"/>
  <c r="F537" i="2" s="1"/>
  <c r="G537" i="2"/>
  <c r="P537" i="2" s="1"/>
  <c r="H537" i="2"/>
  <c r="I537" i="2"/>
  <c r="K537" i="2"/>
  <c r="L537" i="2"/>
  <c r="M537" i="2"/>
  <c r="A538" i="2"/>
  <c r="B538" i="2"/>
  <c r="C538" i="2"/>
  <c r="D538" i="2"/>
  <c r="F538" i="2" s="1"/>
  <c r="E538" i="2"/>
  <c r="G538" i="2"/>
  <c r="P538" i="2" s="1"/>
  <c r="H538" i="2"/>
  <c r="I538" i="2"/>
  <c r="K538" i="2"/>
  <c r="L538" i="2"/>
  <c r="O538" i="2" s="1"/>
  <c r="M538" i="2"/>
  <c r="A539" i="2"/>
  <c r="B539" i="2"/>
  <c r="C539" i="2"/>
  <c r="D539" i="2"/>
  <c r="E539" i="2"/>
  <c r="F539" i="2"/>
  <c r="G539" i="2"/>
  <c r="H539" i="2"/>
  <c r="I539" i="2"/>
  <c r="K539" i="2"/>
  <c r="L539" i="2"/>
  <c r="M539" i="2"/>
  <c r="O539" i="2"/>
  <c r="A540" i="2"/>
  <c r="B540" i="2"/>
  <c r="C540" i="2"/>
  <c r="D540" i="2"/>
  <c r="E540" i="2"/>
  <c r="F540" i="2" s="1"/>
  <c r="G540" i="2"/>
  <c r="H540" i="2"/>
  <c r="I540" i="2"/>
  <c r="K540" i="2"/>
  <c r="L540" i="2"/>
  <c r="M540" i="2"/>
  <c r="O540" i="2"/>
  <c r="A541" i="2"/>
  <c r="B541" i="2"/>
  <c r="C541" i="2"/>
  <c r="D541" i="2"/>
  <c r="F541" i="2" s="1"/>
  <c r="E541" i="2"/>
  <c r="G541" i="2"/>
  <c r="H541" i="2"/>
  <c r="I541" i="2"/>
  <c r="K541" i="2"/>
  <c r="O541" i="2" s="1"/>
  <c r="L541" i="2"/>
  <c r="M541" i="2"/>
  <c r="A542" i="2"/>
  <c r="B542" i="2"/>
  <c r="C542" i="2"/>
  <c r="D542" i="2"/>
  <c r="E542" i="2"/>
  <c r="F542" i="2" s="1"/>
  <c r="G542" i="2"/>
  <c r="P542" i="2" s="1"/>
  <c r="H542" i="2"/>
  <c r="I542" i="2"/>
  <c r="K542" i="2"/>
  <c r="L542" i="2"/>
  <c r="M542" i="2"/>
  <c r="A543" i="2"/>
  <c r="B543" i="2"/>
  <c r="C543" i="2"/>
  <c r="D543" i="2"/>
  <c r="F543" i="2" s="1"/>
  <c r="E543" i="2"/>
  <c r="G543" i="2"/>
  <c r="P543" i="2" s="1"/>
  <c r="H543" i="2"/>
  <c r="I543" i="2"/>
  <c r="K543" i="2"/>
  <c r="L543" i="2"/>
  <c r="O543" i="2" s="1"/>
  <c r="M543" i="2"/>
  <c r="A544" i="2"/>
  <c r="B544" i="2"/>
  <c r="C544" i="2"/>
  <c r="D544" i="2"/>
  <c r="E544" i="2"/>
  <c r="F544" i="2"/>
  <c r="G544" i="2"/>
  <c r="H544" i="2"/>
  <c r="I544" i="2"/>
  <c r="K544" i="2"/>
  <c r="L544" i="2"/>
  <c r="M544" i="2"/>
  <c r="O544" i="2"/>
  <c r="A545" i="2"/>
  <c r="B545" i="2"/>
  <c r="C545" i="2"/>
  <c r="D545" i="2"/>
  <c r="E545" i="2"/>
  <c r="F545" i="2"/>
  <c r="G545" i="2"/>
  <c r="H545" i="2"/>
  <c r="I545" i="2"/>
  <c r="K545" i="2"/>
  <c r="L545" i="2"/>
  <c r="M545" i="2"/>
  <c r="O545" i="2"/>
  <c r="A546" i="2"/>
  <c r="B546" i="2"/>
  <c r="C546" i="2"/>
  <c r="D546" i="2"/>
  <c r="F546" i="2" s="1"/>
  <c r="E546" i="2"/>
  <c r="G546" i="2"/>
  <c r="H546" i="2"/>
  <c r="I546" i="2"/>
  <c r="K546" i="2"/>
  <c r="O546" i="2" s="1"/>
  <c r="L546" i="2"/>
  <c r="M546" i="2"/>
  <c r="A547" i="2"/>
  <c r="B547" i="2"/>
  <c r="C547" i="2"/>
  <c r="D547" i="2"/>
  <c r="E547" i="2"/>
  <c r="F547" i="2" s="1"/>
  <c r="G547" i="2"/>
  <c r="H547" i="2"/>
  <c r="I547" i="2"/>
  <c r="K547" i="2"/>
  <c r="O547" i="2" s="1"/>
  <c r="L547" i="2"/>
  <c r="M547" i="2"/>
  <c r="A548" i="2"/>
  <c r="B548" i="2"/>
  <c r="C548" i="2"/>
  <c r="D548" i="2"/>
  <c r="E548" i="2"/>
  <c r="F548" i="2" s="1"/>
  <c r="G548" i="2"/>
  <c r="H548" i="2"/>
  <c r="I548" i="2"/>
  <c r="K548" i="2"/>
  <c r="L548" i="2"/>
  <c r="M548" i="2"/>
  <c r="O548" i="2" s="1"/>
  <c r="A549" i="2"/>
  <c r="B549" i="2"/>
  <c r="C549" i="2"/>
  <c r="D549" i="2"/>
  <c r="E549" i="2"/>
  <c r="F549" i="2"/>
  <c r="G549" i="2"/>
  <c r="P549" i="2" s="1"/>
  <c r="H549" i="2"/>
  <c r="I549" i="2"/>
  <c r="K549" i="2"/>
  <c r="L549" i="2"/>
  <c r="M549" i="2"/>
  <c r="O549" i="2"/>
  <c r="A550" i="2"/>
  <c r="B550" i="2"/>
  <c r="C550" i="2"/>
  <c r="D550" i="2"/>
  <c r="E550" i="2"/>
  <c r="F550" i="2"/>
  <c r="G550" i="2"/>
  <c r="H550" i="2"/>
  <c r="I550" i="2"/>
  <c r="K550" i="2"/>
  <c r="L550" i="2"/>
  <c r="M550" i="2"/>
  <c r="O550" i="2"/>
  <c r="A551" i="2"/>
  <c r="B551" i="2"/>
  <c r="C551" i="2"/>
  <c r="D551" i="2"/>
  <c r="E551" i="2"/>
  <c r="F551" i="2" s="1"/>
  <c r="G551" i="2"/>
  <c r="H551" i="2"/>
  <c r="I551" i="2"/>
  <c r="K551" i="2"/>
  <c r="O551" i="2" s="1"/>
  <c r="L551" i="2"/>
  <c r="M551" i="2"/>
  <c r="A552" i="2"/>
  <c r="B552" i="2"/>
  <c r="C552" i="2"/>
  <c r="D552" i="2"/>
  <c r="E552" i="2"/>
  <c r="F552" i="2" s="1"/>
  <c r="G552" i="2"/>
  <c r="P552" i="2" s="1"/>
  <c r="H552" i="2"/>
  <c r="I552" i="2"/>
  <c r="K552" i="2"/>
  <c r="O552" i="2" s="1"/>
  <c r="L552" i="2"/>
  <c r="M552" i="2"/>
  <c r="A553" i="2"/>
  <c r="B553" i="2"/>
  <c r="C553" i="2"/>
  <c r="D553" i="2"/>
  <c r="E553" i="2"/>
  <c r="F553" i="2" s="1"/>
  <c r="G553" i="2"/>
  <c r="P553" i="2" s="1"/>
  <c r="H553" i="2"/>
  <c r="I553" i="2"/>
  <c r="K553" i="2"/>
  <c r="L553" i="2"/>
  <c r="M553" i="2"/>
  <c r="N553" i="2"/>
  <c r="A554" i="2"/>
  <c r="B554" i="2"/>
  <c r="C554" i="2"/>
  <c r="D554" i="2"/>
  <c r="E554" i="2"/>
  <c r="F554" i="2"/>
  <c r="G554" i="2"/>
  <c r="P554" i="2" s="1"/>
  <c r="H554" i="2"/>
  <c r="I554" i="2"/>
  <c r="K554" i="2"/>
  <c r="L554" i="2"/>
  <c r="M554" i="2"/>
  <c r="O554" i="2"/>
  <c r="A555" i="2"/>
  <c r="B555" i="2"/>
  <c r="C555" i="2"/>
  <c r="D555" i="2"/>
  <c r="F555" i="2" s="1"/>
  <c r="E555" i="2"/>
  <c r="G555" i="2"/>
  <c r="H555" i="2"/>
  <c r="I555" i="2"/>
  <c r="K555" i="2"/>
  <c r="L555" i="2"/>
  <c r="O555" i="2" s="1"/>
  <c r="M555" i="2"/>
  <c r="A556" i="2"/>
  <c r="B556" i="2"/>
  <c r="C556" i="2"/>
  <c r="D556" i="2"/>
  <c r="E556" i="2"/>
  <c r="F556" i="2"/>
  <c r="G556" i="2"/>
  <c r="H556" i="2"/>
  <c r="I556" i="2"/>
  <c r="K556" i="2"/>
  <c r="L556" i="2"/>
  <c r="M556" i="2"/>
  <c r="A557" i="2"/>
  <c r="B557" i="2"/>
  <c r="C557" i="2"/>
  <c r="D557" i="2"/>
  <c r="E557" i="2"/>
  <c r="F557" i="2" s="1"/>
  <c r="G557" i="2"/>
  <c r="P557" i="2" s="1"/>
  <c r="H557" i="2"/>
  <c r="I557" i="2"/>
  <c r="K557" i="2"/>
  <c r="O557" i="2" s="1"/>
  <c r="L557" i="2"/>
  <c r="M557" i="2"/>
  <c r="A558" i="2"/>
  <c r="B558" i="2"/>
  <c r="C558" i="2"/>
  <c r="D558" i="2"/>
  <c r="E558" i="2"/>
  <c r="F558" i="2"/>
  <c r="G558" i="2"/>
  <c r="P558" i="2" s="1"/>
  <c r="H558" i="2"/>
  <c r="I558" i="2"/>
  <c r="K558" i="2"/>
  <c r="O558" i="2" s="1"/>
  <c r="L558" i="2"/>
  <c r="M558" i="2"/>
  <c r="N558" i="2"/>
  <c r="A559" i="2"/>
  <c r="B559" i="2"/>
  <c r="C559" i="2"/>
  <c r="D559" i="2"/>
  <c r="E559" i="2"/>
  <c r="F559" i="2"/>
  <c r="G559" i="2"/>
  <c r="P559" i="2" s="1"/>
  <c r="H559" i="2"/>
  <c r="I559" i="2"/>
  <c r="K559" i="2"/>
  <c r="L559" i="2"/>
  <c r="M559" i="2"/>
  <c r="O559" i="2"/>
  <c r="A560" i="2"/>
  <c r="B560" i="2"/>
  <c r="C560" i="2"/>
  <c r="D560" i="2"/>
  <c r="F560" i="2" s="1"/>
  <c r="E560" i="2"/>
  <c r="G560" i="2"/>
  <c r="H560" i="2"/>
  <c r="I560" i="2"/>
  <c r="K560" i="2"/>
  <c r="L560" i="2"/>
  <c r="O560" i="2" s="1"/>
  <c r="M560" i="2"/>
  <c r="A561" i="2"/>
  <c r="B561" i="2"/>
  <c r="C561" i="2"/>
  <c r="D561" i="2"/>
  <c r="E561" i="2"/>
  <c r="F561" i="2"/>
  <c r="G561" i="2"/>
  <c r="H561" i="2"/>
  <c r="I561" i="2"/>
  <c r="K561" i="2"/>
  <c r="L561" i="2"/>
  <c r="M561" i="2"/>
  <c r="A562" i="2"/>
  <c r="B562" i="2"/>
  <c r="C562" i="2"/>
  <c r="D562" i="2"/>
  <c r="E562" i="2"/>
  <c r="G562" i="2"/>
  <c r="P562" i="2" s="1"/>
  <c r="H562" i="2"/>
  <c r="I562" i="2"/>
  <c r="K562" i="2"/>
  <c r="L562" i="2"/>
  <c r="M562" i="2"/>
  <c r="A563" i="2"/>
  <c r="B563" i="2"/>
  <c r="C563" i="2"/>
  <c r="D563" i="2"/>
  <c r="E563" i="2"/>
  <c r="F563" i="2" s="1"/>
  <c r="G563" i="2"/>
  <c r="H563" i="2"/>
  <c r="I563" i="2"/>
  <c r="K563" i="2"/>
  <c r="L563" i="2"/>
  <c r="M563" i="2"/>
  <c r="O563" i="2" s="1"/>
  <c r="A564" i="2"/>
  <c r="B564" i="2"/>
  <c r="C564" i="2"/>
  <c r="D564" i="2"/>
  <c r="E564" i="2"/>
  <c r="F564" i="2" s="1"/>
  <c r="G564" i="2"/>
  <c r="H564" i="2"/>
  <c r="I564" i="2"/>
  <c r="K564" i="2"/>
  <c r="L564" i="2"/>
  <c r="M564" i="2"/>
  <c r="O564" i="2"/>
  <c r="A565" i="2"/>
  <c r="B565" i="2"/>
  <c r="C565" i="2"/>
  <c r="D565" i="2"/>
  <c r="F565" i="2" s="1"/>
  <c r="E565" i="2"/>
  <c r="G565" i="2"/>
  <c r="H565" i="2"/>
  <c r="I565" i="2"/>
  <c r="K565" i="2"/>
  <c r="L565" i="2"/>
  <c r="O565" i="2" s="1"/>
  <c r="M565" i="2"/>
  <c r="A566" i="2"/>
  <c r="B566" i="2"/>
  <c r="C566" i="2"/>
  <c r="D566" i="2"/>
  <c r="E566" i="2"/>
  <c r="F566" i="2"/>
  <c r="G566" i="2"/>
  <c r="H566" i="2"/>
  <c r="I566" i="2"/>
  <c r="K566" i="2"/>
  <c r="L566" i="2"/>
  <c r="M566" i="2"/>
  <c r="A567" i="2"/>
  <c r="B567" i="2"/>
  <c r="C567" i="2"/>
  <c r="D567" i="2"/>
  <c r="E567" i="2"/>
  <c r="G567" i="2"/>
  <c r="P567" i="2" s="1"/>
  <c r="H567" i="2"/>
  <c r="I567" i="2"/>
  <c r="K567" i="2"/>
  <c r="L567" i="2"/>
  <c r="M567" i="2"/>
  <c r="A568" i="2"/>
  <c r="B568" i="2"/>
  <c r="C568" i="2"/>
  <c r="D568" i="2"/>
  <c r="E568" i="2"/>
  <c r="F568" i="2" s="1"/>
  <c r="G568" i="2"/>
  <c r="P568" i="2" s="1"/>
  <c r="H568" i="2"/>
  <c r="I568" i="2"/>
  <c r="K568" i="2"/>
  <c r="L568" i="2"/>
  <c r="M568" i="2"/>
  <c r="O568" i="2" s="1"/>
  <c r="A569" i="2"/>
  <c r="B569" i="2"/>
  <c r="C569" i="2"/>
  <c r="D569" i="2"/>
  <c r="E569" i="2"/>
  <c r="F569" i="2"/>
  <c r="G569" i="2"/>
  <c r="H569" i="2"/>
  <c r="I569" i="2"/>
  <c r="K569" i="2"/>
  <c r="L569" i="2"/>
  <c r="M569" i="2"/>
  <c r="O569" i="2"/>
  <c r="A570" i="2"/>
  <c r="B570" i="2"/>
  <c r="C570" i="2"/>
  <c r="D570" i="2"/>
  <c r="F570" i="2" s="1"/>
  <c r="E570" i="2"/>
  <c r="G570" i="2"/>
  <c r="H570" i="2"/>
  <c r="I570" i="2"/>
  <c r="K570" i="2"/>
  <c r="L570" i="2"/>
  <c r="O570" i="2" s="1"/>
  <c r="M570" i="2"/>
  <c r="A571" i="2"/>
  <c r="B571" i="2"/>
  <c r="C571" i="2"/>
  <c r="D571" i="2"/>
  <c r="E571" i="2"/>
  <c r="F571" i="2"/>
  <c r="G571" i="2"/>
  <c r="H571" i="2"/>
  <c r="I571" i="2"/>
  <c r="K571" i="2"/>
  <c r="O571" i="2" s="1"/>
  <c r="L571" i="2"/>
  <c r="M571" i="2"/>
  <c r="A572" i="2"/>
  <c r="B572" i="2"/>
  <c r="C572" i="2"/>
  <c r="D572" i="2"/>
  <c r="E572" i="2"/>
  <c r="F572" i="2" s="1"/>
  <c r="G572" i="2"/>
  <c r="H572" i="2"/>
  <c r="I572" i="2"/>
  <c r="K572" i="2"/>
  <c r="N572" i="2" s="1"/>
  <c r="L572" i="2"/>
  <c r="M572" i="2"/>
  <c r="A573" i="2"/>
  <c r="B573" i="2"/>
  <c r="C573" i="2"/>
  <c r="D573" i="2"/>
  <c r="E573" i="2"/>
  <c r="F573" i="2"/>
  <c r="G573" i="2"/>
  <c r="P573" i="2" s="1"/>
  <c r="H573" i="2"/>
  <c r="I573" i="2"/>
  <c r="K573" i="2"/>
  <c r="L573" i="2"/>
  <c r="M573" i="2"/>
  <c r="O573" i="2"/>
  <c r="A574" i="2"/>
  <c r="B574" i="2"/>
  <c r="C574" i="2"/>
  <c r="D574" i="2"/>
  <c r="E574" i="2"/>
  <c r="F574" i="2"/>
  <c r="G574" i="2"/>
  <c r="H574" i="2"/>
  <c r="I574" i="2"/>
  <c r="K574" i="2"/>
  <c r="L574" i="2"/>
  <c r="M574" i="2"/>
  <c r="O574" i="2"/>
  <c r="A575" i="2"/>
  <c r="B575" i="2"/>
  <c r="C575" i="2"/>
  <c r="D575" i="2"/>
  <c r="F575" i="2" s="1"/>
  <c r="E575" i="2"/>
  <c r="G575" i="2"/>
  <c r="H575" i="2"/>
  <c r="I575" i="2"/>
  <c r="K575" i="2"/>
  <c r="L575" i="2"/>
  <c r="O575" i="2" s="1"/>
  <c r="M575" i="2"/>
  <c r="A576" i="2"/>
  <c r="B576" i="2"/>
  <c r="C576" i="2"/>
  <c r="D576" i="2"/>
  <c r="E576" i="2"/>
  <c r="F576" i="2"/>
  <c r="G576" i="2"/>
  <c r="H576" i="2"/>
  <c r="I576" i="2"/>
  <c r="K576" i="2"/>
  <c r="O576" i="2" s="1"/>
  <c r="L576" i="2"/>
  <c r="M576" i="2"/>
  <c r="A577" i="2"/>
  <c r="B577" i="2"/>
  <c r="C577" i="2"/>
  <c r="D577" i="2"/>
  <c r="E577" i="2"/>
  <c r="G577" i="2"/>
  <c r="H577" i="2"/>
  <c r="I577" i="2"/>
  <c r="K577" i="2"/>
  <c r="N577" i="2" s="1"/>
  <c r="L577" i="2"/>
  <c r="M577" i="2"/>
  <c r="A578" i="2"/>
  <c r="B578" i="2"/>
  <c r="C578" i="2"/>
  <c r="D578" i="2"/>
  <c r="E578" i="2"/>
  <c r="F578" i="2" s="1"/>
  <c r="G578" i="2"/>
  <c r="P578" i="2" s="1"/>
  <c r="H578" i="2"/>
  <c r="I578" i="2"/>
  <c r="K578" i="2"/>
  <c r="L578" i="2"/>
  <c r="M578" i="2"/>
  <c r="O578" i="2" s="1"/>
  <c r="A579" i="2"/>
  <c r="B579" i="2"/>
  <c r="C579" i="2"/>
  <c r="D579" i="2"/>
  <c r="E579" i="2"/>
  <c r="F579" i="2"/>
  <c r="G579" i="2"/>
  <c r="H579" i="2"/>
  <c r="I579" i="2"/>
  <c r="K579" i="2"/>
  <c r="O579" i="2" s="1"/>
  <c r="L579" i="2"/>
  <c r="M579" i="2"/>
  <c r="A580" i="2"/>
  <c r="B580" i="2"/>
  <c r="C580" i="2"/>
  <c r="D580" i="2"/>
  <c r="E580" i="2"/>
  <c r="F580" i="2" s="1"/>
  <c r="G580" i="2"/>
  <c r="H580" i="2"/>
  <c r="I580" i="2"/>
  <c r="K580" i="2"/>
  <c r="O580" i="2" s="1"/>
  <c r="L580" i="2"/>
  <c r="M580" i="2"/>
  <c r="A581" i="2"/>
  <c r="B581" i="2"/>
  <c r="C581" i="2"/>
  <c r="D581" i="2"/>
  <c r="E581" i="2"/>
  <c r="F581" i="2"/>
  <c r="G581" i="2"/>
  <c r="H581" i="2"/>
  <c r="I581" i="2"/>
  <c r="K581" i="2"/>
  <c r="O581" i="2" s="1"/>
  <c r="L581" i="2"/>
  <c r="M581" i="2"/>
  <c r="A582" i="2"/>
  <c r="B582" i="2"/>
  <c r="C582" i="2"/>
  <c r="D582" i="2"/>
  <c r="E582" i="2"/>
  <c r="F582" i="2" s="1"/>
  <c r="G582" i="2"/>
  <c r="H582" i="2"/>
  <c r="I582" i="2"/>
  <c r="K582" i="2"/>
  <c r="N582" i="2" s="1"/>
  <c r="L582" i="2"/>
  <c r="M582" i="2"/>
  <c r="A583" i="2"/>
  <c r="B583" i="2"/>
  <c r="C583" i="2"/>
  <c r="D583" i="2"/>
  <c r="E583" i="2"/>
  <c r="F583" i="2" s="1"/>
  <c r="G583" i="2"/>
  <c r="P583" i="2" s="1"/>
  <c r="H583" i="2"/>
  <c r="I583" i="2"/>
  <c r="K583" i="2"/>
  <c r="L583" i="2"/>
  <c r="M583" i="2"/>
  <c r="O583" i="2" s="1"/>
  <c r="A584" i="2"/>
  <c r="B584" i="2"/>
  <c r="C584" i="2"/>
  <c r="D584" i="2"/>
  <c r="E584" i="2"/>
  <c r="F584" i="2" s="1"/>
  <c r="G584" i="2"/>
  <c r="H584" i="2"/>
  <c r="I584" i="2"/>
  <c r="K584" i="2"/>
  <c r="L584" i="2"/>
  <c r="M584" i="2"/>
  <c r="O584" i="2"/>
  <c r="A585" i="2"/>
  <c r="B585" i="2"/>
  <c r="C585" i="2"/>
  <c r="D585" i="2"/>
  <c r="E585" i="2"/>
  <c r="F585" i="2" s="1"/>
  <c r="G585" i="2"/>
  <c r="H585" i="2"/>
  <c r="I585" i="2"/>
  <c r="K585" i="2"/>
  <c r="L585" i="2"/>
  <c r="M585" i="2"/>
  <c r="O585" i="2"/>
  <c r="A586" i="2"/>
  <c r="B586" i="2"/>
  <c r="C586" i="2"/>
  <c r="D586" i="2"/>
  <c r="E586" i="2"/>
  <c r="F586" i="2"/>
  <c r="G586" i="2"/>
  <c r="H586" i="2"/>
  <c r="I586" i="2"/>
  <c r="K586" i="2"/>
  <c r="O586" i="2" s="1"/>
  <c r="L586" i="2"/>
  <c r="M586" i="2"/>
  <c r="A587" i="2"/>
  <c r="B587" i="2"/>
  <c r="C587" i="2"/>
  <c r="D587" i="2"/>
  <c r="E587" i="2"/>
  <c r="G587" i="2"/>
  <c r="H587" i="2"/>
  <c r="I587" i="2"/>
  <c r="K587" i="2"/>
  <c r="L587" i="2"/>
  <c r="M587" i="2"/>
  <c r="A588" i="2"/>
  <c r="B588" i="2"/>
  <c r="C588" i="2"/>
  <c r="D588" i="2"/>
  <c r="E588" i="2"/>
  <c r="F588" i="2"/>
  <c r="G588" i="2"/>
  <c r="H588" i="2"/>
  <c r="I588" i="2"/>
  <c r="K588" i="2"/>
  <c r="L588" i="2"/>
  <c r="M588" i="2"/>
  <c r="O588" i="2"/>
  <c r="A589" i="2"/>
  <c r="B589" i="2"/>
  <c r="C589" i="2"/>
  <c r="D589" i="2"/>
  <c r="E589" i="2"/>
  <c r="F589" i="2"/>
  <c r="G589" i="2"/>
  <c r="H589" i="2"/>
  <c r="I589" i="2"/>
  <c r="K589" i="2"/>
  <c r="L589" i="2"/>
  <c r="M589" i="2"/>
  <c r="O589" i="2"/>
  <c r="A590" i="2"/>
  <c r="B590" i="2"/>
  <c r="C590" i="2"/>
  <c r="D590" i="2"/>
  <c r="E590" i="2"/>
  <c r="F590" i="2" s="1"/>
  <c r="G590" i="2"/>
  <c r="H590" i="2"/>
  <c r="I590" i="2"/>
  <c r="K590" i="2"/>
  <c r="L590" i="2"/>
  <c r="M590" i="2"/>
  <c r="O590" i="2" s="1"/>
  <c r="A591" i="2"/>
  <c r="B591" i="2"/>
  <c r="C591" i="2"/>
  <c r="D591" i="2"/>
  <c r="E591" i="2"/>
  <c r="F591" i="2"/>
  <c r="G591" i="2"/>
  <c r="H591" i="2"/>
  <c r="I591" i="2"/>
  <c r="K591" i="2"/>
  <c r="O591" i="2" s="1"/>
  <c r="L591" i="2"/>
  <c r="M591" i="2"/>
  <c r="A592" i="2"/>
  <c r="B592" i="2"/>
  <c r="C592" i="2"/>
  <c r="D592" i="2"/>
  <c r="E592" i="2"/>
  <c r="G592" i="2"/>
  <c r="H592" i="2"/>
  <c r="I592" i="2"/>
  <c r="K592" i="2"/>
  <c r="O592" i="2" s="1"/>
  <c r="L592" i="2"/>
  <c r="M592" i="2"/>
  <c r="A593" i="2"/>
  <c r="B593" i="2"/>
  <c r="C593" i="2"/>
  <c r="D593" i="2"/>
  <c r="E593" i="2"/>
  <c r="F593" i="2"/>
  <c r="G593" i="2"/>
  <c r="P593" i="2" s="1"/>
  <c r="H593" i="2"/>
  <c r="I593" i="2"/>
  <c r="K593" i="2"/>
  <c r="L593" i="2"/>
  <c r="M593" i="2"/>
  <c r="N593" i="2"/>
  <c r="O593" i="2"/>
  <c r="A594" i="2"/>
  <c r="B594" i="2"/>
  <c r="C594" i="2"/>
  <c r="D594" i="2"/>
  <c r="E594" i="2"/>
  <c r="F594" i="2"/>
  <c r="G594" i="2"/>
  <c r="P594" i="2" s="1"/>
  <c r="H594" i="2"/>
  <c r="I594" i="2"/>
  <c r="K594" i="2"/>
  <c r="L594" i="2"/>
  <c r="M594" i="2"/>
  <c r="O594" i="2"/>
  <c r="A595" i="2"/>
  <c r="B595" i="2"/>
  <c r="C595" i="2"/>
  <c r="D595" i="2"/>
  <c r="E595" i="2"/>
  <c r="F595" i="2" s="1"/>
  <c r="G595" i="2"/>
  <c r="H595" i="2"/>
  <c r="I595" i="2"/>
  <c r="K595" i="2"/>
  <c r="O595" i="2" s="1"/>
  <c r="L595" i="2"/>
  <c r="M595" i="2"/>
  <c r="A596" i="2"/>
  <c r="B596" i="2"/>
  <c r="C596" i="2"/>
  <c r="D596" i="2"/>
  <c r="E596" i="2"/>
  <c r="F596" i="2" s="1"/>
  <c r="G596" i="2"/>
  <c r="P596" i="2" s="1"/>
  <c r="H596" i="2"/>
  <c r="I596" i="2"/>
  <c r="K596" i="2"/>
  <c r="O596" i="2" s="1"/>
  <c r="L596" i="2"/>
  <c r="M596" i="2"/>
  <c r="A597" i="2"/>
  <c r="B597" i="2"/>
  <c r="C597" i="2"/>
  <c r="D597" i="2"/>
  <c r="E597" i="2"/>
  <c r="F597" i="2" s="1"/>
  <c r="G597" i="2"/>
  <c r="H597" i="2"/>
  <c r="I597" i="2"/>
  <c r="K597" i="2"/>
  <c r="L597" i="2"/>
  <c r="M597" i="2"/>
  <c r="A598" i="2"/>
  <c r="B598" i="2"/>
  <c r="C598" i="2"/>
  <c r="D598" i="2"/>
  <c r="E598" i="2"/>
  <c r="F598" i="2"/>
  <c r="G598" i="2"/>
  <c r="P598" i="2" s="1"/>
  <c r="H598" i="2"/>
  <c r="I598" i="2"/>
  <c r="K598" i="2"/>
  <c r="L598" i="2"/>
  <c r="M598" i="2"/>
  <c r="O598" i="2"/>
  <c r="A599" i="2"/>
  <c r="B599" i="2"/>
  <c r="C599" i="2"/>
  <c r="D599" i="2"/>
  <c r="E599" i="2"/>
  <c r="F599" i="2"/>
  <c r="G599" i="2"/>
  <c r="H599" i="2"/>
  <c r="I599" i="2"/>
  <c r="K599" i="2"/>
  <c r="O599" i="2" s="1"/>
  <c r="L599" i="2"/>
  <c r="M599" i="2"/>
  <c r="A600" i="2"/>
  <c r="B600" i="2"/>
  <c r="C600" i="2"/>
  <c r="D600" i="2"/>
  <c r="E600" i="2"/>
  <c r="F600" i="2" s="1"/>
  <c r="G600" i="2"/>
  <c r="H600" i="2"/>
  <c r="I600" i="2"/>
  <c r="K600" i="2"/>
  <c r="O600" i="2" s="1"/>
  <c r="L600" i="2"/>
  <c r="M600" i="2"/>
  <c r="A601" i="2"/>
  <c r="B601" i="2"/>
  <c r="C601" i="2"/>
  <c r="D601" i="2"/>
  <c r="E601" i="2"/>
  <c r="F601" i="2" s="1"/>
  <c r="G601" i="2"/>
  <c r="P601" i="2" s="1"/>
  <c r="H601" i="2"/>
  <c r="I601" i="2"/>
  <c r="K601" i="2"/>
  <c r="O601" i="2" s="1"/>
  <c r="L601" i="2"/>
  <c r="M601" i="2"/>
  <c r="A602" i="2"/>
  <c r="B602" i="2"/>
  <c r="C602" i="2"/>
  <c r="D602" i="2"/>
  <c r="E602" i="2"/>
  <c r="F602" i="2" s="1"/>
  <c r="G602" i="2"/>
  <c r="H602" i="2"/>
  <c r="I602" i="2"/>
  <c r="K602" i="2"/>
  <c r="L602" i="2"/>
  <c r="M602" i="2"/>
  <c r="A603" i="2"/>
  <c r="B603" i="2"/>
  <c r="C603" i="2"/>
  <c r="D603" i="2"/>
  <c r="E603" i="2"/>
  <c r="F603" i="2"/>
  <c r="G603" i="2"/>
  <c r="H603" i="2"/>
  <c r="I603" i="2"/>
  <c r="K603" i="2"/>
  <c r="L603" i="2"/>
  <c r="M603" i="2"/>
  <c r="O603" i="2"/>
  <c r="A604" i="2"/>
  <c r="B604" i="2"/>
  <c r="C604" i="2"/>
  <c r="D604" i="2"/>
  <c r="F604" i="2" s="1"/>
  <c r="E604" i="2"/>
  <c r="G604" i="2"/>
  <c r="H604" i="2"/>
  <c r="I604" i="2"/>
  <c r="K604" i="2"/>
  <c r="L604" i="2"/>
  <c r="N604" i="2" s="1"/>
  <c r="M604" i="2"/>
  <c r="A605" i="2"/>
  <c r="B605" i="2"/>
  <c r="C605" i="2"/>
  <c r="D605" i="2"/>
  <c r="E605" i="2"/>
  <c r="F605" i="2" s="1"/>
  <c r="G605" i="2"/>
  <c r="P605" i="2" s="1"/>
  <c r="H605" i="2"/>
  <c r="I605" i="2"/>
  <c r="K605" i="2"/>
  <c r="O605" i="2" s="1"/>
  <c r="L605" i="2"/>
  <c r="M605" i="2"/>
  <c r="A606" i="2"/>
  <c r="B606" i="2"/>
  <c r="C606" i="2"/>
  <c r="D606" i="2"/>
  <c r="E606" i="2"/>
  <c r="G606" i="2"/>
  <c r="P606" i="2" s="1"/>
  <c r="H606" i="2"/>
  <c r="I606" i="2"/>
  <c r="K606" i="2"/>
  <c r="L606" i="2"/>
  <c r="M606" i="2"/>
  <c r="A607" i="2"/>
  <c r="B607" i="2"/>
  <c r="C607" i="2"/>
  <c r="D607" i="2"/>
  <c r="E607" i="2"/>
  <c r="F607" i="2" s="1"/>
  <c r="G607" i="2"/>
  <c r="H607" i="2"/>
  <c r="I607" i="2"/>
  <c r="K607" i="2"/>
  <c r="L607" i="2"/>
  <c r="M607" i="2"/>
  <c r="A608" i="2"/>
  <c r="B608" i="2"/>
  <c r="C608" i="2"/>
  <c r="D608" i="2"/>
  <c r="E608" i="2"/>
  <c r="F608" i="2"/>
  <c r="G608" i="2"/>
  <c r="P608" i="2" s="1"/>
  <c r="H608" i="2"/>
  <c r="I608" i="2"/>
  <c r="K608" i="2"/>
  <c r="L608" i="2"/>
  <c r="M608" i="2"/>
  <c r="O608" i="2"/>
  <c r="A609" i="2"/>
  <c r="B609" i="2"/>
  <c r="C609" i="2"/>
  <c r="D609" i="2"/>
  <c r="F609" i="2" s="1"/>
  <c r="E609" i="2"/>
  <c r="G609" i="2"/>
  <c r="H609" i="2"/>
  <c r="I609" i="2"/>
  <c r="K609" i="2"/>
  <c r="L609" i="2"/>
  <c r="M609" i="2"/>
  <c r="O609" i="2"/>
  <c r="A610" i="2"/>
  <c r="B610" i="2"/>
  <c r="C610" i="2"/>
  <c r="D610" i="2"/>
  <c r="E610" i="2"/>
  <c r="F610" i="2" s="1"/>
  <c r="G610" i="2"/>
  <c r="H610" i="2"/>
  <c r="I610" i="2"/>
  <c r="K610" i="2"/>
  <c r="O610" i="2" s="1"/>
  <c r="L610" i="2"/>
  <c r="M610" i="2"/>
  <c r="A611" i="2"/>
  <c r="B611" i="2"/>
  <c r="C611" i="2"/>
  <c r="D611" i="2"/>
  <c r="E611" i="2"/>
  <c r="G611" i="2"/>
  <c r="H611" i="2"/>
  <c r="I611" i="2"/>
  <c r="K611" i="2"/>
  <c r="O611" i="2" s="1"/>
  <c r="L611" i="2"/>
  <c r="M611" i="2"/>
  <c r="A612" i="2"/>
  <c r="B612" i="2"/>
  <c r="C612" i="2"/>
  <c r="D612" i="2"/>
  <c r="E612" i="2"/>
  <c r="F612" i="2"/>
  <c r="G612" i="2"/>
  <c r="P612" i="2" s="1"/>
  <c r="H612" i="2"/>
  <c r="I612" i="2"/>
  <c r="K612" i="2"/>
  <c r="O612" i="2" s="1"/>
  <c r="L612" i="2"/>
  <c r="M612" i="2"/>
  <c r="N612" i="2"/>
  <c r="A613" i="2"/>
  <c r="B613" i="2"/>
  <c r="C613" i="2"/>
  <c r="D613" i="2"/>
  <c r="E613" i="2"/>
  <c r="F613" i="2"/>
  <c r="G613" i="2"/>
  <c r="P613" i="2" s="1"/>
  <c r="H613" i="2"/>
  <c r="I613" i="2"/>
  <c r="K613" i="2"/>
  <c r="L613" i="2"/>
  <c r="M613" i="2"/>
  <c r="O613" i="2"/>
  <c r="A614" i="2"/>
  <c r="B614" i="2"/>
  <c r="C614" i="2"/>
  <c r="D614" i="2"/>
  <c r="F614" i="2" s="1"/>
  <c r="E614" i="2"/>
  <c r="G614" i="2"/>
  <c r="H614" i="2"/>
  <c r="I614" i="2"/>
  <c r="K614" i="2"/>
  <c r="L614" i="2"/>
  <c r="O614" i="2" s="1"/>
  <c r="M614" i="2"/>
  <c r="A615" i="2"/>
  <c r="B615" i="2"/>
  <c r="C615" i="2"/>
  <c r="D615" i="2"/>
  <c r="E615" i="2"/>
  <c r="F615" i="2" s="1"/>
  <c r="G615" i="2"/>
  <c r="H615" i="2"/>
  <c r="I615" i="2"/>
  <c r="K615" i="2"/>
  <c r="O615" i="2" s="1"/>
  <c r="L615" i="2"/>
  <c r="M615" i="2"/>
  <c r="A616" i="2"/>
  <c r="B616" i="2"/>
  <c r="C616" i="2"/>
  <c r="D616" i="2"/>
  <c r="E616" i="2"/>
  <c r="G616" i="2"/>
  <c r="P616" i="2" s="1"/>
  <c r="H616" i="2"/>
  <c r="I616" i="2"/>
  <c r="K616" i="2"/>
  <c r="O616" i="2" s="1"/>
  <c r="L616" i="2"/>
  <c r="M616" i="2"/>
  <c r="A617" i="2"/>
  <c r="B617" i="2"/>
  <c r="C617" i="2"/>
  <c r="D617" i="2"/>
  <c r="E617" i="2"/>
  <c r="F617" i="2"/>
  <c r="G617" i="2"/>
  <c r="P617" i="2" s="1"/>
  <c r="H617" i="2"/>
  <c r="I617" i="2"/>
  <c r="K617" i="2"/>
  <c r="O617" i="2" s="1"/>
  <c r="L617" i="2"/>
  <c r="M617" i="2"/>
  <c r="N617" i="2"/>
  <c r="A618" i="2"/>
  <c r="B618" i="2"/>
  <c r="C618" i="2"/>
  <c r="D618" i="2"/>
  <c r="E618" i="2"/>
  <c r="F618" i="2"/>
  <c r="G618" i="2"/>
  <c r="P618" i="2" s="1"/>
  <c r="H618" i="2"/>
  <c r="I618" i="2"/>
  <c r="K618" i="2"/>
  <c r="L618" i="2"/>
  <c r="M618" i="2"/>
  <c r="O618" i="2"/>
  <c r="A619" i="2"/>
  <c r="B619" i="2"/>
  <c r="C619" i="2"/>
  <c r="D619" i="2"/>
  <c r="F619" i="2" s="1"/>
  <c r="E619" i="2"/>
  <c r="G619" i="2"/>
  <c r="H619" i="2"/>
  <c r="I619" i="2"/>
  <c r="K619" i="2"/>
  <c r="L619" i="2"/>
  <c r="O619" i="2" s="1"/>
  <c r="M619" i="2"/>
  <c r="A620" i="2"/>
  <c r="B620" i="2"/>
  <c r="C620" i="2"/>
  <c r="D620" i="2"/>
  <c r="E620" i="2"/>
  <c r="F620" i="2"/>
  <c r="G620" i="2"/>
  <c r="H620" i="2"/>
  <c r="I620" i="2"/>
  <c r="K620" i="2"/>
  <c r="L620" i="2"/>
  <c r="M620" i="2"/>
  <c r="A621" i="2"/>
  <c r="B621" i="2"/>
  <c r="C621" i="2"/>
  <c r="D621" i="2"/>
  <c r="E621" i="2"/>
  <c r="G621" i="2"/>
  <c r="P621" i="2" s="1"/>
  <c r="H621" i="2"/>
  <c r="I621" i="2"/>
  <c r="K621" i="2"/>
  <c r="L621" i="2"/>
  <c r="M621" i="2"/>
  <c r="A622" i="2"/>
  <c r="B622" i="2"/>
  <c r="C622" i="2"/>
  <c r="D622" i="2"/>
  <c r="E622" i="2"/>
  <c r="F622" i="2" s="1"/>
  <c r="G622" i="2"/>
  <c r="P622" i="2" s="1"/>
  <c r="H622" i="2"/>
  <c r="I622" i="2"/>
  <c r="K622" i="2"/>
  <c r="O622" i="2" s="1"/>
  <c r="L622" i="2"/>
  <c r="M622" i="2"/>
  <c r="N622" i="2"/>
  <c r="A623" i="2"/>
  <c r="B623" i="2"/>
  <c r="C623" i="2"/>
  <c r="D623" i="2"/>
  <c r="E623" i="2"/>
  <c r="F623" i="2"/>
  <c r="G623" i="2"/>
  <c r="P623" i="2" s="1"/>
  <c r="H623" i="2"/>
  <c r="I623" i="2"/>
  <c r="K623" i="2"/>
  <c r="L623" i="2"/>
  <c r="M623" i="2"/>
  <c r="O623" i="2"/>
  <c r="A624" i="2"/>
  <c r="B624" i="2"/>
  <c r="C624" i="2"/>
  <c r="D624" i="2"/>
  <c r="F624" i="2" s="1"/>
  <c r="E624" i="2"/>
  <c r="G624" i="2"/>
  <c r="H624" i="2"/>
  <c r="I624" i="2"/>
  <c r="K624" i="2"/>
  <c r="L624" i="2"/>
  <c r="O624" i="2" s="1"/>
  <c r="M624" i="2"/>
  <c r="A625" i="2"/>
  <c r="B625" i="2"/>
  <c r="C625" i="2"/>
  <c r="D625" i="2"/>
  <c r="E625" i="2"/>
  <c r="F625" i="2"/>
  <c r="G625" i="2"/>
  <c r="H625" i="2"/>
  <c r="I625" i="2"/>
  <c r="K625" i="2"/>
  <c r="L625" i="2"/>
  <c r="M625" i="2"/>
  <c r="A626" i="2"/>
  <c r="B626" i="2"/>
  <c r="C626" i="2"/>
  <c r="D626" i="2"/>
  <c r="E626" i="2"/>
  <c r="F626" i="2" s="1"/>
  <c r="G626" i="2"/>
  <c r="P626" i="2" s="1"/>
  <c r="H626" i="2"/>
  <c r="I626" i="2"/>
  <c r="K626" i="2"/>
  <c r="O626" i="2" s="1"/>
  <c r="L626" i="2"/>
  <c r="M626" i="2"/>
  <c r="A627" i="2"/>
  <c r="B627" i="2"/>
  <c r="C627" i="2"/>
  <c r="D627" i="2"/>
  <c r="E627" i="2"/>
  <c r="F627" i="2"/>
  <c r="G627" i="2"/>
  <c r="H627" i="2"/>
  <c r="I627" i="2"/>
  <c r="K627" i="2"/>
  <c r="L627" i="2"/>
  <c r="M627" i="2"/>
  <c r="O627" i="2"/>
  <c r="A628" i="2"/>
  <c r="B628" i="2"/>
  <c r="C628" i="2"/>
  <c r="D628" i="2"/>
  <c r="E628" i="2"/>
  <c r="F628" i="2"/>
  <c r="G628" i="2"/>
  <c r="H628" i="2"/>
  <c r="I628" i="2"/>
  <c r="K628" i="2"/>
  <c r="L628" i="2"/>
  <c r="M628" i="2"/>
  <c r="O628" i="2"/>
  <c r="A629" i="2"/>
  <c r="B629" i="2"/>
  <c r="C629" i="2"/>
  <c r="D629" i="2"/>
  <c r="F629" i="2" s="1"/>
  <c r="E629" i="2"/>
  <c r="G629" i="2"/>
  <c r="H629" i="2"/>
  <c r="I629" i="2"/>
  <c r="K629" i="2"/>
  <c r="L629" i="2"/>
  <c r="O629" i="2" s="1"/>
  <c r="M629" i="2"/>
  <c r="A630" i="2"/>
  <c r="B630" i="2"/>
  <c r="C630" i="2"/>
  <c r="D630" i="2"/>
  <c r="E630" i="2"/>
  <c r="F630" i="2"/>
  <c r="G630" i="2"/>
  <c r="H630" i="2"/>
  <c r="I630" i="2"/>
  <c r="K630" i="2"/>
  <c r="L630" i="2"/>
  <c r="M630" i="2"/>
  <c r="A631" i="2"/>
  <c r="B631" i="2"/>
  <c r="C631" i="2"/>
  <c r="D631" i="2"/>
  <c r="E631" i="2"/>
  <c r="G631" i="2"/>
  <c r="P631" i="2" s="1"/>
  <c r="H631" i="2"/>
  <c r="I631" i="2"/>
  <c r="K631" i="2"/>
  <c r="O631" i="2" s="1"/>
  <c r="L631" i="2"/>
  <c r="M631" i="2"/>
  <c r="A632" i="2"/>
  <c r="B632" i="2"/>
  <c r="C632" i="2"/>
  <c r="D632" i="2"/>
  <c r="E632" i="2"/>
  <c r="F632" i="2" s="1"/>
  <c r="G632" i="2"/>
  <c r="P632" i="2" s="1"/>
  <c r="H632" i="2"/>
  <c r="I632" i="2"/>
  <c r="K632" i="2"/>
  <c r="L632" i="2"/>
  <c r="M632" i="2"/>
  <c r="O632" i="2" s="1"/>
  <c r="A633" i="2"/>
  <c r="B633" i="2"/>
  <c r="C633" i="2"/>
  <c r="D633" i="2"/>
  <c r="E633" i="2"/>
  <c r="F633" i="2"/>
  <c r="G633" i="2"/>
  <c r="H633" i="2"/>
  <c r="I633" i="2"/>
  <c r="K633" i="2"/>
  <c r="L633" i="2"/>
  <c r="M633" i="2"/>
  <c r="O633" i="2"/>
  <c r="A634" i="2"/>
  <c r="B634" i="2"/>
  <c r="C634" i="2"/>
  <c r="D634" i="2"/>
  <c r="F634" i="2" s="1"/>
  <c r="E634" i="2"/>
  <c r="G634" i="2"/>
  <c r="H634" i="2"/>
  <c r="I634" i="2"/>
  <c r="K634" i="2"/>
  <c r="L634" i="2"/>
  <c r="O634" i="2" s="1"/>
  <c r="M634" i="2"/>
  <c r="A635" i="2"/>
  <c r="B635" i="2"/>
  <c r="C635" i="2"/>
  <c r="D635" i="2"/>
  <c r="E635" i="2"/>
  <c r="F635" i="2"/>
  <c r="G635" i="2"/>
  <c r="H635" i="2"/>
  <c r="I635" i="2"/>
  <c r="K635" i="2"/>
  <c r="O635" i="2" s="1"/>
  <c r="L635" i="2"/>
  <c r="M635" i="2"/>
  <c r="A636" i="2"/>
  <c r="B636" i="2"/>
  <c r="C636" i="2"/>
  <c r="D636" i="2"/>
  <c r="E636" i="2"/>
  <c r="G636" i="2"/>
  <c r="H636" i="2"/>
  <c r="I636" i="2"/>
  <c r="K636" i="2"/>
  <c r="L636" i="2"/>
  <c r="M636" i="2"/>
  <c r="A637" i="2"/>
  <c r="B637" i="2"/>
  <c r="C637" i="2"/>
  <c r="D637" i="2"/>
  <c r="E637" i="2"/>
  <c r="F637" i="2" s="1"/>
  <c r="G637" i="2"/>
  <c r="P637" i="2" s="1"/>
  <c r="H637" i="2"/>
  <c r="I637" i="2"/>
  <c r="K637" i="2"/>
  <c r="L637" i="2"/>
  <c r="M637" i="2"/>
  <c r="O637" i="2" s="1"/>
  <c r="A638" i="2"/>
  <c r="B638" i="2"/>
  <c r="C638" i="2"/>
  <c r="D638" i="2"/>
  <c r="E638" i="2"/>
  <c r="F638" i="2"/>
  <c r="G638" i="2"/>
  <c r="P638" i="2" s="1"/>
  <c r="H638" i="2"/>
  <c r="I638" i="2"/>
  <c r="K638" i="2"/>
  <c r="L638" i="2"/>
  <c r="M638" i="2"/>
  <c r="A639" i="2"/>
  <c r="B639" i="2"/>
  <c r="C639" i="2"/>
  <c r="D639" i="2"/>
  <c r="E639" i="2"/>
  <c r="F639" i="2"/>
  <c r="G639" i="2"/>
  <c r="H639" i="2"/>
  <c r="I639" i="2"/>
  <c r="K639" i="2"/>
  <c r="O639" i="2" s="1"/>
  <c r="L639" i="2"/>
  <c r="M639" i="2"/>
  <c r="A640" i="2"/>
  <c r="B640" i="2"/>
  <c r="C640" i="2"/>
  <c r="D640" i="2"/>
  <c r="E640" i="2"/>
  <c r="F640" i="2" s="1"/>
  <c r="G640" i="2"/>
  <c r="P640" i="2" s="1"/>
  <c r="H640" i="2"/>
  <c r="I640" i="2"/>
  <c r="K640" i="2"/>
  <c r="L640" i="2"/>
  <c r="M640" i="2"/>
  <c r="A641" i="2"/>
  <c r="B641" i="2"/>
  <c r="C641" i="2"/>
  <c r="D641" i="2"/>
  <c r="F641" i="2" s="1"/>
  <c r="E641" i="2"/>
  <c r="G641" i="2"/>
  <c r="H641" i="2"/>
  <c r="I641" i="2"/>
  <c r="K641" i="2"/>
  <c r="L641" i="2"/>
  <c r="M641" i="2"/>
  <c r="A642" i="2"/>
  <c r="B642" i="2"/>
  <c r="C642" i="2"/>
  <c r="D642" i="2"/>
  <c r="E642" i="2"/>
  <c r="F642" i="2"/>
  <c r="G642" i="2"/>
  <c r="H642" i="2"/>
  <c r="I642" i="2"/>
  <c r="K642" i="2"/>
  <c r="O642" i="2" s="1"/>
  <c r="L642" i="2"/>
  <c r="M642" i="2"/>
  <c r="A643" i="2"/>
  <c r="B643" i="2"/>
  <c r="C643" i="2"/>
  <c r="D643" i="2"/>
  <c r="E643" i="2"/>
  <c r="G643" i="2"/>
  <c r="H643" i="2"/>
  <c r="I643" i="2"/>
  <c r="K643" i="2"/>
  <c r="O643" i="2" s="1"/>
  <c r="L643" i="2"/>
  <c r="M643" i="2"/>
  <c r="A644" i="2"/>
  <c r="B644" i="2"/>
  <c r="C644" i="2"/>
  <c r="D644" i="2"/>
  <c r="E644" i="2"/>
  <c r="F644" i="2"/>
  <c r="G644" i="2"/>
  <c r="P644" i="2" s="1"/>
  <c r="H644" i="2"/>
  <c r="I644" i="2"/>
  <c r="K644" i="2"/>
  <c r="L644" i="2"/>
  <c r="M644" i="2"/>
  <c r="N644" i="2"/>
  <c r="O644" i="2"/>
  <c r="A645" i="2"/>
  <c r="B645" i="2"/>
  <c r="C645" i="2"/>
  <c r="D645" i="2"/>
  <c r="E645" i="2"/>
  <c r="F645" i="2"/>
  <c r="G645" i="2"/>
  <c r="P645" i="2" s="1"/>
  <c r="H645" i="2"/>
  <c r="I645" i="2"/>
  <c r="K645" i="2"/>
  <c r="L645" i="2"/>
  <c r="M645" i="2"/>
  <c r="O645" i="2"/>
  <c r="A646" i="2"/>
  <c r="B646" i="2"/>
  <c r="C646" i="2"/>
  <c r="D646" i="2"/>
  <c r="E646" i="2"/>
  <c r="F646" i="2" s="1"/>
  <c r="G646" i="2"/>
  <c r="H646" i="2"/>
  <c r="I646" i="2"/>
  <c r="K646" i="2"/>
  <c r="L646" i="2"/>
  <c r="M646" i="2"/>
  <c r="A647" i="2"/>
  <c r="B647" i="2"/>
  <c r="C647" i="2"/>
  <c r="D647" i="2"/>
  <c r="E647" i="2"/>
  <c r="F647" i="2" s="1"/>
  <c r="G647" i="2"/>
  <c r="H647" i="2"/>
  <c r="I647" i="2"/>
  <c r="K647" i="2"/>
  <c r="L647" i="2"/>
  <c r="M647" i="2"/>
  <c r="A648" i="2"/>
  <c r="B648" i="2"/>
  <c r="C648" i="2"/>
  <c r="D648" i="2"/>
  <c r="E648" i="2"/>
  <c r="F648" i="2"/>
  <c r="G648" i="2"/>
  <c r="H648" i="2"/>
  <c r="I648" i="2"/>
  <c r="K648" i="2"/>
  <c r="O648" i="2" s="1"/>
  <c r="L648" i="2"/>
  <c r="M648" i="2"/>
  <c r="A649" i="2"/>
  <c r="B649" i="2"/>
  <c r="C649" i="2"/>
  <c r="D649" i="2"/>
  <c r="E649" i="2"/>
  <c r="F649" i="2"/>
  <c r="G649" i="2"/>
  <c r="H649" i="2"/>
  <c r="I649" i="2"/>
  <c r="K649" i="2"/>
  <c r="L649" i="2"/>
  <c r="M649" i="2"/>
  <c r="A650" i="2"/>
  <c r="B650" i="2"/>
  <c r="C650" i="2"/>
  <c r="D650" i="2"/>
  <c r="E650" i="2"/>
  <c r="G650" i="2"/>
  <c r="H650" i="2"/>
  <c r="I650" i="2"/>
  <c r="K650" i="2"/>
  <c r="L650" i="2"/>
  <c r="M650" i="2"/>
  <c r="A651" i="2"/>
  <c r="B651" i="2"/>
  <c r="C651" i="2"/>
  <c r="D651" i="2"/>
  <c r="E651" i="2"/>
  <c r="F651" i="2" s="1"/>
  <c r="G651" i="2"/>
  <c r="H651" i="2"/>
  <c r="I651" i="2"/>
  <c r="K651" i="2"/>
  <c r="L651" i="2"/>
  <c r="M651" i="2"/>
  <c r="O651" i="2" s="1"/>
  <c r="A652" i="2"/>
  <c r="B652" i="2"/>
  <c r="C652" i="2"/>
  <c r="D652" i="2"/>
  <c r="E652" i="2"/>
  <c r="F652" i="2"/>
  <c r="G652" i="2"/>
  <c r="H652" i="2"/>
  <c r="I652" i="2"/>
  <c r="K652" i="2"/>
  <c r="O652" i="2" s="1"/>
  <c r="L652" i="2"/>
  <c r="M652" i="2"/>
  <c r="A653" i="2"/>
  <c r="B653" i="2"/>
  <c r="C653" i="2"/>
  <c r="D653" i="2"/>
  <c r="E653" i="2"/>
  <c r="F653" i="2" s="1"/>
  <c r="G653" i="2"/>
  <c r="H653" i="2"/>
  <c r="I653" i="2"/>
  <c r="K653" i="2"/>
  <c r="O653" i="2" s="1"/>
  <c r="L653" i="2"/>
  <c r="M653" i="2"/>
  <c r="A654" i="2"/>
  <c r="B654" i="2"/>
  <c r="C654" i="2"/>
  <c r="D654" i="2"/>
  <c r="E654" i="2"/>
  <c r="G654" i="2"/>
  <c r="P654" i="2" s="1"/>
  <c r="H654" i="2"/>
  <c r="I654" i="2"/>
  <c r="K654" i="2"/>
  <c r="L654" i="2"/>
  <c r="M654" i="2"/>
  <c r="A655" i="2"/>
  <c r="B655" i="2"/>
  <c r="C655" i="2"/>
  <c r="D655" i="2"/>
  <c r="E655" i="2"/>
  <c r="F655" i="2"/>
  <c r="G655" i="2"/>
  <c r="P655" i="2" s="1"/>
  <c r="H655" i="2"/>
  <c r="I655" i="2"/>
  <c r="K655" i="2"/>
  <c r="L655" i="2"/>
  <c r="M655" i="2"/>
  <c r="A656" i="2"/>
  <c r="B656" i="2"/>
  <c r="C656" i="2"/>
  <c r="D656" i="2"/>
  <c r="E656" i="2"/>
  <c r="F656" i="2" s="1"/>
  <c r="G656" i="2"/>
  <c r="H656" i="2"/>
  <c r="I656" i="2"/>
  <c r="K656" i="2"/>
  <c r="L656" i="2"/>
  <c r="M656" i="2"/>
  <c r="A657" i="2"/>
  <c r="B657" i="2"/>
  <c r="C657" i="2"/>
  <c r="D657" i="2"/>
  <c r="E657" i="2"/>
  <c r="G657" i="2"/>
  <c r="H657" i="2"/>
  <c r="I657" i="2"/>
  <c r="K657" i="2"/>
  <c r="L657" i="2"/>
  <c r="M657" i="2"/>
  <c r="A658" i="2"/>
  <c r="B658" i="2"/>
  <c r="C658" i="2"/>
  <c r="D658" i="2"/>
  <c r="E658" i="2"/>
  <c r="F658" i="2"/>
  <c r="G658" i="2"/>
  <c r="P658" i="2" s="1"/>
  <c r="H658" i="2"/>
  <c r="I658" i="2"/>
  <c r="K658" i="2"/>
  <c r="L658" i="2"/>
  <c r="M658" i="2"/>
  <c r="O658" i="2"/>
  <c r="A659" i="2"/>
  <c r="B659" i="2"/>
  <c r="C659" i="2"/>
  <c r="D659" i="2"/>
  <c r="F659" i="2" s="1"/>
  <c r="E659" i="2"/>
  <c r="G659" i="2"/>
  <c r="H659" i="2"/>
  <c r="I659" i="2"/>
  <c r="K659" i="2"/>
  <c r="O659" i="2" s="1"/>
  <c r="L659" i="2"/>
  <c r="M659" i="2"/>
  <c r="A660" i="2"/>
  <c r="B660" i="2"/>
  <c r="C660" i="2"/>
  <c r="D660" i="2"/>
  <c r="E660" i="2"/>
  <c r="F660" i="2"/>
  <c r="G660" i="2"/>
  <c r="H660" i="2"/>
  <c r="I660" i="2"/>
  <c r="K660" i="2"/>
  <c r="L660" i="2"/>
  <c r="M660" i="2"/>
  <c r="A661" i="2"/>
  <c r="B661" i="2"/>
  <c r="C661" i="2"/>
  <c r="D661" i="2"/>
  <c r="E661" i="2"/>
  <c r="G661" i="2"/>
  <c r="P661" i="2" s="1"/>
  <c r="H661" i="2"/>
  <c r="I661" i="2"/>
  <c r="K661" i="2"/>
  <c r="L661" i="2"/>
  <c r="M661" i="2"/>
  <c r="A662" i="2"/>
  <c r="B662" i="2"/>
  <c r="C662" i="2"/>
  <c r="D662" i="2"/>
  <c r="E662" i="2"/>
  <c r="F662" i="2" s="1"/>
  <c r="G662" i="2"/>
  <c r="H662" i="2"/>
  <c r="I662" i="2"/>
  <c r="K662" i="2"/>
  <c r="L662" i="2"/>
  <c r="M662" i="2"/>
  <c r="A663" i="2"/>
  <c r="B663" i="2"/>
  <c r="C663" i="2"/>
  <c r="D663" i="2"/>
  <c r="F663" i="2" s="1"/>
  <c r="E663" i="2"/>
  <c r="G663" i="2"/>
  <c r="H663" i="2"/>
  <c r="I663" i="2"/>
  <c r="K663" i="2"/>
  <c r="L663" i="2"/>
  <c r="M663" i="2"/>
  <c r="A664" i="2"/>
  <c r="B664" i="2"/>
  <c r="C664" i="2"/>
  <c r="D664" i="2"/>
  <c r="F664" i="2" s="1"/>
  <c r="E664" i="2"/>
  <c r="G664" i="2"/>
  <c r="P664" i="2" s="1"/>
  <c r="H664" i="2"/>
  <c r="I664" i="2"/>
  <c r="K664" i="2"/>
  <c r="L664" i="2"/>
  <c r="M664" i="2"/>
  <c r="A665" i="2"/>
  <c r="B665" i="2"/>
  <c r="C665" i="2"/>
  <c r="D665" i="2"/>
  <c r="E665" i="2"/>
  <c r="F665" i="2"/>
  <c r="G665" i="2"/>
  <c r="P665" i="2" s="1"/>
  <c r="H665" i="2"/>
  <c r="I665" i="2"/>
  <c r="K665" i="2"/>
  <c r="L665" i="2"/>
  <c r="M665" i="2"/>
  <c r="A666" i="2"/>
  <c r="B666" i="2"/>
  <c r="C666" i="2"/>
  <c r="D666" i="2"/>
  <c r="F666" i="2" s="1"/>
  <c r="E666" i="2"/>
  <c r="G666" i="2"/>
  <c r="H666" i="2"/>
  <c r="I666" i="2"/>
  <c r="K666" i="2"/>
  <c r="O666" i="2" s="1"/>
  <c r="L666" i="2"/>
  <c r="M666" i="2"/>
  <c r="A667" i="2"/>
  <c r="B667" i="2"/>
  <c r="C667" i="2"/>
  <c r="D667" i="2"/>
  <c r="E667" i="2"/>
  <c r="F667" i="2"/>
  <c r="G667" i="2"/>
  <c r="H667" i="2"/>
  <c r="I667" i="2"/>
  <c r="K667" i="2"/>
  <c r="O667" i="2" s="1"/>
  <c r="L667" i="2"/>
  <c r="M667" i="2"/>
  <c r="A668" i="2"/>
  <c r="B668" i="2"/>
  <c r="C668" i="2"/>
  <c r="D668" i="2"/>
  <c r="E668" i="2"/>
  <c r="G668" i="2"/>
  <c r="P668" i="2" s="1"/>
  <c r="H668" i="2"/>
  <c r="I668" i="2"/>
  <c r="K668" i="2"/>
  <c r="L668" i="2"/>
  <c r="M668" i="2"/>
  <c r="A669" i="2"/>
  <c r="B669" i="2"/>
  <c r="C669" i="2"/>
  <c r="D669" i="2"/>
  <c r="E669" i="2"/>
  <c r="F669" i="2" s="1"/>
  <c r="G669" i="2"/>
  <c r="H669" i="2"/>
  <c r="I669" i="2"/>
  <c r="K669" i="2"/>
  <c r="L669" i="2"/>
  <c r="M669" i="2"/>
  <c r="O669" i="2" s="1"/>
  <c r="A670" i="2"/>
  <c r="B670" i="2"/>
  <c r="C670" i="2"/>
  <c r="D670" i="2"/>
  <c r="E670" i="2"/>
  <c r="F670" i="2"/>
  <c r="G670" i="2"/>
  <c r="P670" i="2" s="1"/>
  <c r="H670" i="2"/>
  <c r="I670" i="2"/>
  <c r="K670" i="2"/>
  <c r="L670" i="2"/>
  <c r="M670" i="2"/>
  <c r="A671" i="2"/>
  <c r="B671" i="2"/>
  <c r="C671" i="2"/>
  <c r="D671" i="2"/>
  <c r="E671" i="2"/>
  <c r="F671" i="2" s="1"/>
  <c r="G671" i="2"/>
  <c r="P671" i="2" s="1"/>
  <c r="H671" i="2"/>
  <c r="I671" i="2"/>
  <c r="K671" i="2"/>
  <c r="O671" i="2" s="1"/>
  <c r="L671" i="2"/>
  <c r="M671" i="2"/>
  <c r="A672" i="2"/>
  <c r="B672" i="2"/>
  <c r="C672" i="2"/>
  <c r="D672" i="2"/>
  <c r="E672" i="2"/>
  <c r="F672" i="2" s="1"/>
  <c r="G672" i="2"/>
  <c r="H672" i="2"/>
  <c r="I672" i="2"/>
  <c r="K672" i="2"/>
  <c r="L672" i="2"/>
  <c r="M672" i="2"/>
  <c r="A673" i="2"/>
  <c r="B673" i="2"/>
  <c r="C673" i="2"/>
  <c r="D673" i="2"/>
  <c r="E673" i="2"/>
  <c r="F673" i="2" s="1"/>
  <c r="G673" i="2"/>
  <c r="H673" i="2"/>
  <c r="I673" i="2"/>
  <c r="K673" i="2"/>
  <c r="O673" i="2" s="1"/>
  <c r="L673" i="2"/>
  <c r="M673" i="2"/>
  <c r="A674" i="2"/>
  <c r="B674" i="2"/>
  <c r="C674" i="2"/>
  <c r="D674" i="2"/>
  <c r="E674" i="2"/>
  <c r="F674" i="2" s="1"/>
  <c r="G674" i="2"/>
  <c r="P674" i="2" s="1"/>
  <c r="H674" i="2"/>
  <c r="I674" i="2"/>
  <c r="K674" i="2"/>
  <c r="O674" i="2" s="1"/>
  <c r="L674" i="2"/>
  <c r="M674" i="2"/>
  <c r="A675" i="2"/>
  <c r="B675" i="2"/>
  <c r="C675" i="2"/>
  <c r="D675" i="2"/>
  <c r="E675" i="2"/>
  <c r="G675" i="2"/>
  <c r="H675" i="2"/>
  <c r="I675" i="2"/>
  <c r="K675" i="2"/>
  <c r="L675" i="2"/>
  <c r="M675" i="2"/>
  <c r="A676" i="2"/>
  <c r="B676" i="2"/>
  <c r="C676" i="2"/>
  <c r="D676" i="2"/>
  <c r="E676" i="2"/>
  <c r="F676" i="2"/>
  <c r="G676" i="2"/>
  <c r="H676" i="2"/>
  <c r="I676" i="2"/>
  <c r="K676" i="2"/>
  <c r="L676" i="2"/>
  <c r="M676" i="2"/>
  <c r="O676" i="2"/>
  <c r="A677" i="2"/>
  <c r="B677" i="2"/>
  <c r="C677" i="2"/>
  <c r="D677" i="2"/>
  <c r="E677" i="2"/>
  <c r="F677" i="2"/>
  <c r="G677" i="2"/>
  <c r="H677" i="2"/>
  <c r="I677" i="2"/>
  <c r="K677" i="2"/>
  <c r="L677" i="2"/>
  <c r="M677" i="2"/>
  <c r="O677" i="2"/>
  <c r="A678" i="2"/>
  <c r="B678" i="2"/>
  <c r="C678" i="2"/>
  <c r="D678" i="2"/>
  <c r="F678" i="2" s="1"/>
  <c r="E678" i="2"/>
  <c r="G678" i="2"/>
  <c r="H678" i="2"/>
  <c r="I678" i="2"/>
  <c r="K678" i="2"/>
  <c r="L678" i="2"/>
  <c r="M678" i="2"/>
  <c r="A679" i="2"/>
  <c r="B679" i="2"/>
  <c r="C679" i="2"/>
  <c r="D679" i="2"/>
  <c r="E679" i="2"/>
  <c r="G679" i="2"/>
  <c r="P679" i="2" s="1"/>
  <c r="H679" i="2"/>
  <c r="I679" i="2"/>
  <c r="K679" i="2"/>
  <c r="L679" i="2"/>
  <c r="M679" i="2"/>
  <c r="A680" i="2"/>
  <c r="B680" i="2"/>
  <c r="C680" i="2"/>
  <c r="D680" i="2"/>
  <c r="E680" i="2"/>
  <c r="F680" i="2" s="1"/>
  <c r="G680" i="2"/>
  <c r="H680" i="2"/>
  <c r="I680" i="2"/>
  <c r="K680" i="2"/>
  <c r="L680" i="2"/>
  <c r="M680" i="2"/>
  <c r="A681" i="2"/>
  <c r="B681" i="2"/>
  <c r="C681" i="2"/>
  <c r="D681" i="2"/>
  <c r="E681" i="2"/>
  <c r="F681" i="2"/>
  <c r="G681" i="2"/>
  <c r="H681" i="2"/>
  <c r="I681" i="2"/>
  <c r="K681" i="2"/>
  <c r="L681" i="2"/>
  <c r="M681" i="2"/>
  <c r="A682" i="2"/>
  <c r="B682" i="2"/>
  <c r="C682" i="2"/>
  <c r="D682" i="2"/>
  <c r="E682" i="2"/>
  <c r="G682" i="2"/>
  <c r="H682" i="2"/>
  <c r="I682" i="2"/>
  <c r="K682" i="2"/>
  <c r="N682" i="2" s="1"/>
  <c r="L682" i="2"/>
  <c r="M682" i="2"/>
  <c r="A683" i="2"/>
  <c r="B683" i="2"/>
  <c r="C683" i="2"/>
  <c r="D683" i="2"/>
  <c r="E683" i="2"/>
  <c r="F683" i="2"/>
  <c r="G683" i="2"/>
  <c r="H683" i="2"/>
  <c r="I683" i="2"/>
  <c r="K683" i="2"/>
  <c r="L683" i="2"/>
  <c r="M683" i="2"/>
  <c r="O683" i="2"/>
  <c r="A684" i="2"/>
  <c r="B684" i="2"/>
  <c r="C684" i="2"/>
  <c r="D684" i="2"/>
  <c r="E684" i="2"/>
  <c r="F684" i="2" s="1"/>
  <c r="G684" i="2"/>
  <c r="H684" i="2"/>
  <c r="I684" i="2"/>
  <c r="K684" i="2"/>
  <c r="L684" i="2"/>
  <c r="M684" i="2"/>
  <c r="O684" i="2"/>
  <c r="A685" i="2"/>
  <c r="B685" i="2"/>
  <c r="C685" i="2"/>
  <c r="D685" i="2"/>
  <c r="E685" i="2"/>
  <c r="F685" i="2"/>
  <c r="G685" i="2"/>
  <c r="H685" i="2"/>
  <c r="I685" i="2"/>
  <c r="K685" i="2"/>
  <c r="L685" i="2"/>
  <c r="M685" i="2"/>
  <c r="O685" i="2"/>
  <c r="A686" i="2"/>
  <c r="B686" i="2"/>
  <c r="C686" i="2"/>
  <c r="D686" i="2"/>
  <c r="E686" i="2"/>
  <c r="F686" i="2" s="1"/>
  <c r="G686" i="2"/>
  <c r="H686" i="2"/>
  <c r="I686" i="2"/>
  <c r="K686" i="2"/>
  <c r="L686" i="2"/>
  <c r="M686" i="2"/>
  <c r="A687" i="2"/>
  <c r="B687" i="2"/>
  <c r="C687" i="2"/>
  <c r="D687" i="2"/>
  <c r="E687" i="2"/>
  <c r="F687" i="2" s="1"/>
  <c r="G687" i="2"/>
  <c r="H687" i="2"/>
  <c r="I687" i="2"/>
  <c r="K687" i="2"/>
  <c r="L687" i="2"/>
  <c r="M687" i="2"/>
  <c r="A688" i="2"/>
  <c r="B688" i="2"/>
  <c r="C688" i="2"/>
  <c r="D688" i="2"/>
  <c r="E688" i="2"/>
  <c r="F688" i="2" s="1"/>
  <c r="G688" i="2"/>
  <c r="H688" i="2"/>
  <c r="I688" i="2"/>
  <c r="K688" i="2"/>
  <c r="L688" i="2"/>
  <c r="M688" i="2"/>
  <c r="A689" i="2"/>
  <c r="B689" i="2"/>
  <c r="C689" i="2"/>
  <c r="D689" i="2"/>
  <c r="F689" i="2" s="1"/>
  <c r="E689" i="2"/>
  <c r="G689" i="2"/>
  <c r="H689" i="2"/>
  <c r="I689" i="2"/>
  <c r="K689" i="2"/>
  <c r="L689" i="2"/>
  <c r="M689" i="2"/>
  <c r="A690" i="2"/>
  <c r="B690" i="2"/>
  <c r="C690" i="2"/>
  <c r="D690" i="2"/>
  <c r="E690" i="2"/>
  <c r="F690" i="2"/>
  <c r="G690" i="2"/>
  <c r="P690" i="2" s="1"/>
  <c r="H690" i="2"/>
  <c r="I690" i="2"/>
  <c r="K690" i="2"/>
  <c r="L690" i="2"/>
  <c r="M690" i="2"/>
  <c r="O690" i="2"/>
  <c r="A691" i="2"/>
  <c r="B691" i="2"/>
  <c r="C691" i="2"/>
  <c r="D691" i="2"/>
  <c r="E691" i="2"/>
  <c r="F691" i="2" s="1"/>
  <c r="G691" i="2"/>
  <c r="H691" i="2"/>
  <c r="I691" i="2"/>
  <c r="K691" i="2"/>
  <c r="O691" i="2" s="1"/>
  <c r="L691" i="2"/>
  <c r="M691" i="2"/>
  <c r="A692" i="2"/>
  <c r="B692" i="2"/>
  <c r="C692" i="2"/>
  <c r="D692" i="2"/>
  <c r="E692" i="2"/>
  <c r="F692" i="2"/>
  <c r="G692" i="2"/>
  <c r="P692" i="2" s="1"/>
  <c r="H692" i="2"/>
  <c r="I692" i="2"/>
  <c r="K692" i="2"/>
  <c r="N692" i="2" s="1"/>
  <c r="L692" i="2"/>
  <c r="M692" i="2"/>
  <c r="A693" i="2"/>
  <c r="B693" i="2"/>
  <c r="C693" i="2"/>
  <c r="D693" i="2"/>
  <c r="F693" i="2" s="1"/>
  <c r="E693" i="2"/>
  <c r="G693" i="2"/>
  <c r="P693" i="2" s="1"/>
  <c r="H693" i="2"/>
  <c r="I693" i="2"/>
  <c r="K693" i="2"/>
  <c r="O693" i="2" s="1"/>
  <c r="L693" i="2"/>
  <c r="M693" i="2"/>
  <c r="A694" i="2"/>
  <c r="B694" i="2"/>
  <c r="C694" i="2"/>
  <c r="D694" i="2"/>
  <c r="E694" i="2"/>
  <c r="F694" i="2" s="1"/>
  <c r="G694" i="2"/>
  <c r="H694" i="2"/>
  <c r="I694" i="2"/>
  <c r="K694" i="2"/>
  <c r="L694" i="2"/>
  <c r="M694" i="2"/>
  <c r="A695" i="2"/>
  <c r="B695" i="2"/>
  <c r="C695" i="2"/>
  <c r="D695" i="2"/>
  <c r="E695" i="2"/>
  <c r="F695" i="2" s="1"/>
  <c r="G695" i="2"/>
  <c r="H695" i="2"/>
  <c r="I695" i="2"/>
  <c r="K695" i="2"/>
  <c r="L695" i="2"/>
  <c r="M695" i="2"/>
  <c r="A696" i="2"/>
  <c r="B696" i="2"/>
  <c r="C696" i="2"/>
  <c r="D696" i="2"/>
  <c r="E696" i="2"/>
  <c r="F696" i="2"/>
  <c r="G696" i="2"/>
  <c r="H696" i="2"/>
  <c r="I696" i="2"/>
  <c r="K696" i="2"/>
  <c r="O696" i="2" s="1"/>
  <c r="L696" i="2"/>
  <c r="M696" i="2"/>
  <c r="A697" i="2"/>
  <c r="B697" i="2"/>
  <c r="C697" i="2"/>
  <c r="D697" i="2"/>
  <c r="E697" i="2"/>
  <c r="F697" i="2"/>
  <c r="G697" i="2"/>
  <c r="P697" i="2" s="1"/>
  <c r="H697" i="2"/>
  <c r="I697" i="2"/>
  <c r="K697" i="2"/>
  <c r="L697" i="2"/>
  <c r="M697" i="2"/>
  <c r="N697" i="2"/>
  <c r="A698" i="2"/>
  <c r="B698" i="2"/>
  <c r="C698" i="2"/>
  <c r="D698" i="2"/>
  <c r="E698" i="2"/>
  <c r="F698" i="2" s="1"/>
  <c r="G698" i="2"/>
  <c r="P698" i="2" s="1"/>
  <c r="H698" i="2"/>
  <c r="I698" i="2"/>
  <c r="K698" i="2"/>
  <c r="O698" i="2" s="1"/>
  <c r="L698" i="2"/>
  <c r="M698" i="2"/>
  <c r="A699" i="2"/>
  <c r="B699" i="2"/>
  <c r="C699" i="2"/>
  <c r="D699" i="2"/>
  <c r="E699" i="2"/>
  <c r="F699" i="2" s="1"/>
  <c r="G699" i="2"/>
  <c r="H699" i="2"/>
  <c r="I699" i="2"/>
  <c r="K699" i="2"/>
  <c r="O699" i="2" s="1"/>
  <c r="L699" i="2"/>
  <c r="M699" i="2"/>
  <c r="A700" i="2"/>
  <c r="B700" i="2"/>
  <c r="C700" i="2"/>
  <c r="D700" i="2"/>
  <c r="E700" i="2"/>
  <c r="F700" i="2" s="1"/>
  <c r="G700" i="2"/>
  <c r="P700" i="2" s="1"/>
  <c r="H700" i="2"/>
  <c r="I700" i="2"/>
  <c r="K700" i="2"/>
  <c r="O700" i="2" s="1"/>
  <c r="L700" i="2"/>
  <c r="M700" i="2"/>
  <c r="A701" i="2"/>
  <c r="B701" i="2"/>
  <c r="C701" i="2"/>
  <c r="D701" i="2"/>
  <c r="E701" i="2"/>
  <c r="G701" i="2"/>
  <c r="H701" i="2"/>
  <c r="I701" i="2"/>
  <c r="K701" i="2"/>
  <c r="O701" i="2" s="1"/>
  <c r="L701" i="2"/>
  <c r="M701" i="2"/>
  <c r="A702" i="2"/>
  <c r="B702" i="2"/>
  <c r="C702" i="2"/>
  <c r="D702" i="2"/>
  <c r="E702" i="2"/>
  <c r="F702" i="2"/>
  <c r="G702" i="2"/>
  <c r="P702" i="2" s="1"/>
  <c r="H702" i="2"/>
  <c r="I702" i="2"/>
  <c r="K702" i="2"/>
  <c r="L702" i="2"/>
  <c r="M702" i="2"/>
  <c r="A703" i="2"/>
  <c r="B703" i="2"/>
  <c r="C703" i="2"/>
  <c r="D703" i="2"/>
  <c r="E703" i="2"/>
  <c r="F703" i="2" s="1"/>
  <c r="G703" i="2"/>
  <c r="P703" i="2" s="1"/>
  <c r="H703" i="2"/>
  <c r="I703" i="2"/>
  <c r="K703" i="2"/>
  <c r="L703" i="2"/>
  <c r="M703" i="2"/>
  <c r="A704" i="2"/>
  <c r="B704" i="2"/>
  <c r="C704" i="2"/>
  <c r="D704" i="2"/>
  <c r="E704" i="2"/>
  <c r="G704" i="2"/>
  <c r="H704" i="2"/>
  <c r="I704" i="2"/>
  <c r="K704" i="2"/>
  <c r="L704" i="2"/>
  <c r="M704" i="2"/>
  <c r="A705" i="2"/>
  <c r="B705" i="2"/>
  <c r="C705" i="2"/>
  <c r="D705" i="2"/>
  <c r="E705" i="2"/>
  <c r="F705" i="2" s="1"/>
  <c r="G705" i="2"/>
  <c r="H705" i="2"/>
  <c r="I705" i="2"/>
  <c r="K705" i="2"/>
  <c r="L705" i="2"/>
  <c r="M705" i="2"/>
  <c r="A706" i="2"/>
  <c r="B706" i="2"/>
  <c r="C706" i="2"/>
  <c r="D706" i="2"/>
  <c r="E706" i="2"/>
  <c r="F706" i="2" s="1"/>
  <c r="G706" i="2"/>
  <c r="P706" i="2" s="1"/>
  <c r="H706" i="2"/>
  <c r="I706" i="2"/>
  <c r="K706" i="2"/>
  <c r="L706" i="2"/>
  <c r="M706" i="2"/>
  <c r="O706" i="2"/>
  <c r="A707" i="2"/>
  <c r="B707" i="2"/>
  <c r="C707" i="2"/>
  <c r="D707" i="2"/>
  <c r="E707" i="2"/>
  <c r="F707" i="2"/>
  <c r="G707" i="2"/>
  <c r="H707" i="2"/>
  <c r="I707" i="2"/>
  <c r="K707" i="2"/>
  <c r="O707" i="2" s="1"/>
  <c r="L707" i="2"/>
  <c r="M707" i="2"/>
  <c r="A708" i="2"/>
  <c r="B708" i="2"/>
  <c r="C708" i="2"/>
  <c r="D708" i="2"/>
  <c r="E708" i="2"/>
  <c r="F708" i="2" s="1"/>
  <c r="G708" i="2"/>
  <c r="H708" i="2"/>
  <c r="I708" i="2"/>
  <c r="K708" i="2"/>
  <c r="L708" i="2"/>
  <c r="N708" i="2" s="1"/>
  <c r="M708" i="2"/>
  <c r="A709" i="2"/>
  <c r="B709" i="2"/>
  <c r="C709" i="2"/>
  <c r="D709" i="2"/>
  <c r="E709" i="2"/>
  <c r="F709" i="2"/>
  <c r="G709" i="2"/>
  <c r="P709" i="2" s="1"/>
  <c r="H709" i="2"/>
  <c r="I709" i="2"/>
  <c r="K709" i="2"/>
  <c r="L709" i="2"/>
  <c r="M709" i="2"/>
  <c r="O709" i="2"/>
  <c r="A710" i="2"/>
  <c r="B710" i="2"/>
  <c r="C710" i="2"/>
  <c r="D710" i="2"/>
  <c r="E710" i="2"/>
  <c r="F710" i="2"/>
  <c r="G710" i="2"/>
  <c r="H710" i="2"/>
  <c r="I710" i="2"/>
  <c r="K710" i="2"/>
  <c r="O710" i="2" s="1"/>
  <c r="L710" i="2"/>
  <c r="M710" i="2"/>
  <c r="A711" i="2"/>
  <c r="B711" i="2"/>
  <c r="C711" i="2"/>
  <c r="D711" i="2"/>
  <c r="E711" i="2"/>
  <c r="G711" i="2"/>
  <c r="H711" i="2"/>
  <c r="I711" i="2"/>
  <c r="K711" i="2"/>
  <c r="L711" i="2"/>
  <c r="M711" i="2"/>
  <c r="A712" i="2"/>
  <c r="B712" i="2"/>
  <c r="C712" i="2"/>
  <c r="D712" i="2"/>
  <c r="E712" i="2"/>
  <c r="F712" i="2" s="1"/>
  <c r="G712" i="2"/>
  <c r="P712" i="2" s="1"/>
  <c r="H712" i="2"/>
  <c r="I712" i="2"/>
  <c r="K712" i="2"/>
  <c r="L712" i="2"/>
  <c r="M712" i="2"/>
  <c r="A713" i="2"/>
  <c r="B713" i="2"/>
  <c r="C713" i="2"/>
  <c r="D713" i="2"/>
  <c r="E713" i="2"/>
  <c r="F713" i="2"/>
  <c r="G713" i="2"/>
  <c r="H713" i="2"/>
  <c r="I713" i="2"/>
  <c r="K713" i="2"/>
  <c r="O713" i="2" s="1"/>
  <c r="L713" i="2"/>
  <c r="M713" i="2"/>
  <c r="N713" i="2"/>
  <c r="A714" i="2"/>
  <c r="B714" i="2"/>
  <c r="C714" i="2"/>
  <c r="D714" i="2"/>
  <c r="E714" i="2"/>
  <c r="F714" i="2" s="1"/>
  <c r="G714" i="2"/>
  <c r="H714" i="2"/>
  <c r="I714" i="2"/>
  <c r="K714" i="2"/>
  <c r="L714" i="2"/>
  <c r="M714" i="2"/>
  <c r="A715" i="2"/>
  <c r="B715" i="2"/>
  <c r="C715" i="2"/>
  <c r="D715" i="2"/>
  <c r="E715" i="2"/>
  <c r="F715" i="2" s="1"/>
  <c r="G715" i="2"/>
  <c r="H715" i="2"/>
  <c r="I715" i="2"/>
  <c r="K715" i="2"/>
  <c r="L715" i="2"/>
  <c r="M715" i="2"/>
  <c r="A716" i="2"/>
  <c r="B716" i="2"/>
  <c r="C716" i="2"/>
  <c r="D716" i="2"/>
  <c r="E716" i="2"/>
  <c r="F716" i="2" s="1"/>
  <c r="G716" i="2"/>
  <c r="P716" i="2" s="1"/>
  <c r="H716" i="2"/>
  <c r="I716" i="2"/>
  <c r="K716" i="2"/>
  <c r="L716" i="2"/>
  <c r="M716" i="2"/>
  <c r="N716" i="2"/>
  <c r="A717" i="2"/>
  <c r="B717" i="2"/>
  <c r="C717" i="2"/>
  <c r="D717" i="2"/>
  <c r="E717" i="2"/>
  <c r="F717" i="2" s="1"/>
  <c r="G717" i="2"/>
  <c r="P717" i="2" s="1"/>
  <c r="H717" i="2"/>
  <c r="I717" i="2"/>
  <c r="K717" i="2"/>
  <c r="O717" i="2" s="1"/>
  <c r="L717" i="2"/>
  <c r="M717" i="2"/>
  <c r="A718" i="2"/>
  <c r="B718" i="2"/>
  <c r="C718" i="2"/>
  <c r="D718" i="2"/>
  <c r="E718" i="2"/>
  <c r="F718" i="2" s="1"/>
  <c r="G718" i="2"/>
  <c r="P718" i="2" s="1"/>
  <c r="H718" i="2"/>
  <c r="I718" i="2"/>
  <c r="K718" i="2"/>
  <c r="O718" i="2" s="1"/>
  <c r="L718" i="2"/>
  <c r="M718" i="2"/>
  <c r="A719" i="2"/>
  <c r="B719" i="2"/>
  <c r="C719" i="2"/>
  <c r="D719" i="2"/>
  <c r="E719" i="2"/>
  <c r="G719" i="2"/>
  <c r="H719" i="2"/>
  <c r="I719" i="2"/>
  <c r="K719" i="2"/>
  <c r="L719" i="2"/>
  <c r="O719" i="2" s="1"/>
  <c r="M719" i="2"/>
  <c r="A720" i="2"/>
  <c r="B720" i="2"/>
  <c r="C720" i="2"/>
  <c r="D720" i="2"/>
  <c r="E720" i="2"/>
  <c r="F720" i="2"/>
  <c r="G720" i="2"/>
  <c r="P720" i="2" s="1"/>
  <c r="H720" i="2"/>
  <c r="I720" i="2"/>
  <c r="K720" i="2"/>
  <c r="L720" i="2"/>
  <c r="M720" i="2"/>
  <c r="A721" i="2"/>
  <c r="B721" i="2"/>
  <c r="C721" i="2"/>
  <c r="D721" i="2"/>
  <c r="F721" i="2" s="1"/>
  <c r="E721" i="2"/>
  <c r="G721" i="2"/>
  <c r="P721" i="2" s="1"/>
  <c r="H721" i="2"/>
  <c r="I721" i="2"/>
  <c r="K721" i="2"/>
  <c r="O721" i="2" s="1"/>
  <c r="L721" i="2"/>
  <c r="M721" i="2"/>
  <c r="A722" i="2"/>
  <c r="B722" i="2"/>
  <c r="C722" i="2"/>
  <c r="D722" i="2"/>
  <c r="E722" i="2"/>
  <c r="G722" i="2"/>
  <c r="H722" i="2"/>
  <c r="I722" i="2"/>
  <c r="K722" i="2"/>
  <c r="L722" i="2"/>
  <c r="M722" i="2"/>
  <c r="A723" i="2"/>
  <c r="B723" i="2"/>
  <c r="C723" i="2"/>
  <c r="D723" i="2"/>
  <c r="E723" i="2"/>
  <c r="F723" i="2" s="1"/>
  <c r="G723" i="2"/>
  <c r="H723" i="2"/>
  <c r="I723" i="2"/>
  <c r="K723" i="2"/>
  <c r="L723" i="2"/>
  <c r="O723" i="2" s="1"/>
  <c r="M723" i="2"/>
  <c r="A724" i="2"/>
  <c r="B724" i="2"/>
  <c r="C724" i="2"/>
  <c r="D724" i="2"/>
  <c r="E724" i="2"/>
  <c r="F724" i="2"/>
  <c r="G724" i="2"/>
  <c r="P724" i="2" s="1"/>
  <c r="H724" i="2"/>
  <c r="I724" i="2"/>
  <c r="K724" i="2"/>
  <c r="L724" i="2"/>
  <c r="M724" i="2"/>
  <c r="N724" i="2"/>
  <c r="O724" i="2"/>
  <c r="A725" i="2"/>
  <c r="B725" i="2"/>
  <c r="C725" i="2"/>
  <c r="D725" i="2"/>
  <c r="E725" i="2"/>
  <c r="F725" i="2" s="1"/>
  <c r="G725" i="2"/>
  <c r="H725" i="2"/>
  <c r="I725" i="2"/>
  <c r="K725" i="2"/>
  <c r="O725" i="2" s="1"/>
  <c r="L725" i="2"/>
  <c r="M725" i="2"/>
  <c r="A726" i="2"/>
  <c r="B726" i="2"/>
  <c r="C726" i="2"/>
  <c r="D726" i="2"/>
  <c r="E726" i="2"/>
  <c r="F726" i="2" s="1"/>
  <c r="G726" i="2"/>
  <c r="P726" i="2" s="1"/>
  <c r="H726" i="2"/>
  <c r="I726" i="2"/>
  <c r="K726" i="2"/>
  <c r="O726" i="2" s="1"/>
  <c r="L726" i="2"/>
  <c r="M726" i="2"/>
  <c r="A727" i="2"/>
  <c r="B727" i="2"/>
  <c r="C727" i="2"/>
  <c r="D727" i="2"/>
  <c r="E727" i="2"/>
  <c r="F727" i="2" s="1"/>
  <c r="G727" i="2"/>
  <c r="H727" i="2"/>
  <c r="I727" i="2"/>
  <c r="K727" i="2"/>
  <c r="L727" i="2"/>
  <c r="O727" i="2" s="1"/>
  <c r="M727" i="2"/>
  <c r="A728" i="2"/>
  <c r="B728" i="2"/>
  <c r="C728" i="2"/>
  <c r="D728" i="2"/>
  <c r="E728" i="2"/>
  <c r="F728" i="2"/>
  <c r="G728" i="2"/>
  <c r="P728" i="2" s="1"/>
  <c r="H728" i="2"/>
  <c r="I728" i="2"/>
  <c r="K728" i="2"/>
  <c r="L728" i="2"/>
  <c r="M728" i="2"/>
  <c r="A729" i="2"/>
  <c r="B729" i="2"/>
  <c r="C729" i="2"/>
  <c r="D729" i="2"/>
  <c r="E729" i="2"/>
  <c r="F729" i="2" s="1"/>
  <c r="G729" i="2"/>
  <c r="P729" i="2" s="1"/>
  <c r="H729" i="2"/>
  <c r="I729" i="2"/>
  <c r="K729" i="2"/>
  <c r="O729" i="2" s="1"/>
  <c r="L729" i="2"/>
  <c r="M729" i="2"/>
  <c r="A730" i="2"/>
  <c r="B730" i="2"/>
  <c r="C730" i="2"/>
  <c r="D730" i="2"/>
  <c r="E730" i="2"/>
  <c r="F730" i="2" s="1"/>
  <c r="G730" i="2"/>
  <c r="P730" i="2" s="1"/>
  <c r="H730" i="2"/>
  <c r="I730" i="2"/>
  <c r="K730" i="2"/>
  <c r="O730" i="2" s="1"/>
  <c r="L730" i="2"/>
  <c r="M730" i="2"/>
  <c r="A731" i="2"/>
  <c r="B731" i="2"/>
  <c r="C731" i="2"/>
  <c r="D731" i="2"/>
  <c r="E731" i="2"/>
  <c r="F731" i="2"/>
  <c r="G731" i="2"/>
  <c r="H731" i="2"/>
  <c r="I731" i="2"/>
  <c r="K731" i="2"/>
  <c r="L731" i="2"/>
  <c r="M731" i="2"/>
  <c r="O731" i="2"/>
  <c r="A732" i="2"/>
  <c r="B732" i="2"/>
  <c r="C732" i="2"/>
  <c r="D732" i="2"/>
  <c r="E732" i="2"/>
  <c r="F732" i="2" s="1"/>
  <c r="G732" i="2"/>
  <c r="H732" i="2"/>
  <c r="I732" i="2"/>
  <c r="K732" i="2"/>
  <c r="L732" i="2"/>
  <c r="M732" i="2"/>
  <c r="O732" i="2"/>
  <c r="A733" i="2"/>
  <c r="B733" i="2"/>
  <c r="C733" i="2"/>
  <c r="D733" i="2"/>
  <c r="F733" i="2" s="1"/>
  <c r="E733" i="2"/>
  <c r="G733" i="2"/>
  <c r="H733" i="2"/>
  <c r="I733" i="2"/>
  <c r="K733" i="2"/>
  <c r="O733" i="2" s="1"/>
  <c r="L733" i="2"/>
  <c r="M733" i="2"/>
  <c r="A734" i="2"/>
  <c r="B734" i="2"/>
  <c r="C734" i="2"/>
  <c r="D734" i="2"/>
  <c r="E734" i="2"/>
  <c r="F734" i="2" s="1"/>
  <c r="G734" i="2"/>
  <c r="H734" i="2"/>
  <c r="I734" i="2"/>
  <c r="K734" i="2"/>
  <c r="L734" i="2"/>
  <c r="M734" i="2"/>
  <c r="A735" i="2"/>
  <c r="B735" i="2"/>
  <c r="C735" i="2"/>
  <c r="D735" i="2"/>
  <c r="E735" i="2"/>
  <c r="F735" i="2"/>
  <c r="G735" i="2"/>
  <c r="H735" i="2"/>
  <c r="I735" i="2"/>
  <c r="K735" i="2"/>
  <c r="L735" i="2"/>
  <c r="M735" i="2"/>
  <c r="A736" i="2"/>
  <c r="B736" i="2"/>
  <c r="C736" i="2"/>
  <c r="D736" i="2"/>
  <c r="F736" i="2" s="1"/>
  <c r="E736" i="2"/>
  <c r="G736" i="2"/>
  <c r="H736" i="2"/>
  <c r="P736" i="2" s="1"/>
  <c r="I736" i="2"/>
  <c r="K736" i="2"/>
  <c r="O736" i="2" s="1"/>
  <c r="L736" i="2"/>
  <c r="M736" i="2"/>
  <c r="A737" i="2"/>
  <c r="B737" i="2"/>
  <c r="C737" i="2"/>
  <c r="D737" i="2"/>
  <c r="E737" i="2"/>
  <c r="F737" i="2" s="1"/>
  <c r="G737" i="2"/>
  <c r="H737" i="2"/>
  <c r="P737" i="2" s="1"/>
  <c r="I737" i="2"/>
  <c r="K737" i="2"/>
  <c r="O737" i="2" s="1"/>
  <c r="L737" i="2"/>
  <c r="M737" i="2"/>
  <c r="A738" i="2"/>
  <c r="B738" i="2"/>
  <c r="C738" i="2"/>
  <c r="D738" i="2"/>
  <c r="E738" i="2"/>
  <c r="F738" i="2"/>
  <c r="G738" i="2"/>
  <c r="N738" i="2" s="1"/>
  <c r="H738" i="2"/>
  <c r="I738" i="2"/>
  <c r="K738" i="2"/>
  <c r="L738" i="2"/>
  <c r="M738" i="2"/>
  <c r="P738" i="2"/>
  <c r="A739" i="2"/>
  <c r="B739" i="2"/>
  <c r="C739" i="2"/>
  <c r="D739" i="2"/>
  <c r="E739" i="2"/>
  <c r="F739" i="2" s="1"/>
  <c r="G739" i="2"/>
  <c r="N739" i="2" s="1"/>
  <c r="H739" i="2"/>
  <c r="I739" i="2"/>
  <c r="K739" i="2"/>
  <c r="O739" i="2" s="1"/>
  <c r="L739" i="2"/>
  <c r="M739" i="2"/>
  <c r="A740" i="2"/>
  <c r="B740" i="2"/>
  <c r="C740" i="2"/>
  <c r="D740" i="2"/>
  <c r="F740" i="2" s="1"/>
  <c r="E740" i="2"/>
  <c r="G740" i="2"/>
  <c r="H740" i="2"/>
  <c r="I740" i="2"/>
  <c r="K740" i="2"/>
  <c r="O740" i="2" s="1"/>
  <c r="L740" i="2"/>
  <c r="M740" i="2"/>
  <c r="P740" i="2"/>
  <c r="A741" i="2"/>
  <c r="B741" i="2"/>
  <c r="C741" i="2"/>
  <c r="D741" i="2"/>
  <c r="E741" i="2"/>
  <c r="F741" i="2" s="1"/>
  <c r="G741" i="2"/>
  <c r="H741" i="2"/>
  <c r="P741" i="2" s="1"/>
  <c r="I741" i="2"/>
  <c r="K741" i="2"/>
  <c r="L741" i="2"/>
  <c r="M741" i="2"/>
  <c r="A742" i="2"/>
  <c r="B742" i="2"/>
  <c r="C742" i="2"/>
  <c r="D742" i="2"/>
  <c r="E742" i="2"/>
  <c r="F742" i="2" s="1"/>
  <c r="G742" i="2"/>
  <c r="H742" i="2"/>
  <c r="I742" i="2"/>
  <c r="K742" i="2"/>
  <c r="O742" i="2" s="1"/>
  <c r="L742" i="2"/>
  <c r="M742" i="2"/>
  <c r="A743" i="2"/>
  <c r="B743" i="2"/>
  <c r="C743" i="2"/>
  <c r="D743" i="2"/>
  <c r="E743" i="2"/>
  <c r="F743" i="2" s="1"/>
  <c r="G743" i="2"/>
  <c r="H743" i="2"/>
  <c r="I743" i="2"/>
  <c r="K743" i="2"/>
  <c r="L743" i="2"/>
  <c r="M743" i="2"/>
  <c r="A744" i="2"/>
  <c r="B744" i="2"/>
  <c r="C744" i="2"/>
  <c r="D744" i="2"/>
  <c r="E744" i="2"/>
  <c r="G744" i="2"/>
  <c r="H744" i="2"/>
  <c r="I744" i="2"/>
  <c r="K744" i="2"/>
  <c r="L744" i="2"/>
  <c r="M744" i="2"/>
  <c r="P744" i="2"/>
  <c r="A745" i="2"/>
  <c r="B745" i="2"/>
  <c r="C745" i="2"/>
  <c r="D745" i="2"/>
  <c r="E745" i="2"/>
  <c r="G745" i="2"/>
  <c r="N745" i="2" s="1"/>
  <c r="H745" i="2"/>
  <c r="I745" i="2"/>
  <c r="K745" i="2"/>
  <c r="L745" i="2"/>
  <c r="M745" i="2"/>
  <c r="A746" i="2"/>
  <c r="B746" i="2"/>
  <c r="C746" i="2"/>
  <c r="D746" i="2"/>
  <c r="E746" i="2"/>
  <c r="F746" i="2" s="1"/>
  <c r="G746" i="2"/>
  <c r="H746" i="2"/>
  <c r="I746" i="2"/>
  <c r="K746" i="2"/>
  <c r="L746" i="2"/>
  <c r="M746" i="2"/>
  <c r="A747" i="2"/>
  <c r="B747" i="2"/>
  <c r="C747" i="2"/>
  <c r="D747" i="2"/>
  <c r="E747" i="2"/>
  <c r="G747" i="2"/>
  <c r="N747" i="2" s="1"/>
  <c r="H747" i="2"/>
  <c r="I747" i="2"/>
  <c r="K747" i="2"/>
  <c r="O747" i="2" s="1"/>
  <c r="L747" i="2"/>
  <c r="M747" i="2"/>
  <c r="A748" i="2"/>
  <c r="B748" i="2"/>
  <c r="C748" i="2"/>
  <c r="D748" i="2"/>
  <c r="E748" i="2"/>
  <c r="F748" i="2" s="1"/>
  <c r="G748" i="2"/>
  <c r="H748" i="2"/>
  <c r="I748" i="2"/>
  <c r="K748" i="2"/>
  <c r="O748" i="2" s="1"/>
  <c r="L748" i="2"/>
  <c r="M748" i="2"/>
  <c r="P748" i="2"/>
  <c r="A749" i="2"/>
  <c r="B749" i="2"/>
  <c r="C749" i="2"/>
  <c r="D749" i="2"/>
  <c r="E749" i="2"/>
  <c r="F749" i="2" s="1"/>
  <c r="G749" i="2"/>
  <c r="N749" i="2" s="1"/>
  <c r="H749" i="2"/>
  <c r="I749" i="2"/>
  <c r="K749" i="2"/>
  <c r="L749" i="2"/>
  <c r="M749" i="2"/>
  <c r="P749" i="2"/>
  <c r="A750" i="2"/>
  <c r="B750" i="2"/>
  <c r="C750" i="2"/>
  <c r="D750" i="2"/>
  <c r="E750" i="2"/>
  <c r="G750" i="2"/>
  <c r="H750" i="2"/>
  <c r="I750" i="2"/>
  <c r="K750" i="2"/>
  <c r="L750" i="2"/>
  <c r="M750" i="2"/>
  <c r="A751" i="2"/>
  <c r="B751" i="2"/>
  <c r="C751" i="2"/>
  <c r="D751" i="2"/>
  <c r="E751" i="2"/>
  <c r="G751" i="2"/>
  <c r="H751" i="2"/>
  <c r="I751" i="2"/>
  <c r="K751" i="2"/>
  <c r="L751" i="2"/>
  <c r="M751" i="2"/>
  <c r="P751" i="2"/>
  <c r="A752" i="2"/>
  <c r="B752" i="2"/>
  <c r="C752" i="2"/>
  <c r="D752" i="2"/>
  <c r="E752" i="2"/>
  <c r="F752" i="2" s="1"/>
  <c r="G752" i="2"/>
  <c r="H752" i="2"/>
  <c r="P752" i="2" s="1"/>
  <c r="I752" i="2"/>
  <c r="K752" i="2"/>
  <c r="L752" i="2"/>
  <c r="M752" i="2"/>
  <c r="A753" i="2"/>
  <c r="B753" i="2"/>
  <c r="C753" i="2"/>
  <c r="D753" i="2"/>
  <c r="E753" i="2"/>
  <c r="G753" i="2"/>
  <c r="H753" i="2"/>
  <c r="I753" i="2"/>
  <c r="K753" i="2"/>
  <c r="L753" i="2"/>
  <c r="M753" i="2"/>
  <c r="A754" i="2"/>
  <c r="B754" i="2"/>
  <c r="C754" i="2"/>
  <c r="D754" i="2"/>
  <c r="E754" i="2"/>
  <c r="G754" i="2"/>
  <c r="H754" i="2"/>
  <c r="P754" i="2" s="1"/>
  <c r="I754" i="2"/>
  <c r="K754" i="2"/>
  <c r="L754" i="2"/>
  <c r="M754" i="2"/>
  <c r="A755" i="2"/>
  <c r="B755" i="2"/>
  <c r="C755" i="2"/>
  <c r="D755" i="2"/>
  <c r="E755" i="2"/>
  <c r="F755" i="2" s="1"/>
  <c r="G755" i="2"/>
  <c r="H755" i="2"/>
  <c r="I755" i="2"/>
  <c r="K755" i="2"/>
  <c r="L755" i="2"/>
  <c r="M755" i="2"/>
  <c r="A756" i="2"/>
  <c r="B756" i="2"/>
  <c r="C756" i="2"/>
  <c r="D756" i="2"/>
  <c r="E756" i="2"/>
  <c r="G756" i="2"/>
  <c r="H756" i="2"/>
  <c r="I756" i="2"/>
  <c r="K756" i="2"/>
  <c r="O756" i="2" s="1"/>
  <c r="L756" i="2"/>
  <c r="M756" i="2"/>
  <c r="A757" i="2"/>
  <c r="B757" i="2"/>
  <c r="C757" i="2"/>
  <c r="D757" i="2"/>
  <c r="E757" i="2"/>
  <c r="F757" i="2" s="1"/>
  <c r="G757" i="2"/>
  <c r="H757" i="2"/>
  <c r="I757" i="2"/>
  <c r="K757" i="2"/>
  <c r="L757" i="2"/>
  <c r="M757" i="2"/>
  <c r="P757" i="2"/>
  <c r="A758" i="2"/>
  <c r="B758" i="2"/>
  <c r="C758" i="2"/>
  <c r="D758" i="2"/>
  <c r="E758" i="2"/>
  <c r="G758" i="2"/>
  <c r="N758" i="2" s="1"/>
  <c r="H758" i="2"/>
  <c r="P758" i="2" s="1"/>
  <c r="I758" i="2"/>
  <c r="K758" i="2"/>
  <c r="L758" i="2"/>
  <c r="M758" i="2"/>
  <c r="A759" i="2"/>
  <c r="B759" i="2"/>
  <c r="C759" i="2"/>
  <c r="D759" i="2"/>
  <c r="E759" i="2"/>
  <c r="G759" i="2"/>
  <c r="P759" i="2" s="1"/>
  <c r="H759" i="2"/>
  <c r="I759" i="2"/>
  <c r="K759" i="2"/>
  <c r="L759" i="2"/>
  <c r="M759" i="2"/>
  <c r="A760" i="2"/>
  <c r="B760" i="2"/>
  <c r="C760" i="2"/>
  <c r="D760" i="2"/>
  <c r="E760" i="2"/>
  <c r="G760" i="2"/>
  <c r="H760" i="2"/>
  <c r="I760" i="2"/>
  <c r="K760" i="2"/>
  <c r="L760" i="2"/>
  <c r="M760" i="2"/>
  <c r="P760" i="2"/>
  <c r="A761" i="2"/>
  <c r="B761" i="2"/>
  <c r="C761" i="2"/>
  <c r="D761" i="2"/>
  <c r="E761" i="2"/>
  <c r="G761" i="2"/>
  <c r="H761" i="2"/>
  <c r="P761" i="2" s="1"/>
  <c r="I761" i="2"/>
  <c r="K761" i="2"/>
  <c r="L761" i="2"/>
  <c r="M761" i="2"/>
  <c r="A762" i="2"/>
  <c r="B762" i="2"/>
  <c r="C762" i="2"/>
  <c r="D762" i="2"/>
  <c r="E762" i="2"/>
  <c r="G762" i="2"/>
  <c r="H762" i="2"/>
  <c r="I762" i="2"/>
  <c r="K762" i="2"/>
  <c r="L762" i="2"/>
  <c r="M762" i="2"/>
  <c r="A763" i="2"/>
  <c r="B763" i="2"/>
  <c r="C763" i="2"/>
  <c r="D763" i="2"/>
  <c r="E763" i="2"/>
  <c r="F763" i="2" s="1"/>
  <c r="G763" i="2"/>
  <c r="N763" i="2" s="1"/>
  <c r="H763" i="2"/>
  <c r="P763" i="2" s="1"/>
  <c r="I763" i="2"/>
  <c r="K763" i="2"/>
  <c r="O763" i="2" s="1"/>
  <c r="L763" i="2"/>
  <c r="M763" i="2"/>
  <c r="A764" i="2"/>
  <c r="B764" i="2"/>
  <c r="C764" i="2"/>
  <c r="D764" i="2"/>
  <c r="E764" i="2"/>
  <c r="G764" i="2"/>
  <c r="P764" i="2" s="1"/>
  <c r="H764" i="2"/>
  <c r="I764" i="2"/>
  <c r="K764" i="2"/>
  <c r="L764" i="2"/>
  <c r="M764" i="2"/>
  <c r="A765" i="2"/>
  <c r="B765" i="2"/>
  <c r="C765" i="2"/>
  <c r="D765" i="2"/>
  <c r="E765" i="2"/>
  <c r="F765" i="2" s="1"/>
  <c r="G765" i="2"/>
  <c r="H765" i="2"/>
  <c r="I765" i="2"/>
  <c r="K765" i="2"/>
  <c r="L765" i="2"/>
  <c r="M765" i="2"/>
  <c r="P765" i="2"/>
  <c r="A766" i="2"/>
  <c r="B766" i="2"/>
  <c r="C766" i="2"/>
  <c r="D766" i="2"/>
  <c r="E766" i="2"/>
  <c r="G766" i="2"/>
  <c r="H766" i="2"/>
  <c r="P766" i="2" s="1"/>
  <c r="I766" i="2"/>
  <c r="K766" i="2"/>
  <c r="L766" i="2"/>
  <c r="M766" i="2"/>
  <c r="A767" i="2"/>
  <c r="B767" i="2"/>
  <c r="C767" i="2"/>
  <c r="D767" i="2"/>
  <c r="E767" i="2"/>
  <c r="G767" i="2"/>
  <c r="H767" i="2"/>
  <c r="I767" i="2"/>
  <c r="K767" i="2"/>
  <c r="L767" i="2"/>
  <c r="M767" i="2"/>
  <c r="P767" i="2"/>
  <c r="A768" i="2"/>
  <c r="B768" i="2"/>
  <c r="C768" i="2"/>
  <c r="D768" i="2"/>
  <c r="E768" i="2"/>
  <c r="F768" i="2" s="1"/>
  <c r="G768" i="2"/>
  <c r="H768" i="2"/>
  <c r="I768" i="2"/>
  <c r="K768" i="2"/>
  <c r="L768" i="2"/>
  <c r="M768" i="2"/>
  <c r="A769" i="2"/>
  <c r="B769" i="2"/>
  <c r="C769" i="2"/>
  <c r="D769" i="2"/>
  <c r="E769" i="2"/>
  <c r="G769" i="2"/>
  <c r="H769" i="2"/>
  <c r="I769" i="2"/>
  <c r="K769" i="2"/>
  <c r="L769" i="2"/>
  <c r="M769" i="2"/>
  <c r="A770" i="2"/>
  <c r="B770" i="2"/>
  <c r="C770" i="2"/>
  <c r="D770" i="2"/>
  <c r="E770" i="2"/>
  <c r="G770" i="2"/>
  <c r="H770" i="2"/>
  <c r="I770" i="2"/>
  <c r="K770" i="2"/>
  <c r="L770" i="2"/>
  <c r="M770" i="2"/>
  <c r="A771" i="2"/>
  <c r="B771" i="2"/>
  <c r="C771" i="2"/>
  <c r="D771" i="2"/>
  <c r="E771" i="2"/>
  <c r="F771" i="2" s="1"/>
  <c r="G771" i="2"/>
  <c r="H771" i="2"/>
  <c r="I771" i="2"/>
  <c r="K771" i="2"/>
  <c r="O771" i="2" s="1"/>
  <c r="L771" i="2"/>
  <c r="M771" i="2"/>
  <c r="A772" i="2"/>
  <c r="B772" i="2"/>
  <c r="C772" i="2"/>
  <c r="D772" i="2"/>
  <c r="E772" i="2"/>
  <c r="F772" i="2" s="1"/>
  <c r="G772" i="2"/>
  <c r="P772" i="2" s="1"/>
  <c r="H772" i="2"/>
  <c r="I772" i="2"/>
  <c r="K772" i="2"/>
  <c r="O772" i="2" s="1"/>
  <c r="L772" i="2"/>
  <c r="M772" i="2"/>
  <c r="A773" i="2"/>
  <c r="B773" i="2"/>
  <c r="C773" i="2"/>
  <c r="D773" i="2"/>
  <c r="E773" i="2"/>
  <c r="F773" i="2" s="1"/>
  <c r="G773" i="2"/>
  <c r="H773" i="2"/>
  <c r="I773" i="2"/>
  <c r="K773" i="2"/>
  <c r="L773" i="2"/>
  <c r="M773" i="2"/>
  <c r="P773" i="2"/>
  <c r="A774" i="2"/>
  <c r="B774" i="2"/>
  <c r="C774" i="2"/>
  <c r="D774" i="2"/>
  <c r="E774" i="2"/>
  <c r="F774" i="2" s="1"/>
  <c r="G774" i="2"/>
  <c r="H774" i="2"/>
  <c r="P774" i="2" s="1"/>
  <c r="I774" i="2"/>
  <c r="K774" i="2"/>
  <c r="L774" i="2"/>
  <c r="M774" i="2"/>
  <c r="A775" i="2"/>
  <c r="B775" i="2"/>
  <c r="C775" i="2"/>
  <c r="D775" i="2"/>
  <c r="E775" i="2"/>
  <c r="G775" i="2"/>
  <c r="H775" i="2"/>
  <c r="I775" i="2"/>
  <c r="K775" i="2"/>
  <c r="L775" i="2"/>
  <c r="M775" i="2"/>
  <c r="P775" i="2"/>
  <c r="A776" i="2"/>
  <c r="B776" i="2"/>
  <c r="C776" i="2"/>
  <c r="D776" i="2"/>
  <c r="E776" i="2"/>
  <c r="G776" i="2"/>
  <c r="H776" i="2"/>
  <c r="P776" i="2" s="1"/>
  <c r="I776" i="2"/>
  <c r="K776" i="2"/>
  <c r="L776" i="2"/>
  <c r="M776" i="2"/>
  <c r="A777" i="2"/>
  <c r="B777" i="2"/>
  <c r="C777" i="2"/>
  <c r="D777" i="2"/>
  <c r="E777" i="2"/>
  <c r="G777" i="2"/>
  <c r="H777" i="2"/>
  <c r="I777" i="2"/>
  <c r="K777" i="2"/>
  <c r="L777" i="2"/>
  <c r="M777" i="2"/>
  <c r="A778" i="2"/>
  <c r="B778" i="2"/>
  <c r="C778" i="2"/>
  <c r="D778" i="2"/>
  <c r="E778" i="2"/>
  <c r="G778" i="2"/>
  <c r="H778" i="2"/>
  <c r="P778" i="2" s="1"/>
  <c r="I778" i="2"/>
  <c r="K778" i="2"/>
  <c r="L778" i="2"/>
  <c r="M778" i="2"/>
  <c r="A779" i="2"/>
  <c r="B779" i="2"/>
  <c r="C779" i="2"/>
  <c r="D779" i="2"/>
  <c r="E779" i="2"/>
  <c r="F779" i="2" s="1"/>
  <c r="G779" i="2"/>
  <c r="H779" i="2"/>
  <c r="I779" i="2"/>
  <c r="K779" i="2"/>
  <c r="L779" i="2"/>
  <c r="M779" i="2"/>
  <c r="A780" i="2"/>
  <c r="B780" i="2"/>
  <c r="C780" i="2"/>
  <c r="D780" i="2"/>
  <c r="E780" i="2"/>
  <c r="G780" i="2"/>
  <c r="H780" i="2"/>
  <c r="I780" i="2"/>
  <c r="K780" i="2"/>
  <c r="L780" i="2"/>
  <c r="M780" i="2"/>
  <c r="P780" i="2"/>
  <c r="A781" i="2"/>
  <c r="B781" i="2"/>
  <c r="C781" i="2"/>
  <c r="D781" i="2"/>
  <c r="E781" i="2"/>
  <c r="G781" i="2"/>
  <c r="H781" i="2"/>
  <c r="P781" i="2" s="1"/>
  <c r="I781" i="2"/>
  <c r="K781" i="2"/>
  <c r="L781" i="2"/>
  <c r="M781" i="2"/>
  <c r="A782" i="2"/>
  <c r="B782" i="2"/>
  <c r="C782" i="2"/>
  <c r="D782" i="2"/>
  <c r="E782" i="2"/>
  <c r="F782" i="2" s="1"/>
  <c r="G782" i="2"/>
  <c r="H782" i="2"/>
  <c r="P782" i="2" s="1"/>
  <c r="I782" i="2"/>
  <c r="K782" i="2"/>
  <c r="L782" i="2"/>
  <c r="M782" i="2"/>
  <c r="A783" i="2"/>
  <c r="B783" i="2"/>
  <c r="C783" i="2"/>
  <c r="D783" i="2"/>
  <c r="E783" i="2"/>
  <c r="G783" i="2"/>
  <c r="P783" i="2" s="1"/>
  <c r="H783" i="2"/>
  <c r="I783" i="2"/>
  <c r="K783" i="2"/>
  <c r="L783" i="2"/>
  <c r="M783" i="2"/>
  <c r="A784" i="2"/>
  <c r="B784" i="2"/>
  <c r="C784" i="2"/>
  <c r="D784" i="2"/>
  <c r="E784" i="2"/>
  <c r="G784" i="2"/>
  <c r="H784" i="2"/>
  <c r="I784" i="2"/>
  <c r="K784" i="2"/>
  <c r="L784" i="2"/>
  <c r="M784" i="2"/>
  <c r="A785" i="2"/>
  <c r="B785" i="2"/>
  <c r="C785" i="2"/>
  <c r="D785" i="2"/>
  <c r="E785" i="2"/>
  <c r="G785" i="2"/>
  <c r="H785" i="2"/>
  <c r="P785" i="2" s="1"/>
  <c r="I785" i="2"/>
  <c r="K785" i="2"/>
  <c r="L785" i="2"/>
  <c r="M785" i="2"/>
  <c r="A786" i="2"/>
  <c r="B786" i="2"/>
  <c r="C786" i="2"/>
  <c r="D786" i="2"/>
  <c r="E786" i="2"/>
  <c r="G786" i="2"/>
  <c r="H786" i="2"/>
  <c r="I786" i="2"/>
  <c r="K786" i="2"/>
  <c r="L786" i="2"/>
  <c r="M786" i="2"/>
  <c r="A787" i="2"/>
  <c r="B787" i="2"/>
  <c r="C787" i="2"/>
  <c r="D787" i="2"/>
  <c r="E787" i="2"/>
  <c r="F787" i="2" s="1"/>
  <c r="G787" i="2"/>
  <c r="N787" i="2" s="1"/>
  <c r="H787" i="2"/>
  <c r="P787" i="2" s="1"/>
  <c r="I787" i="2"/>
  <c r="K787" i="2"/>
  <c r="L787" i="2"/>
  <c r="M787" i="2"/>
  <c r="A788" i="2"/>
  <c r="B788" i="2"/>
  <c r="C788" i="2"/>
  <c r="D788" i="2"/>
  <c r="E788" i="2"/>
  <c r="F788" i="2" s="1"/>
  <c r="G788" i="2"/>
  <c r="H788" i="2"/>
  <c r="I788" i="2"/>
  <c r="K788" i="2"/>
  <c r="L788" i="2"/>
  <c r="M788" i="2"/>
  <c r="P788" i="2"/>
  <c r="A789" i="2"/>
  <c r="B789" i="2"/>
  <c r="C789" i="2"/>
  <c r="D789" i="2"/>
  <c r="E789" i="2"/>
  <c r="G789" i="2"/>
  <c r="P789" i="2" s="1"/>
  <c r="H789" i="2"/>
  <c r="I789" i="2"/>
  <c r="K789" i="2"/>
  <c r="L789" i="2"/>
  <c r="M789" i="2"/>
  <c r="A790" i="2"/>
  <c r="B790" i="2"/>
  <c r="C790" i="2"/>
  <c r="D790" i="2"/>
  <c r="E790" i="2"/>
  <c r="F790" i="2" s="1"/>
  <c r="G790" i="2"/>
  <c r="N790" i="2" s="1"/>
  <c r="H790" i="2"/>
  <c r="I790" i="2"/>
  <c r="K790" i="2"/>
  <c r="L790" i="2"/>
  <c r="M790" i="2"/>
  <c r="A791" i="2"/>
  <c r="B791" i="2"/>
  <c r="C791" i="2"/>
  <c r="D791" i="2"/>
  <c r="E791" i="2"/>
  <c r="F791" i="2" s="1"/>
  <c r="G791" i="2"/>
  <c r="H791" i="2"/>
  <c r="I791" i="2"/>
  <c r="K791" i="2"/>
  <c r="L791" i="2"/>
  <c r="M791" i="2"/>
  <c r="P791" i="2"/>
  <c r="A792" i="2"/>
  <c r="B792" i="2"/>
  <c r="C792" i="2"/>
  <c r="D792" i="2"/>
  <c r="E792" i="2"/>
  <c r="F792" i="2" s="1"/>
  <c r="G792" i="2"/>
  <c r="N792" i="2" s="1"/>
  <c r="H792" i="2"/>
  <c r="I792" i="2"/>
  <c r="K792" i="2"/>
  <c r="L792" i="2"/>
  <c r="M792" i="2"/>
  <c r="P792" i="2"/>
  <c r="A793" i="2"/>
  <c r="B793" i="2"/>
  <c r="C793" i="2"/>
  <c r="D793" i="2"/>
  <c r="E793" i="2"/>
  <c r="G793" i="2"/>
  <c r="H793" i="2"/>
  <c r="P793" i="2" s="1"/>
  <c r="I793" i="2"/>
  <c r="K793" i="2"/>
  <c r="L793" i="2"/>
  <c r="M793" i="2"/>
  <c r="A794" i="2"/>
  <c r="B794" i="2"/>
  <c r="C794" i="2"/>
  <c r="D794" i="2"/>
  <c r="E794" i="2"/>
  <c r="G794" i="2"/>
  <c r="H794" i="2"/>
  <c r="P794" i="2" s="1"/>
  <c r="I794" i="2"/>
  <c r="K794" i="2"/>
  <c r="L794" i="2"/>
  <c r="M794" i="2"/>
  <c r="A795" i="2"/>
  <c r="B795" i="2"/>
  <c r="C795" i="2"/>
  <c r="D795" i="2"/>
  <c r="E795" i="2"/>
  <c r="F795" i="2" s="1"/>
  <c r="G795" i="2"/>
  <c r="H795" i="2"/>
  <c r="P795" i="2" s="1"/>
  <c r="I795" i="2"/>
  <c r="K795" i="2"/>
  <c r="L795" i="2"/>
  <c r="M795" i="2"/>
  <c r="A796" i="2"/>
  <c r="B796" i="2"/>
  <c r="C796" i="2"/>
  <c r="D796" i="2"/>
  <c r="E796" i="2"/>
  <c r="G796" i="2"/>
  <c r="H796" i="2"/>
  <c r="I796" i="2"/>
  <c r="K796" i="2"/>
  <c r="L796" i="2"/>
  <c r="M796" i="2"/>
  <c r="P796" i="2"/>
  <c r="A797" i="2"/>
  <c r="B797" i="2"/>
  <c r="C797" i="2"/>
  <c r="D797" i="2"/>
  <c r="E797" i="2"/>
  <c r="G797" i="2"/>
  <c r="H797" i="2"/>
  <c r="I797" i="2"/>
  <c r="K797" i="2"/>
  <c r="L797" i="2"/>
  <c r="M797" i="2"/>
  <c r="A798" i="2"/>
  <c r="B798" i="2"/>
  <c r="C798" i="2"/>
  <c r="D798" i="2"/>
  <c r="E798" i="2"/>
  <c r="F798" i="2" s="1"/>
  <c r="G798" i="2"/>
  <c r="H798" i="2"/>
  <c r="P798" i="2" s="1"/>
  <c r="I798" i="2"/>
  <c r="K798" i="2"/>
  <c r="L798" i="2"/>
  <c r="M798" i="2"/>
  <c r="A799" i="2"/>
  <c r="B799" i="2"/>
  <c r="C799" i="2"/>
  <c r="D799" i="2"/>
  <c r="E799" i="2"/>
  <c r="F799" i="2" s="1"/>
  <c r="G799" i="2"/>
  <c r="H799" i="2"/>
  <c r="I799" i="2"/>
  <c r="K799" i="2"/>
  <c r="L799" i="2"/>
  <c r="M799" i="2"/>
  <c r="A800" i="2"/>
  <c r="B800" i="2"/>
  <c r="C800" i="2"/>
  <c r="D800" i="2"/>
  <c r="E800" i="2"/>
  <c r="G800" i="2"/>
  <c r="H800" i="2"/>
  <c r="I800" i="2"/>
  <c r="K800" i="2"/>
  <c r="L800" i="2"/>
  <c r="M800" i="2"/>
  <c r="A801" i="2"/>
  <c r="B801" i="2"/>
  <c r="C801" i="2"/>
  <c r="D801" i="2"/>
  <c r="E801" i="2"/>
  <c r="G801" i="2"/>
  <c r="H801" i="2"/>
  <c r="P801" i="2" s="1"/>
  <c r="I801" i="2"/>
  <c r="K801" i="2"/>
  <c r="L801" i="2"/>
  <c r="M801" i="2"/>
  <c r="A802" i="2"/>
  <c r="B802" i="2"/>
  <c r="C802" i="2"/>
  <c r="D802" i="2"/>
  <c r="E802" i="2"/>
  <c r="G802" i="2"/>
  <c r="H802" i="2"/>
  <c r="P802" i="2" s="1"/>
  <c r="I802" i="2"/>
  <c r="K802" i="2"/>
  <c r="L802" i="2"/>
  <c r="M802" i="2"/>
  <c r="A803" i="2"/>
  <c r="B803" i="2"/>
  <c r="C803" i="2"/>
  <c r="D803" i="2"/>
  <c r="E803" i="2"/>
  <c r="G803" i="2"/>
  <c r="N803" i="2" s="1"/>
  <c r="H803" i="2"/>
  <c r="P803" i="2" s="1"/>
  <c r="I803" i="2"/>
  <c r="K803" i="2"/>
  <c r="L803" i="2"/>
  <c r="M803" i="2"/>
  <c r="A804" i="2"/>
  <c r="B804" i="2"/>
  <c r="C804" i="2"/>
  <c r="D804" i="2"/>
  <c r="E804" i="2"/>
  <c r="F804" i="2" s="1"/>
  <c r="G804" i="2"/>
  <c r="H804" i="2"/>
  <c r="I804" i="2"/>
  <c r="K804" i="2"/>
  <c r="L804" i="2"/>
  <c r="M804" i="2"/>
  <c r="P804" i="2"/>
  <c r="A805" i="2"/>
  <c r="B805" i="2"/>
  <c r="C805" i="2"/>
  <c r="D805" i="2"/>
  <c r="E805" i="2"/>
  <c r="G805" i="2"/>
  <c r="P805" i="2" s="1"/>
  <c r="H805" i="2"/>
  <c r="I805" i="2"/>
  <c r="K805" i="2"/>
  <c r="L805" i="2"/>
  <c r="M805" i="2"/>
  <c r="A806" i="2"/>
  <c r="B806" i="2"/>
  <c r="C806" i="2"/>
  <c r="D806" i="2"/>
  <c r="E806" i="2"/>
  <c r="F806" i="2" s="1"/>
  <c r="G806" i="2"/>
  <c r="N806" i="2" s="1"/>
  <c r="H806" i="2"/>
  <c r="I806" i="2"/>
  <c r="K806" i="2"/>
  <c r="L806" i="2"/>
  <c r="M806" i="2"/>
  <c r="A807" i="2"/>
  <c r="B807" i="2"/>
  <c r="C807" i="2"/>
  <c r="D807" i="2"/>
  <c r="E807" i="2"/>
  <c r="F807" i="2" s="1"/>
  <c r="G807" i="2"/>
  <c r="H807" i="2"/>
  <c r="I807" i="2"/>
  <c r="K807" i="2"/>
  <c r="L807" i="2"/>
  <c r="M807" i="2"/>
  <c r="P807" i="2"/>
  <c r="A808" i="2"/>
  <c r="B808" i="2"/>
  <c r="C808" i="2"/>
  <c r="D808" i="2"/>
  <c r="E808" i="2"/>
  <c r="F808" i="2" s="1"/>
  <c r="G808" i="2"/>
  <c r="N808" i="2" s="1"/>
  <c r="H808" i="2"/>
  <c r="I808" i="2"/>
  <c r="K808" i="2"/>
  <c r="L808" i="2"/>
  <c r="M808" i="2"/>
  <c r="P808" i="2"/>
  <c r="A809" i="2"/>
  <c r="B809" i="2"/>
  <c r="C809" i="2"/>
  <c r="D809" i="2"/>
  <c r="E809" i="2"/>
  <c r="G809" i="2"/>
  <c r="H809" i="2"/>
  <c r="P809" i="2" s="1"/>
  <c r="I809" i="2"/>
  <c r="K809" i="2"/>
  <c r="L809" i="2"/>
  <c r="M809" i="2"/>
  <c r="A810" i="2"/>
  <c r="B810" i="2"/>
  <c r="C810" i="2"/>
  <c r="D810" i="2"/>
  <c r="E810" i="2"/>
  <c r="G810" i="2"/>
  <c r="H810" i="2"/>
  <c r="P810" i="2" s="1"/>
  <c r="I810" i="2"/>
  <c r="K810" i="2"/>
  <c r="L810" i="2"/>
  <c r="M810" i="2"/>
  <c r="A811" i="2"/>
  <c r="B811" i="2"/>
  <c r="C811" i="2"/>
  <c r="D811" i="2"/>
  <c r="E811" i="2"/>
  <c r="F811" i="2" s="1"/>
  <c r="G811" i="2"/>
  <c r="H811" i="2"/>
  <c r="P811" i="2" s="1"/>
  <c r="I811" i="2"/>
  <c r="K811" i="2"/>
  <c r="L811" i="2"/>
  <c r="M811" i="2"/>
  <c r="A812" i="2"/>
  <c r="B812" i="2"/>
  <c r="C812" i="2"/>
  <c r="D812" i="2"/>
  <c r="E812" i="2"/>
  <c r="G812" i="2"/>
  <c r="H812" i="2"/>
  <c r="I812" i="2"/>
  <c r="K812" i="2"/>
  <c r="L812" i="2"/>
  <c r="M812" i="2"/>
  <c r="P812" i="2"/>
  <c r="A813" i="2"/>
  <c r="B813" i="2"/>
  <c r="C813" i="2"/>
  <c r="D813" i="2"/>
  <c r="E813" i="2"/>
  <c r="G813" i="2"/>
  <c r="P813" i="2" s="1"/>
  <c r="H813" i="2"/>
  <c r="I813" i="2"/>
  <c r="K813" i="2"/>
  <c r="L813" i="2"/>
  <c r="M813" i="2"/>
  <c r="A814" i="2"/>
  <c r="B814" i="2"/>
  <c r="C814" i="2"/>
  <c r="D814" i="2"/>
  <c r="E814" i="2"/>
  <c r="F814" i="2" s="1"/>
  <c r="G814" i="2"/>
  <c r="H814" i="2"/>
  <c r="P814" i="2" s="1"/>
  <c r="I814" i="2"/>
  <c r="K814" i="2"/>
  <c r="L814" i="2"/>
  <c r="M814" i="2"/>
  <c r="A815" i="2"/>
  <c r="B815" i="2"/>
  <c r="C815" i="2"/>
  <c r="D815" i="2"/>
  <c r="E815" i="2"/>
  <c r="F815" i="2" s="1"/>
  <c r="G815" i="2"/>
  <c r="P815" i="2" s="1"/>
  <c r="H815" i="2"/>
  <c r="I815" i="2"/>
  <c r="K815" i="2"/>
  <c r="L815" i="2"/>
  <c r="M815" i="2"/>
  <c r="A816" i="2"/>
  <c r="B816" i="2"/>
  <c r="C816" i="2"/>
  <c r="D816" i="2"/>
  <c r="E816" i="2"/>
  <c r="G816" i="2"/>
  <c r="H816" i="2"/>
  <c r="I816" i="2"/>
  <c r="K816" i="2"/>
  <c r="L816" i="2"/>
  <c r="M816" i="2"/>
  <c r="A817" i="2"/>
  <c r="B817" i="2"/>
  <c r="C817" i="2"/>
  <c r="D817" i="2"/>
  <c r="E817" i="2"/>
  <c r="G817" i="2"/>
  <c r="H817" i="2"/>
  <c r="P817" i="2" s="1"/>
  <c r="I817" i="2"/>
  <c r="K817" i="2"/>
  <c r="L817" i="2"/>
  <c r="M817" i="2"/>
  <c r="A818" i="2"/>
  <c r="B818" i="2"/>
  <c r="C818" i="2"/>
  <c r="D818" i="2"/>
  <c r="E818" i="2"/>
  <c r="G818" i="2"/>
  <c r="H818" i="2"/>
  <c r="P818" i="2" s="1"/>
  <c r="I818" i="2"/>
  <c r="K818" i="2"/>
  <c r="L818" i="2"/>
  <c r="M818" i="2"/>
  <c r="A819" i="2"/>
  <c r="B819" i="2"/>
  <c r="C819" i="2"/>
  <c r="D819" i="2"/>
  <c r="E819" i="2"/>
  <c r="F819" i="2" s="1"/>
  <c r="G819" i="2"/>
  <c r="N819" i="2" s="1"/>
  <c r="H819" i="2"/>
  <c r="P819" i="2" s="1"/>
  <c r="I819" i="2"/>
  <c r="K819" i="2"/>
  <c r="L819" i="2"/>
  <c r="M819" i="2"/>
  <c r="A820" i="2"/>
  <c r="B820" i="2"/>
  <c r="C820" i="2"/>
  <c r="D820" i="2"/>
  <c r="E820" i="2"/>
  <c r="F820" i="2" s="1"/>
  <c r="G820" i="2"/>
  <c r="H820" i="2"/>
  <c r="I820" i="2"/>
  <c r="K820" i="2"/>
  <c r="L820" i="2"/>
  <c r="M820" i="2"/>
  <c r="P820" i="2"/>
  <c r="A821" i="2"/>
  <c r="B821" i="2"/>
  <c r="C821" i="2"/>
  <c r="D821" i="2"/>
  <c r="E821" i="2"/>
  <c r="G821" i="2"/>
  <c r="P821" i="2" s="1"/>
  <c r="H821" i="2"/>
  <c r="I821" i="2"/>
  <c r="K821" i="2"/>
  <c r="L821" i="2"/>
  <c r="M821" i="2"/>
  <c r="A822" i="2"/>
  <c r="B822" i="2"/>
  <c r="C822" i="2"/>
  <c r="D822" i="2"/>
  <c r="E822" i="2"/>
  <c r="F822" i="2" s="1"/>
  <c r="G822" i="2"/>
  <c r="N822" i="2" s="1"/>
  <c r="H822" i="2"/>
  <c r="I822" i="2"/>
  <c r="K822" i="2"/>
  <c r="L822" i="2"/>
  <c r="M822" i="2"/>
  <c r="A823" i="2"/>
  <c r="B823" i="2"/>
  <c r="C823" i="2"/>
  <c r="D823" i="2"/>
  <c r="E823" i="2"/>
  <c r="F823" i="2" s="1"/>
  <c r="G823" i="2"/>
  <c r="H823" i="2"/>
  <c r="I823" i="2"/>
  <c r="K823" i="2"/>
  <c r="L823" i="2"/>
  <c r="M823" i="2"/>
  <c r="P823" i="2"/>
  <c r="A824" i="2"/>
  <c r="B824" i="2"/>
  <c r="C824" i="2"/>
  <c r="D824" i="2"/>
  <c r="E824" i="2"/>
  <c r="F824" i="2" s="1"/>
  <c r="G824" i="2"/>
  <c r="N824" i="2" s="1"/>
  <c r="H824" i="2"/>
  <c r="I824" i="2"/>
  <c r="K824" i="2"/>
  <c r="L824" i="2"/>
  <c r="M824" i="2"/>
  <c r="P824" i="2"/>
  <c r="A825" i="2"/>
  <c r="B825" i="2"/>
  <c r="C825" i="2"/>
  <c r="D825" i="2"/>
  <c r="E825" i="2"/>
  <c r="G825" i="2"/>
  <c r="H825" i="2"/>
  <c r="P825" i="2" s="1"/>
  <c r="I825" i="2"/>
  <c r="K825" i="2"/>
  <c r="L825" i="2"/>
  <c r="M825" i="2"/>
  <c r="A826" i="2"/>
  <c r="B826" i="2"/>
  <c r="C826" i="2"/>
  <c r="D826" i="2"/>
  <c r="E826" i="2"/>
  <c r="G826" i="2"/>
  <c r="H826" i="2"/>
  <c r="P826" i="2" s="1"/>
  <c r="I826" i="2"/>
  <c r="K826" i="2"/>
  <c r="L826" i="2"/>
  <c r="M826" i="2"/>
  <c r="A827" i="2"/>
  <c r="B827" i="2"/>
  <c r="C827" i="2"/>
  <c r="D827" i="2"/>
  <c r="E827" i="2"/>
  <c r="F827" i="2" s="1"/>
  <c r="G827" i="2"/>
  <c r="H827" i="2"/>
  <c r="P827" i="2" s="1"/>
  <c r="I827" i="2"/>
  <c r="K827" i="2"/>
  <c r="L827" i="2"/>
  <c r="M827" i="2"/>
  <c r="A828" i="2"/>
  <c r="B828" i="2"/>
  <c r="C828" i="2"/>
  <c r="D828" i="2"/>
  <c r="E828" i="2"/>
  <c r="G828" i="2"/>
  <c r="H828" i="2"/>
  <c r="P828" i="2" s="1"/>
  <c r="I828" i="2"/>
  <c r="K828" i="2"/>
  <c r="L828" i="2"/>
  <c r="M828" i="2"/>
  <c r="A829" i="2"/>
  <c r="B829" i="2"/>
  <c r="C829" i="2"/>
  <c r="D829" i="2"/>
  <c r="E829" i="2"/>
  <c r="G829" i="2"/>
  <c r="H829" i="2"/>
  <c r="I829" i="2"/>
  <c r="K829" i="2"/>
  <c r="L829" i="2"/>
  <c r="M829" i="2"/>
  <c r="A830" i="2"/>
  <c r="B830" i="2"/>
  <c r="C830" i="2"/>
  <c r="D830" i="2"/>
  <c r="E830" i="2"/>
  <c r="F830" i="2" s="1"/>
  <c r="G830" i="2"/>
  <c r="H830" i="2"/>
  <c r="P830" i="2" s="1"/>
  <c r="I830" i="2"/>
  <c r="K830" i="2"/>
  <c r="L830" i="2"/>
  <c r="M830" i="2"/>
  <c r="A831" i="2"/>
  <c r="B831" i="2"/>
  <c r="C831" i="2"/>
  <c r="D831" i="2"/>
  <c r="E831" i="2"/>
  <c r="F831" i="2" s="1"/>
  <c r="G831" i="2"/>
  <c r="H831" i="2"/>
  <c r="I831" i="2"/>
  <c r="K831" i="2"/>
  <c r="L831" i="2"/>
  <c r="M831" i="2"/>
  <c r="A832" i="2"/>
  <c r="B832" i="2"/>
  <c r="C832" i="2"/>
  <c r="D832" i="2"/>
  <c r="E832" i="2"/>
  <c r="G832" i="2"/>
  <c r="H832" i="2"/>
  <c r="I832" i="2"/>
  <c r="K832" i="2"/>
  <c r="L832" i="2"/>
  <c r="M832" i="2"/>
  <c r="A833" i="2"/>
  <c r="B833" i="2"/>
  <c r="C833" i="2"/>
  <c r="D833" i="2"/>
  <c r="E833" i="2"/>
  <c r="G833" i="2"/>
  <c r="H833" i="2"/>
  <c r="P833" i="2" s="1"/>
  <c r="I833" i="2"/>
  <c r="K833" i="2"/>
  <c r="L833" i="2"/>
  <c r="M833" i="2"/>
  <c r="A834" i="2"/>
  <c r="B834" i="2"/>
  <c r="C834" i="2"/>
  <c r="D834" i="2"/>
  <c r="E834" i="2"/>
  <c r="G834" i="2"/>
  <c r="H834" i="2"/>
  <c r="P834" i="2" s="1"/>
  <c r="I834" i="2"/>
  <c r="K834" i="2"/>
  <c r="L834" i="2"/>
  <c r="M834" i="2"/>
  <c r="A835" i="2"/>
  <c r="B835" i="2"/>
  <c r="C835" i="2"/>
  <c r="D835" i="2"/>
  <c r="E835" i="2"/>
  <c r="G835" i="2"/>
  <c r="N835" i="2" s="1"/>
  <c r="H835" i="2"/>
  <c r="P835" i="2" s="1"/>
  <c r="I835" i="2"/>
  <c r="K835" i="2"/>
  <c r="L835" i="2"/>
  <c r="M835" i="2"/>
  <c r="A836" i="2"/>
  <c r="B836" i="2"/>
  <c r="C836" i="2"/>
  <c r="D836" i="2"/>
  <c r="E836" i="2"/>
  <c r="F836" i="2" s="1"/>
  <c r="G836" i="2"/>
  <c r="H836" i="2"/>
  <c r="I836" i="2"/>
  <c r="K836" i="2"/>
  <c r="L836" i="2"/>
  <c r="M836" i="2"/>
  <c r="P836" i="2"/>
  <c r="A837" i="2"/>
  <c r="B837" i="2"/>
  <c r="C837" i="2"/>
  <c r="D837" i="2"/>
  <c r="E837" i="2"/>
  <c r="G837" i="2"/>
  <c r="P837" i="2" s="1"/>
  <c r="H837" i="2"/>
  <c r="I837" i="2"/>
  <c r="K837" i="2"/>
  <c r="L837" i="2"/>
  <c r="M837" i="2"/>
  <c r="A838" i="2"/>
  <c r="B838" i="2"/>
  <c r="C838" i="2"/>
  <c r="D838" i="2"/>
  <c r="E838" i="2"/>
  <c r="F838" i="2" s="1"/>
  <c r="G838" i="2"/>
  <c r="N838" i="2" s="1"/>
  <c r="H838" i="2"/>
  <c r="I838" i="2"/>
  <c r="K838" i="2"/>
  <c r="L838" i="2"/>
  <c r="M838" i="2"/>
  <c r="A839" i="2"/>
  <c r="B839" i="2"/>
  <c r="C839" i="2"/>
  <c r="D839" i="2"/>
  <c r="E839" i="2"/>
  <c r="F839" i="2" s="1"/>
  <c r="G839" i="2"/>
  <c r="H839" i="2"/>
  <c r="I839" i="2"/>
  <c r="K839" i="2"/>
  <c r="L839" i="2"/>
  <c r="M839" i="2"/>
  <c r="P839" i="2"/>
  <c r="A840" i="2"/>
  <c r="B840" i="2"/>
  <c r="C840" i="2"/>
  <c r="D840" i="2"/>
  <c r="E840" i="2"/>
  <c r="F840" i="2" s="1"/>
  <c r="G840" i="2"/>
  <c r="N840" i="2" s="1"/>
  <c r="H840" i="2"/>
  <c r="I840" i="2"/>
  <c r="K840" i="2"/>
  <c r="L840" i="2"/>
  <c r="M840" i="2"/>
  <c r="P840" i="2"/>
  <c r="A841" i="2"/>
  <c r="B841" i="2"/>
  <c r="C841" i="2"/>
  <c r="D841" i="2"/>
  <c r="E841" i="2"/>
  <c r="G841" i="2"/>
  <c r="H841" i="2"/>
  <c r="P841" i="2" s="1"/>
  <c r="I841" i="2"/>
  <c r="K841" i="2"/>
  <c r="L841" i="2"/>
  <c r="M841" i="2"/>
  <c r="A842" i="2"/>
  <c r="B842" i="2"/>
  <c r="C842" i="2"/>
  <c r="D842" i="2"/>
  <c r="E842" i="2"/>
  <c r="G842" i="2"/>
  <c r="H842" i="2"/>
  <c r="P842" i="2" s="1"/>
  <c r="I842" i="2"/>
  <c r="K842" i="2"/>
  <c r="L842" i="2"/>
  <c r="M842" i="2"/>
  <c r="A843" i="2"/>
  <c r="B843" i="2"/>
  <c r="C843" i="2"/>
  <c r="D843" i="2"/>
  <c r="E843" i="2"/>
  <c r="F843" i="2" s="1"/>
  <c r="G843" i="2"/>
  <c r="H843" i="2"/>
  <c r="P843" i="2" s="1"/>
  <c r="I843" i="2"/>
  <c r="K843" i="2"/>
  <c r="L843" i="2"/>
  <c r="M843" i="2"/>
  <c r="A844" i="2"/>
  <c r="B844" i="2"/>
  <c r="C844" i="2"/>
  <c r="D844" i="2"/>
  <c r="E844" i="2"/>
  <c r="G844" i="2"/>
  <c r="H844" i="2"/>
  <c r="I844" i="2"/>
  <c r="K844" i="2"/>
  <c r="L844" i="2"/>
  <c r="M844" i="2"/>
  <c r="P844" i="2"/>
  <c r="A845" i="2"/>
  <c r="B845" i="2"/>
  <c r="C845" i="2"/>
  <c r="D845" i="2"/>
  <c r="E845" i="2"/>
  <c r="G845" i="2"/>
  <c r="P845" i="2" s="1"/>
  <c r="H845" i="2"/>
  <c r="I845" i="2"/>
  <c r="K845" i="2"/>
  <c r="L845" i="2"/>
  <c r="M845" i="2"/>
  <c r="A846" i="2"/>
  <c r="B846" i="2"/>
  <c r="C846" i="2"/>
  <c r="D846" i="2"/>
  <c r="E846" i="2"/>
  <c r="F846" i="2" s="1"/>
  <c r="G846" i="2"/>
  <c r="H846" i="2"/>
  <c r="P846" i="2" s="1"/>
  <c r="I846" i="2"/>
  <c r="K846" i="2"/>
  <c r="L846" i="2"/>
  <c r="M846" i="2"/>
  <c r="A847" i="2"/>
  <c r="B847" i="2"/>
  <c r="C847" i="2"/>
  <c r="D847" i="2"/>
  <c r="E847" i="2"/>
  <c r="F847" i="2" s="1"/>
  <c r="G847" i="2"/>
  <c r="P847" i="2" s="1"/>
  <c r="H847" i="2"/>
  <c r="I847" i="2"/>
  <c r="K847" i="2"/>
  <c r="L847" i="2"/>
  <c r="M847" i="2"/>
  <c r="A848" i="2"/>
  <c r="B848" i="2"/>
  <c r="C848" i="2"/>
  <c r="D848" i="2"/>
  <c r="E848" i="2"/>
  <c r="G848" i="2"/>
  <c r="H848" i="2"/>
  <c r="I848" i="2"/>
  <c r="K848" i="2"/>
  <c r="L848" i="2"/>
  <c r="M848" i="2"/>
  <c r="A849" i="2"/>
  <c r="B849" i="2"/>
  <c r="C849" i="2"/>
  <c r="D849" i="2"/>
  <c r="E849" i="2"/>
  <c r="G849" i="2"/>
  <c r="H849" i="2"/>
  <c r="P849" i="2" s="1"/>
  <c r="I849" i="2"/>
  <c r="K849" i="2"/>
  <c r="L849" i="2"/>
  <c r="M849" i="2"/>
  <c r="A850" i="2"/>
  <c r="B850" i="2"/>
  <c r="C850" i="2"/>
  <c r="D850" i="2"/>
  <c r="E850" i="2"/>
  <c r="G850" i="2"/>
  <c r="H850" i="2"/>
  <c r="P850" i="2" s="1"/>
  <c r="I850" i="2"/>
  <c r="K850" i="2"/>
  <c r="L850" i="2"/>
  <c r="M850" i="2"/>
  <c r="A851" i="2"/>
  <c r="B851" i="2"/>
  <c r="C851" i="2"/>
  <c r="D851" i="2"/>
  <c r="E851" i="2"/>
  <c r="F851" i="2" s="1"/>
  <c r="G851" i="2"/>
  <c r="N851" i="2" s="1"/>
  <c r="H851" i="2"/>
  <c r="P851" i="2" s="1"/>
  <c r="I851" i="2"/>
  <c r="K851" i="2"/>
  <c r="L851" i="2"/>
  <c r="M851" i="2"/>
  <c r="A852" i="2"/>
  <c r="B852" i="2"/>
  <c r="C852" i="2"/>
  <c r="D852" i="2"/>
  <c r="E852" i="2"/>
  <c r="F852" i="2" s="1"/>
  <c r="G852" i="2"/>
  <c r="H852" i="2"/>
  <c r="I852" i="2"/>
  <c r="K852" i="2"/>
  <c r="L852" i="2"/>
  <c r="M852" i="2"/>
  <c r="P852" i="2"/>
  <c r="A853" i="2"/>
  <c r="B853" i="2"/>
  <c r="C853" i="2"/>
  <c r="D853" i="2"/>
  <c r="E853" i="2"/>
  <c r="G853" i="2"/>
  <c r="P853" i="2" s="1"/>
  <c r="H853" i="2"/>
  <c r="I853" i="2"/>
  <c r="K853" i="2"/>
  <c r="L853" i="2"/>
  <c r="M853" i="2"/>
  <c r="A854" i="2"/>
  <c r="B854" i="2"/>
  <c r="C854" i="2"/>
  <c r="D854" i="2"/>
  <c r="E854" i="2"/>
  <c r="F854" i="2" s="1"/>
  <c r="G854" i="2"/>
  <c r="N854" i="2" s="1"/>
  <c r="H854" i="2"/>
  <c r="I854" i="2"/>
  <c r="K854" i="2"/>
  <c r="L854" i="2"/>
  <c r="M854" i="2"/>
  <c r="A855" i="2"/>
  <c r="B855" i="2"/>
  <c r="C855" i="2"/>
  <c r="D855" i="2"/>
  <c r="E855" i="2"/>
  <c r="F855" i="2" s="1"/>
  <c r="G855" i="2"/>
  <c r="H855" i="2"/>
  <c r="P855" i="2" s="1"/>
  <c r="I855" i="2"/>
  <c r="K855" i="2"/>
  <c r="O855" i="2" s="1"/>
  <c r="L855" i="2"/>
  <c r="M855" i="2"/>
  <c r="A856" i="2"/>
  <c r="B856" i="2"/>
  <c r="C856" i="2"/>
  <c r="D856" i="2"/>
  <c r="E856" i="2"/>
  <c r="G856" i="2"/>
  <c r="H856" i="2"/>
  <c r="I856" i="2"/>
  <c r="K856" i="2"/>
  <c r="L856" i="2"/>
  <c r="M856" i="2"/>
  <c r="A857" i="2"/>
  <c r="B857" i="2"/>
  <c r="C857" i="2"/>
  <c r="D857" i="2"/>
  <c r="E857" i="2"/>
  <c r="F857" i="2" s="1"/>
  <c r="G857" i="2"/>
  <c r="H857" i="2"/>
  <c r="P857" i="2" s="1"/>
  <c r="I857" i="2"/>
  <c r="K857" i="2"/>
  <c r="L857" i="2"/>
  <c r="M857" i="2"/>
  <c r="O857" i="2"/>
  <c r="A858" i="2"/>
  <c r="B858" i="2"/>
  <c r="C858" i="2"/>
  <c r="D858" i="2"/>
  <c r="E858" i="2"/>
  <c r="F858" i="2" s="1"/>
  <c r="G858" i="2"/>
  <c r="N858" i="2" s="1"/>
  <c r="H858" i="2"/>
  <c r="P858" i="2" s="1"/>
  <c r="I858" i="2"/>
  <c r="K858" i="2"/>
  <c r="L858" i="2"/>
  <c r="M858" i="2"/>
  <c r="A859" i="2"/>
  <c r="B859" i="2"/>
  <c r="C859" i="2"/>
  <c r="D859" i="2"/>
  <c r="E859" i="2"/>
  <c r="F859" i="2" s="1"/>
  <c r="G859" i="2"/>
  <c r="H859" i="2"/>
  <c r="P859" i="2" s="1"/>
  <c r="I859" i="2"/>
  <c r="K859" i="2"/>
  <c r="L859" i="2"/>
  <c r="M859" i="2"/>
  <c r="A860" i="2"/>
  <c r="B860" i="2"/>
  <c r="C860" i="2"/>
  <c r="D860" i="2"/>
  <c r="E860" i="2"/>
  <c r="G860" i="2"/>
  <c r="H860" i="2"/>
  <c r="P860" i="2" s="1"/>
  <c r="I860" i="2"/>
  <c r="K860" i="2"/>
  <c r="L860" i="2"/>
  <c r="M860" i="2"/>
  <c r="A861" i="2"/>
  <c r="B861" i="2"/>
  <c r="C861" i="2"/>
  <c r="D861" i="2"/>
  <c r="E861" i="2"/>
  <c r="F861" i="2" s="1"/>
  <c r="G861" i="2"/>
  <c r="H861" i="2"/>
  <c r="I861" i="2"/>
  <c r="K861" i="2"/>
  <c r="L861" i="2"/>
  <c r="O861" i="2" s="1"/>
  <c r="M861" i="2"/>
  <c r="A862" i="2"/>
  <c r="B862" i="2"/>
  <c r="C862" i="2"/>
  <c r="D862" i="2"/>
  <c r="E862" i="2"/>
  <c r="G862" i="2"/>
  <c r="N862" i="2" s="1"/>
  <c r="H862" i="2"/>
  <c r="I862" i="2"/>
  <c r="K862" i="2"/>
  <c r="L862" i="2"/>
  <c r="M862" i="2"/>
  <c r="A863" i="2"/>
  <c r="B863" i="2"/>
  <c r="C863" i="2"/>
  <c r="D863" i="2"/>
  <c r="E863" i="2"/>
  <c r="G863" i="2"/>
  <c r="H863" i="2"/>
  <c r="P863" i="2" s="1"/>
  <c r="I863" i="2"/>
  <c r="K863" i="2"/>
  <c r="O863" i="2" s="1"/>
  <c r="L863" i="2"/>
  <c r="M863" i="2"/>
  <c r="A864" i="2"/>
  <c r="B864" i="2"/>
  <c r="C864" i="2"/>
  <c r="D864" i="2"/>
  <c r="E864" i="2"/>
  <c r="G864" i="2"/>
  <c r="H864" i="2"/>
  <c r="I864" i="2"/>
  <c r="K864" i="2"/>
  <c r="L864" i="2"/>
  <c r="M864" i="2"/>
  <c r="A865" i="2"/>
  <c r="B865" i="2"/>
  <c r="C865" i="2"/>
  <c r="D865" i="2"/>
  <c r="E865" i="2"/>
  <c r="G865" i="2"/>
  <c r="H865" i="2"/>
  <c r="P865" i="2" s="1"/>
  <c r="I865" i="2"/>
  <c r="K865" i="2"/>
  <c r="O865" i="2" s="1"/>
  <c r="L865" i="2"/>
  <c r="M865" i="2"/>
  <c r="A866" i="2"/>
  <c r="B866" i="2"/>
  <c r="C866" i="2"/>
  <c r="D866" i="2"/>
  <c r="E866" i="2"/>
  <c r="G866" i="2"/>
  <c r="H866" i="2"/>
  <c r="I866" i="2"/>
  <c r="K866" i="2"/>
  <c r="O866" i="2" s="1"/>
  <c r="L866" i="2"/>
  <c r="M866" i="2"/>
  <c r="A867" i="2"/>
  <c r="B867" i="2"/>
  <c r="C867" i="2"/>
  <c r="D867" i="2"/>
  <c r="E867" i="2"/>
  <c r="F867" i="2" s="1"/>
  <c r="G867" i="2"/>
  <c r="H867" i="2"/>
  <c r="I867" i="2"/>
  <c r="K867" i="2"/>
  <c r="O867" i="2" s="1"/>
  <c r="L867" i="2"/>
  <c r="M867" i="2"/>
  <c r="A868" i="2"/>
  <c r="B868" i="2"/>
  <c r="C868" i="2"/>
  <c r="D868" i="2"/>
  <c r="E868" i="2"/>
  <c r="G868" i="2"/>
  <c r="H868" i="2"/>
  <c r="I868" i="2"/>
  <c r="K868" i="2"/>
  <c r="L868" i="2"/>
  <c r="M868" i="2"/>
  <c r="A869" i="2"/>
  <c r="B869" i="2"/>
  <c r="C869" i="2"/>
  <c r="D869" i="2"/>
  <c r="E869" i="2"/>
  <c r="F869" i="2" s="1"/>
  <c r="G869" i="2"/>
  <c r="N869" i="2" s="1"/>
  <c r="H869" i="2"/>
  <c r="I869" i="2"/>
  <c r="K869" i="2"/>
  <c r="L869" i="2"/>
  <c r="M869" i="2"/>
  <c r="O869" i="2"/>
  <c r="P869" i="2"/>
  <c r="A870" i="2"/>
  <c r="B870" i="2"/>
  <c r="C870" i="2"/>
  <c r="D870" i="2"/>
  <c r="E870" i="2"/>
  <c r="G870" i="2"/>
  <c r="H870" i="2"/>
  <c r="P870" i="2" s="1"/>
  <c r="I870" i="2"/>
  <c r="K870" i="2"/>
  <c r="O870" i="2" s="1"/>
  <c r="L870" i="2"/>
  <c r="M870" i="2"/>
  <c r="A871" i="2"/>
  <c r="B871" i="2"/>
  <c r="C871" i="2"/>
  <c r="D871" i="2"/>
  <c r="E871" i="2"/>
  <c r="G871" i="2"/>
  <c r="P871" i="2" s="1"/>
  <c r="H871" i="2"/>
  <c r="I871" i="2"/>
  <c r="K871" i="2"/>
  <c r="L871" i="2"/>
  <c r="M871" i="2"/>
  <c r="A872" i="2"/>
  <c r="B872" i="2"/>
  <c r="C872" i="2"/>
  <c r="D872" i="2"/>
  <c r="E872" i="2"/>
  <c r="G872" i="2"/>
  <c r="H872" i="2"/>
  <c r="I872" i="2"/>
  <c r="K872" i="2"/>
  <c r="L872" i="2"/>
  <c r="M872" i="2"/>
  <c r="A873" i="2"/>
  <c r="B873" i="2"/>
  <c r="C873" i="2"/>
  <c r="D873" i="2"/>
  <c r="E873" i="2"/>
  <c r="F873" i="2" s="1"/>
  <c r="G873" i="2"/>
  <c r="H873" i="2"/>
  <c r="P873" i="2" s="1"/>
  <c r="I873" i="2"/>
  <c r="K873" i="2"/>
  <c r="O873" i="2" s="1"/>
  <c r="L873" i="2"/>
  <c r="M873" i="2"/>
  <c r="A874" i="2"/>
  <c r="B874" i="2"/>
  <c r="C874" i="2"/>
  <c r="D874" i="2"/>
  <c r="E874" i="2"/>
  <c r="F874" i="2" s="1"/>
  <c r="G874" i="2"/>
  <c r="H874" i="2"/>
  <c r="P874" i="2" s="1"/>
  <c r="I874" i="2"/>
  <c r="K874" i="2"/>
  <c r="L874" i="2"/>
  <c r="M874" i="2"/>
  <c r="A875" i="2"/>
  <c r="B875" i="2"/>
  <c r="C875" i="2"/>
  <c r="D875" i="2"/>
  <c r="E875" i="2"/>
  <c r="F875" i="2" s="1"/>
  <c r="G875" i="2"/>
  <c r="H875" i="2"/>
  <c r="P875" i="2" s="1"/>
  <c r="I875" i="2"/>
  <c r="K875" i="2"/>
  <c r="L875" i="2"/>
  <c r="M875" i="2"/>
  <c r="A876" i="2"/>
  <c r="B876" i="2"/>
  <c r="C876" i="2"/>
  <c r="D876" i="2"/>
  <c r="E876" i="2"/>
  <c r="G876" i="2"/>
  <c r="H876" i="2"/>
  <c r="I876" i="2"/>
  <c r="K876" i="2"/>
  <c r="L876" i="2"/>
  <c r="M876" i="2"/>
  <c r="A877" i="2"/>
  <c r="B877" i="2"/>
  <c r="C877" i="2"/>
  <c r="D877" i="2"/>
  <c r="E877" i="2"/>
  <c r="G877" i="2"/>
  <c r="H877" i="2"/>
  <c r="P877" i="2" s="1"/>
  <c r="I877" i="2"/>
  <c r="K877" i="2"/>
  <c r="O877" i="2" s="1"/>
  <c r="L877" i="2"/>
  <c r="M877" i="2"/>
  <c r="A878" i="2"/>
  <c r="B878" i="2"/>
  <c r="C878" i="2"/>
  <c r="D878" i="2"/>
  <c r="E878" i="2"/>
  <c r="G878" i="2"/>
  <c r="H878" i="2"/>
  <c r="I878" i="2"/>
  <c r="K878" i="2"/>
  <c r="L878" i="2"/>
  <c r="M878" i="2"/>
  <c r="A879" i="2"/>
  <c r="B879" i="2"/>
  <c r="C879" i="2"/>
  <c r="D879" i="2"/>
  <c r="E879" i="2"/>
  <c r="F879" i="2" s="1"/>
  <c r="G879" i="2"/>
  <c r="P879" i="2" s="1"/>
  <c r="H879" i="2"/>
  <c r="I879" i="2"/>
  <c r="K879" i="2"/>
  <c r="L879" i="2"/>
  <c r="M879" i="2"/>
  <c r="A880" i="2"/>
  <c r="B880" i="2"/>
  <c r="C880" i="2"/>
  <c r="D880" i="2"/>
  <c r="E880" i="2"/>
  <c r="G880" i="2"/>
  <c r="H880" i="2"/>
  <c r="P880" i="2" s="1"/>
  <c r="I880" i="2"/>
  <c r="K880" i="2"/>
  <c r="L880" i="2"/>
  <c r="M880" i="2"/>
  <c r="A881" i="2"/>
  <c r="B881" i="2"/>
  <c r="C881" i="2"/>
  <c r="D881" i="2"/>
  <c r="E881" i="2"/>
  <c r="F881" i="2" s="1"/>
  <c r="G881" i="2"/>
  <c r="H881" i="2"/>
  <c r="P881" i="2" s="1"/>
  <c r="I881" i="2"/>
  <c r="K881" i="2"/>
  <c r="L881" i="2"/>
  <c r="M881" i="2"/>
  <c r="O881" i="2"/>
  <c r="A882" i="2"/>
  <c r="B882" i="2"/>
  <c r="C882" i="2"/>
  <c r="D882" i="2"/>
  <c r="E882" i="2"/>
  <c r="G882" i="2"/>
  <c r="N882" i="2" s="1"/>
  <c r="H882" i="2"/>
  <c r="P882" i="2" s="1"/>
  <c r="I882" i="2"/>
  <c r="K882" i="2"/>
  <c r="L882" i="2"/>
  <c r="O882" i="2" s="1"/>
  <c r="M882" i="2"/>
  <c r="A883" i="2"/>
  <c r="B883" i="2"/>
  <c r="C883" i="2"/>
  <c r="D883" i="2"/>
  <c r="E883" i="2"/>
  <c r="F883" i="2" s="1"/>
  <c r="G883" i="2"/>
  <c r="H883" i="2"/>
  <c r="I883" i="2"/>
  <c r="K883" i="2"/>
  <c r="L883" i="2"/>
  <c r="M883" i="2"/>
  <c r="P883" i="2"/>
  <c r="A884" i="2"/>
  <c r="B884" i="2"/>
  <c r="C884" i="2"/>
  <c r="D884" i="2"/>
  <c r="E884" i="2"/>
  <c r="G884" i="2"/>
  <c r="H884" i="2"/>
  <c r="I884" i="2"/>
  <c r="K884" i="2"/>
  <c r="O884" i="2" s="1"/>
  <c r="L884" i="2"/>
  <c r="M884" i="2"/>
  <c r="A885" i="2"/>
  <c r="B885" i="2"/>
  <c r="C885" i="2"/>
  <c r="D885" i="2"/>
  <c r="E885" i="2"/>
  <c r="G885" i="2"/>
  <c r="H885" i="2"/>
  <c r="I885" i="2"/>
  <c r="K885" i="2"/>
  <c r="L885" i="2"/>
  <c r="M885" i="2"/>
  <c r="A886" i="2"/>
  <c r="B886" i="2"/>
  <c r="C886" i="2"/>
  <c r="D886" i="2"/>
  <c r="E886" i="2"/>
  <c r="G886" i="2"/>
  <c r="N886" i="2" s="1"/>
  <c r="H886" i="2"/>
  <c r="P886" i="2" s="1"/>
  <c r="I886" i="2"/>
  <c r="K886" i="2"/>
  <c r="L886" i="2"/>
  <c r="M886" i="2"/>
  <c r="A887" i="2"/>
  <c r="B887" i="2"/>
  <c r="C887" i="2"/>
  <c r="D887" i="2"/>
  <c r="E887" i="2"/>
  <c r="F887" i="2" s="1"/>
  <c r="G887" i="2"/>
  <c r="H887" i="2"/>
  <c r="P887" i="2" s="1"/>
  <c r="I887" i="2"/>
  <c r="K887" i="2"/>
  <c r="L887" i="2"/>
  <c r="M887" i="2"/>
  <c r="A888" i="2"/>
  <c r="B888" i="2"/>
  <c r="C888" i="2"/>
  <c r="D888" i="2"/>
  <c r="E888" i="2"/>
  <c r="G888" i="2"/>
  <c r="H888" i="2"/>
  <c r="P888" i="2" s="1"/>
  <c r="I888" i="2"/>
  <c r="K888" i="2"/>
  <c r="L888" i="2"/>
  <c r="M888" i="2"/>
  <c r="A889" i="2"/>
  <c r="B889" i="2"/>
  <c r="C889" i="2"/>
  <c r="D889" i="2"/>
  <c r="E889" i="2"/>
  <c r="G889" i="2"/>
  <c r="H889" i="2"/>
  <c r="P889" i="2" s="1"/>
  <c r="I889" i="2"/>
  <c r="K889" i="2"/>
  <c r="O889" i="2" s="1"/>
  <c r="L889" i="2"/>
  <c r="M889" i="2"/>
  <c r="A890" i="2"/>
  <c r="B890" i="2"/>
  <c r="C890" i="2"/>
  <c r="D890" i="2"/>
  <c r="E890" i="2"/>
  <c r="G890" i="2"/>
  <c r="H890" i="2"/>
  <c r="I890" i="2"/>
  <c r="K890" i="2"/>
  <c r="O890" i="2" s="1"/>
  <c r="L890" i="2"/>
  <c r="M890" i="2"/>
  <c r="A891" i="2"/>
  <c r="B891" i="2"/>
  <c r="C891" i="2"/>
  <c r="D891" i="2"/>
  <c r="E891" i="2"/>
  <c r="F891" i="2" s="1"/>
  <c r="G891" i="2"/>
  <c r="N891" i="2" s="1"/>
  <c r="H891" i="2"/>
  <c r="P891" i="2" s="1"/>
  <c r="I891" i="2"/>
  <c r="K891" i="2"/>
  <c r="L891" i="2"/>
  <c r="M891" i="2"/>
  <c r="O891" i="2"/>
  <c r="A892" i="2"/>
  <c r="B892" i="2"/>
  <c r="C892" i="2"/>
  <c r="D892" i="2"/>
  <c r="E892" i="2"/>
  <c r="G892" i="2"/>
  <c r="H892" i="2"/>
  <c r="P892" i="2" s="1"/>
  <c r="I892" i="2"/>
  <c r="K892" i="2"/>
  <c r="O892" i="2" s="1"/>
  <c r="L892" i="2"/>
  <c r="M892" i="2"/>
  <c r="A893" i="2"/>
  <c r="B893" i="2"/>
  <c r="C893" i="2"/>
  <c r="D893" i="2"/>
  <c r="E893" i="2"/>
  <c r="G893" i="2"/>
  <c r="H893" i="2"/>
  <c r="I893" i="2"/>
  <c r="K893" i="2"/>
  <c r="L893" i="2"/>
  <c r="M893" i="2"/>
  <c r="P893" i="2"/>
  <c r="A894" i="2"/>
  <c r="B894" i="2"/>
  <c r="C894" i="2"/>
  <c r="D894" i="2"/>
  <c r="E894" i="2"/>
  <c r="G894" i="2"/>
  <c r="N894" i="2" s="1"/>
  <c r="H894" i="2"/>
  <c r="I894" i="2"/>
  <c r="K894" i="2"/>
  <c r="L894" i="2"/>
  <c r="M894" i="2"/>
  <c r="A895" i="2"/>
  <c r="B895" i="2"/>
  <c r="C895" i="2"/>
  <c r="D895" i="2"/>
  <c r="E895" i="2"/>
  <c r="F895" i="2" s="1"/>
  <c r="G895" i="2"/>
  <c r="N895" i="2" s="1"/>
  <c r="H895" i="2"/>
  <c r="P895" i="2" s="1"/>
  <c r="I895" i="2"/>
  <c r="K895" i="2"/>
  <c r="L895" i="2"/>
  <c r="M895" i="2"/>
  <c r="O895" i="2"/>
  <c r="A896" i="2"/>
  <c r="B896" i="2"/>
  <c r="C896" i="2"/>
  <c r="D896" i="2"/>
  <c r="E896" i="2"/>
  <c r="G896" i="2"/>
  <c r="H896" i="2"/>
  <c r="I896" i="2"/>
  <c r="K896" i="2"/>
  <c r="L896" i="2"/>
  <c r="M896" i="2"/>
  <c r="P896" i="2"/>
  <c r="A897" i="2"/>
  <c r="B897" i="2"/>
  <c r="C897" i="2"/>
  <c r="D897" i="2"/>
  <c r="E897" i="2"/>
  <c r="G897" i="2"/>
  <c r="N897" i="2" s="1"/>
  <c r="H897" i="2"/>
  <c r="I897" i="2"/>
  <c r="K897" i="2"/>
  <c r="L897" i="2"/>
  <c r="O897" i="2" s="1"/>
  <c r="M897" i="2"/>
  <c r="A898" i="2"/>
  <c r="B898" i="2"/>
  <c r="C898" i="2"/>
  <c r="D898" i="2"/>
  <c r="E898" i="2"/>
  <c r="F898" i="2" s="1"/>
  <c r="G898" i="2"/>
  <c r="N898" i="2" s="1"/>
  <c r="H898" i="2"/>
  <c r="I898" i="2"/>
  <c r="K898" i="2"/>
  <c r="L898" i="2"/>
  <c r="M898" i="2"/>
  <c r="O898" i="2"/>
  <c r="A899" i="2"/>
  <c r="B899" i="2"/>
  <c r="C899" i="2"/>
  <c r="D899" i="2"/>
  <c r="E899" i="2"/>
  <c r="F899" i="2" s="1"/>
  <c r="G899" i="2"/>
  <c r="H899" i="2"/>
  <c r="P899" i="2" s="1"/>
  <c r="I899" i="2"/>
  <c r="K899" i="2"/>
  <c r="L899" i="2"/>
  <c r="M899" i="2"/>
  <c r="A900" i="2"/>
  <c r="B900" i="2"/>
  <c r="C900" i="2"/>
  <c r="D900" i="2"/>
  <c r="E900" i="2"/>
  <c r="G900" i="2"/>
  <c r="H900" i="2"/>
  <c r="I900" i="2"/>
  <c r="K900" i="2"/>
  <c r="L900" i="2"/>
  <c r="O900" i="2" s="1"/>
  <c r="M900" i="2"/>
  <c r="P900" i="2"/>
  <c r="A901" i="2"/>
  <c r="B901" i="2"/>
  <c r="C901" i="2"/>
  <c r="D901" i="2"/>
  <c r="E901" i="2"/>
  <c r="F901" i="2" s="1"/>
  <c r="G901" i="2"/>
  <c r="N901" i="2" s="1"/>
  <c r="H901" i="2"/>
  <c r="I901" i="2"/>
  <c r="K901" i="2"/>
  <c r="L901" i="2"/>
  <c r="M901" i="2"/>
  <c r="O901" i="2"/>
  <c r="P901" i="2"/>
  <c r="A902" i="2"/>
  <c r="B902" i="2"/>
  <c r="C902" i="2"/>
  <c r="D902" i="2"/>
  <c r="F902" i="2" s="1"/>
  <c r="E902" i="2"/>
  <c r="G902" i="2"/>
  <c r="H902" i="2"/>
  <c r="P902" i="2" s="1"/>
  <c r="I902" i="2"/>
  <c r="K902" i="2"/>
  <c r="O902" i="2" s="1"/>
  <c r="L902" i="2"/>
  <c r="M902" i="2"/>
  <c r="A903" i="2"/>
  <c r="B903" i="2"/>
  <c r="C903" i="2"/>
  <c r="D903" i="2"/>
  <c r="E903" i="2"/>
  <c r="F903" i="2" s="1"/>
  <c r="G903" i="2"/>
  <c r="H903" i="2"/>
  <c r="P903" i="2" s="1"/>
  <c r="I903" i="2"/>
  <c r="K903" i="2"/>
  <c r="L903" i="2"/>
  <c r="O903" i="2" s="1"/>
  <c r="M903" i="2"/>
  <c r="A904" i="2"/>
  <c r="B904" i="2"/>
  <c r="C904" i="2"/>
  <c r="D904" i="2"/>
  <c r="E904" i="2"/>
  <c r="F904" i="2" s="1"/>
  <c r="G904" i="2"/>
  <c r="N904" i="2" s="1"/>
  <c r="H904" i="2"/>
  <c r="I904" i="2"/>
  <c r="K904" i="2"/>
  <c r="L904" i="2"/>
  <c r="M904" i="2"/>
  <c r="O904" i="2"/>
  <c r="P904" i="2"/>
  <c r="A905" i="2"/>
  <c r="B905" i="2"/>
  <c r="C905" i="2"/>
  <c r="D905" i="2"/>
  <c r="E905" i="2"/>
  <c r="F905" i="2"/>
  <c r="G905" i="2"/>
  <c r="N905" i="2" s="1"/>
  <c r="H905" i="2"/>
  <c r="P905" i="2" s="1"/>
  <c r="I905" i="2"/>
  <c r="K905" i="2"/>
  <c r="L905" i="2"/>
  <c r="M905" i="2"/>
  <c r="O905" i="2"/>
  <c r="A906" i="2"/>
  <c r="B906" i="2"/>
  <c r="C906" i="2"/>
  <c r="D906" i="2"/>
  <c r="F906" i="2" s="1"/>
  <c r="E906" i="2"/>
  <c r="G906" i="2"/>
  <c r="H906" i="2"/>
  <c r="P906" i="2" s="1"/>
  <c r="I906" i="2"/>
  <c r="K906" i="2"/>
  <c r="L906" i="2"/>
  <c r="M906" i="2"/>
  <c r="A907" i="2"/>
  <c r="B907" i="2"/>
  <c r="C907" i="2"/>
  <c r="D907" i="2"/>
  <c r="E907" i="2"/>
  <c r="F907" i="2" s="1"/>
  <c r="G907" i="2"/>
  <c r="H907" i="2"/>
  <c r="I907" i="2"/>
  <c r="K907" i="2"/>
  <c r="L907" i="2"/>
  <c r="M907" i="2"/>
  <c r="A908" i="2"/>
  <c r="B908" i="2"/>
  <c r="C908" i="2"/>
  <c r="D908" i="2"/>
  <c r="E908" i="2"/>
  <c r="G908" i="2"/>
  <c r="H908" i="2"/>
  <c r="I908" i="2"/>
  <c r="K908" i="2"/>
  <c r="L908" i="2"/>
  <c r="M908" i="2"/>
  <c r="A909" i="2"/>
  <c r="B909" i="2"/>
  <c r="C909" i="2"/>
  <c r="D909" i="2"/>
  <c r="E909" i="2"/>
  <c r="F909" i="2" s="1"/>
  <c r="G909" i="2"/>
  <c r="N909" i="2" s="1"/>
  <c r="H909" i="2"/>
  <c r="I909" i="2"/>
  <c r="K909" i="2"/>
  <c r="L909" i="2"/>
  <c r="M909" i="2"/>
  <c r="A910" i="2"/>
  <c r="B910" i="2"/>
  <c r="C910" i="2"/>
  <c r="D910" i="2"/>
  <c r="E910" i="2"/>
  <c r="F910" i="2" s="1"/>
  <c r="G910" i="2"/>
  <c r="H910" i="2"/>
  <c r="I910" i="2"/>
  <c r="K910" i="2"/>
  <c r="L910" i="2"/>
  <c r="M910" i="2"/>
  <c r="A911" i="2"/>
  <c r="B911" i="2"/>
  <c r="C911" i="2"/>
  <c r="D911" i="2"/>
  <c r="E911" i="2"/>
  <c r="F911" i="2" s="1"/>
  <c r="G911" i="2"/>
  <c r="N911" i="2" s="1"/>
  <c r="H911" i="2"/>
  <c r="I911" i="2"/>
  <c r="K911" i="2"/>
  <c r="L911" i="2"/>
  <c r="M911" i="2"/>
  <c r="A912" i="2"/>
  <c r="B912" i="2"/>
  <c r="C912" i="2"/>
  <c r="D912" i="2"/>
  <c r="E912" i="2"/>
  <c r="F912" i="2" s="1"/>
  <c r="G912" i="2"/>
  <c r="H912" i="2"/>
  <c r="I912" i="2"/>
  <c r="K912" i="2"/>
  <c r="L912" i="2"/>
  <c r="M912" i="2"/>
  <c r="A913" i="2"/>
  <c r="B913" i="2"/>
  <c r="C913" i="2"/>
  <c r="D913" i="2"/>
  <c r="E913" i="2"/>
  <c r="F913" i="2" s="1"/>
  <c r="G913" i="2"/>
  <c r="N913" i="2" s="1"/>
  <c r="H913" i="2"/>
  <c r="I913" i="2"/>
  <c r="K913" i="2"/>
  <c r="L913" i="2"/>
  <c r="M913" i="2"/>
  <c r="A914" i="2"/>
  <c r="B914" i="2"/>
  <c r="C914" i="2"/>
  <c r="D914" i="2"/>
  <c r="E914" i="2"/>
  <c r="F914" i="2" s="1"/>
  <c r="G914" i="2"/>
  <c r="H914" i="2"/>
  <c r="I914" i="2"/>
  <c r="K914" i="2"/>
  <c r="L914" i="2"/>
  <c r="M914" i="2"/>
  <c r="A915" i="2"/>
  <c r="B915" i="2"/>
  <c r="C915" i="2"/>
  <c r="D915" i="2"/>
  <c r="E915" i="2"/>
  <c r="F915" i="2" s="1"/>
  <c r="G915" i="2"/>
  <c r="N915" i="2" s="1"/>
  <c r="H915" i="2"/>
  <c r="I915" i="2"/>
  <c r="K915" i="2"/>
  <c r="L915" i="2"/>
  <c r="M915" i="2"/>
  <c r="A916" i="2"/>
  <c r="B916" i="2"/>
  <c r="C916" i="2"/>
  <c r="D916" i="2"/>
  <c r="E916" i="2"/>
  <c r="F916" i="2" s="1"/>
  <c r="G916" i="2"/>
  <c r="H916" i="2"/>
  <c r="I916" i="2"/>
  <c r="K916" i="2"/>
  <c r="L916" i="2"/>
  <c r="M916" i="2"/>
  <c r="A917" i="2"/>
  <c r="B917" i="2"/>
  <c r="C917" i="2"/>
  <c r="D917" i="2"/>
  <c r="E917" i="2"/>
  <c r="F917" i="2" s="1"/>
  <c r="G917" i="2"/>
  <c r="N917" i="2" s="1"/>
  <c r="H917" i="2"/>
  <c r="I917" i="2"/>
  <c r="K917" i="2"/>
  <c r="L917" i="2"/>
  <c r="M917" i="2"/>
  <c r="A918" i="2"/>
  <c r="B918" i="2"/>
  <c r="C918" i="2"/>
  <c r="D918" i="2"/>
  <c r="E918" i="2"/>
  <c r="F918" i="2" s="1"/>
  <c r="G918" i="2"/>
  <c r="H918" i="2"/>
  <c r="I918" i="2"/>
  <c r="K918" i="2"/>
  <c r="L918" i="2"/>
  <c r="M918" i="2"/>
  <c r="A919" i="2"/>
  <c r="B919" i="2"/>
  <c r="C919" i="2"/>
  <c r="D919" i="2"/>
  <c r="E919" i="2"/>
  <c r="F919" i="2" s="1"/>
  <c r="G919" i="2"/>
  <c r="N919" i="2" s="1"/>
  <c r="H919" i="2"/>
  <c r="I919" i="2"/>
  <c r="K919" i="2"/>
  <c r="L919" i="2"/>
  <c r="M919" i="2"/>
  <c r="A920" i="2"/>
  <c r="B920" i="2"/>
  <c r="C920" i="2"/>
  <c r="D920" i="2"/>
  <c r="E920" i="2"/>
  <c r="F920" i="2" s="1"/>
  <c r="G920" i="2"/>
  <c r="H920" i="2"/>
  <c r="I920" i="2"/>
  <c r="K920" i="2"/>
  <c r="L920" i="2"/>
  <c r="M920" i="2"/>
  <c r="A921" i="2"/>
  <c r="B921" i="2"/>
  <c r="C921" i="2"/>
  <c r="D921" i="2"/>
  <c r="E921" i="2"/>
  <c r="F921" i="2" s="1"/>
  <c r="G921" i="2"/>
  <c r="N921" i="2" s="1"/>
  <c r="H921" i="2"/>
  <c r="I921" i="2"/>
  <c r="K921" i="2"/>
  <c r="L921" i="2"/>
  <c r="M921" i="2"/>
  <c r="A922" i="2"/>
  <c r="B922" i="2"/>
  <c r="C922" i="2"/>
  <c r="D922" i="2"/>
  <c r="E922" i="2"/>
  <c r="F922" i="2" s="1"/>
  <c r="G922" i="2"/>
  <c r="H922" i="2"/>
  <c r="I922" i="2"/>
  <c r="K922" i="2"/>
  <c r="L922" i="2"/>
  <c r="M922" i="2"/>
  <c r="A923" i="2"/>
  <c r="B923" i="2"/>
  <c r="C923" i="2"/>
  <c r="D923" i="2"/>
  <c r="E923" i="2"/>
  <c r="F923" i="2" s="1"/>
  <c r="G923" i="2"/>
  <c r="N923" i="2" s="1"/>
  <c r="H923" i="2"/>
  <c r="I923" i="2"/>
  <c r="K923" i="2"/>
  <c r="L923" i="2"/>
  <c r="M923" i="2"/>
  <c r="A924" i="2"/>
  <c r="B924" i="2"/>
  <c r="C924" i="2"/>
  <c r="D924" i="2"/>
  <c r="E924" i="2"/>
  <c r="F924" i="2" s="1"/>
  <c r="G924" i="2"/>
  <c r="H924" i="2"/>
  <c r="I924" i="2"/>
  <c r="K924" i="2"/>
  <c r="L924" i="2"/>
  <c r="M924" i="2"/>
  <c r="A925" i="2"/>
  <c r="B925" i="2"/>
  <c r="C925" i="2"/>
  <c r="D925" i="2"/>
  <c r="E925" i="2"/>
  <c r="F925" i="2" s="1"/>
  <c r="G925" i="2"/>
  <c r="N925" i="2" s="1"/>
  <c r="H925" i="2"/>
  <c r="I925" i="2"/>
  <c r="K925" i="2"/>
  <c r="L925" i="2"/>
  <c r="M925" i="2"/>
  <c r="A926" i="2"/>
  <c r="B926" i="2"/>
  <c r="C926" i="2"/>
  <c r="D926" i="2"/>
  <c r="E926" i="2"/>
  <c r="F926" i="2" s="1"/>
  <c r="G926" i="2"/>
  <c r="H926" i="2"/>
  <c r="I926" i="2"/>
  <c r="K926" i="2"/>
  <c r="L926" i="2"/>
  <c r="M926" i="2"/>
  <c r="A927" i="2"/>
  <c r="B927" i="2"/>
  <c r="C927" i="2"/>
  <c r="D927" i="2"/>
  <c r="E927" i="2"/>
  <c r="F927" i="2" s="1"/>
  <c r="G927" i="2"/>
  <c r="N927" i="2" s="1"/>
  <c r="H927" i="2"/>
  <c r="I927" i="2"/>
  <c r="K927" i="2"/>
  <c r="L927" i="2"/>
  <c r="M927" i="2"/>
  <c r="A928" i="2"/>
  <c r="B928" i="2"/>
  <c r="C928" i="2"/>
  <c r="D928" i="2"/>
  <c r="E928" i="2"/>
  <c r="F928" i="2" s="1"/>
  <c r="G928" i="2"/>
  <c r="H928" i="2"/>
  <c r="I928" i="2"/>
  <c r="K928" i="2"/>
  <c r="L928" i="2"/>
  <c r="M928" i="2"/>
  <c r="A929" i="2"/>
  <c r="B929" i="2"/>
  <c r="C929" i="2"/>
  <c r="D929" i="2"/>
  <c r="E929" i="2"/>
  <c r="F929" i="2" s="1"/>
  <c r="G929" i="2"/>
  <c r="N929" i="2" s="1"/>
  <c r="H929" i="2"/>
  <c r="I929" i="2"/>
  <c r="K929" i="2"/>
  <c r="L929" i="2"/>
  <c r="M929" i="2"/>
  <c r="A930" i="2"/>
  <c r="B930" i="2"/>
  <c r="C930" i="2"/>
  <c r="D930" i="2"/>
  <c r="E930" i="2"/>
  <c r="F930" i="2" s="1"/>
  <c r="G930" i="2"/>
  <c r="H930" i="2"/>
  <c r="I930" i="2"/>
  <c r="K930" i="2"/>
  <c r="L930" i="2"/>
  <c r="M930" i="2"/>
  <c r="A931" i="2"/>
  <c r="B931" i="2"/>
  <c r="C931" i="2"/>
  <c r="D931" i="2"/>
  <c r="E931" i="2"/>
  <c r="F931" i="2" s="1"/>
  <c r="G931" i="2"/>
  <c r="N931" i="2" s="1"/>
  <c r="H931" i="2"/>
  <c r="I931" i="2"/>
  <c r="K931" i="2"/>
  <c r="L931" i="2"/>
  <c r="M931" i="2"/>
  <c r="A932" i="2"/>
  <c r="B932" i="2"/>
  <c r="C932" i="2"/>
  <c r="D932" i="2"/>
  <c r="E932" i="2"/>
  <c r="F932" i="2" s="1"/>
  <c r="G932" i="2"/>
  <c r="H932" i="2"/>
  <c r="I932" i="2"/>
  <c r="K932" i="2"/>
  <c r="L932" i="2"/>
  <c r="M932" i="2"/>
  <c r="A933" i="2"/>
  <c r="B933" i="2"/>
  <c r="C933" i="2"/>
  <c r="D933" i="2"/>
  <c r="E933" i="2"/>
  <c r="F933" i="2" s="1"/>
  <c r="G933" i="2"/>
  <c r="N933" i="2" s="1"/>
  <c r="H933" i="2"/>
  <c r="I933" i="2"/>
  <c r="K933" i="2"/>
  <c r="L933" i="2"/>
  <c r="M933" i="2"/>
  <c r="A934" i="2"/>
  <c r="B934" i="2"/>
  <c r="C934" i="2"/>
  <c r="D934" i="2"/>
  <c r="E934" i="2"/>
  <c r="F934" i="2" s="1"/>
  <c r="G934" i="2"/>
  <c r="H934" i="2"/>
  <c r="I934" i="2"/>
  <c r="K934" i="2"/>
  <c r="L934" i="2"/>
  <c r="M934" i="2"/>
  <c r="A935" i="2"/>
  <c r="B935" i="2"/>
  <c r="C935" i="2"/>
  <c r="D935" i="2"/>
  <c r="E935" i="2"/>
  <c r="F935" i="2" s="1"/>
  <c r="G935" i="2"/>
  <c r="N935" i="2" s="1"/>
  <c r="H935" i="2"/>
  <c r="I935" i="2"/>
  <c r="K935" i="2"/>
  <c r="L935" i="2"/>
  <c r="M935" i="2"/>
  <c r="A936" i="2"/>
  <c r="B936" i="2"/>
  <c r="C936" i="2"/>
  <c r="D936" i="2"/>
  <c r="E936" i="2"/>
  <c r="F936" i="2" s="1"/>
  <c r="G936" i="2"/>
  <c r="H936" i="2"/>
  <c r="I936" i="2"/>
  <c r="K936" i="2"/>
  <c r="L936" i="2"/>
  <c r="M936" i="2"/>
  <c r="A937" i="2"/>
  <c r="B937" i="2"/>
  <c r="C937" i="2"/>
  <c r="D937" i="2"/>
  <c r="E937" i="2"/>
  <c r="F937" i="2" s="1"/>
  <c r="G937" i="2"/>
  <c r="N937" i="2" s="1"/>
  <c r="H937" i="2"/>
  <c r="I937" i="2"/>
  <c r="K937" i="2"/>
  <c r="L937" i="2"/>
  <c r="M937" i="2"/>
  <c r="A938" i="2"/>
  <c r="B938" i="2"/>
  <c r="C938" i="2"/>
  <c r="D938" i="2"/>
  <c r="E938" i="2"/>
  <c r="F938" i="2" s="1"/>
  <c r="G938" i="2"/>
  <c r="H938" i="2"/>
  <c r="I938" i="2"/>
  <c r="K938" i="2"/>
  <c r="L938" i="2"/>
  <c r="M938" i="2"/>
  <c r="A939" i="2"/>
  <c r="B939" i="2"/>
  <c r="C939" i="2"/>
  <c r="D939" i="2"/>
  <c r="E939" i="2"/>
  <c r="F939" i="2" s="1"/>
  <c r="G939" i="2"/>
  <c r="N939" i="2" s="1"/>
  <c r="H939" i="2"/>
  <c r="I939" i="2"/>
  <c r="K939" i="2"/>
  <c r="L939" i="2"/>
  <c r="M939" i="2"/>
  <c r="A940" i="2"/>
  <c r="B940" i="2"/>
  <c r="C940" i="2"/>
  <c r="D940" i="2"/>
  <c r="E940" i="2"/>
  <c r="G940" i="2"/>
  <c r="H940" i="2"/>
  <c r="I940" i="2"/>
  <c r="K940" i="2"/>
  <c r="L940" i="2"/>
  <c r="M940" i="2"/>
  <c r="A941" i="2"/>
  <c r="B941" i="2"/>
  <c r="C941" i="2"/>
  <c r="D941" i="2"/>
  <c r="E941" i="2"/>
  <c r="F941" i="2" s="1"/>
  <c r="G941" i="2"/>
  <c r="N941" i="2" s="1"/>
  <c r="H941" i="2"/>
  <c r="I941" i="2"/>
  <c r="K941" i="2"/>
  <c r="L941" i="2"/>
  <c r="M941" i="2"/>
  <c r="A942" i="2"/>
  <c r="B942" i="2"/>
  <c r="C942" i="2"/>
  <c r="D942" i="2"/>
  <c r="E942" i="2"/>
  <c r="G942" i="2"/>
  <c r="H942" i="2"/>
  <c r="I942" i="2"/>
  <c r="K942" i="2"/>
  <c r="L942" i="2"/>
  <c r="M942" i="2"/>
  <c r="A943" i="2"/>
  <c r="B943" i="2"/>
  <c r="C943" i="2"/>
  <c r="D943" i="2"/>
  <c r="E943" i="2"/>
  <c r="F943" i="2" s="1"/>
  <c r="G943" i="2"/>
  <c r="N943" i="2" s="1"/>
  <c r="H943" i="2"/>
  <c r="I943" i="2"/>
  <c r="K943" i="2"/>
  <c r="L943" i="2"/>
  <c r="M943" i="2"/>
  <c r="A944" i="2"/>
  <c r="B944" i="2"/>
  <c r="C944" i="2"/>
  <c r="D944" i="2"/>
  <c r="E944" i="2"/>
  <c r="G944" i="2"/>
  <c r="H944" i="2"/>
  <c r="I944" i="2"/>
  <c r="K944" i="2"/>
  <c r="L944" i="2"/>
  <c r="M944" i="2"/>
  <c r="A945" i="2"/>
  <c r="B945" i="2"/>
  <c r="C945" i="2"/>
  <c r="D945" i="2"/>
  <c r="E945" i="2"/>
  <c r="F945" i="2" s="1"/>
  <c r="G945" i="2"/>
  <c r="N945" i="2" s="1"/>
  <c r="H945" i="2"/>
  <c r="I945" i="2"/>
  <c r="K945" i="2"/>
  <c r="L945" i="2"/>
  <c r="M945" i="2"/>
  <c r="A946" i="2"/>
  <c r="B946" i="2"/>
  <c r="C946" i="2"/>
  <c r="D946" i="2"/>
  <c r="E946" i="2"/>
  <c r="G946" i="2"/>
  <c r="H946" i="2"/>
  <c r="I946" i="2"/>
  <c r="K946" i="2"/>
  <c r="L946" i="2"/>
  <c r="M946" i="2"/>
  <c r="A947" i="2"/>
  <c r="B947" i="2"/>
  <c r="C947" i="2"/>
  <c r="D947" i="2"/>
  <c r="E947" i="2"/>
  <c r="F947" i="2" s="1"/>
  <c r="G947" i="2"/>
  <c r="N947" i="2" s="1"/>
  <c r="H947" i="2"/>
  <c r="I947" i="2"/>
  <c r="K947" i="2"/>
  <c r="L947" i="2"/>
  <c r="M947" i="2"/>
  <c r="A948" i="2"/>
  <c r="B948" i="2"/>
  <c r="C948" i="2"/>
  <c r="D948" i="2"/>
  <c r="E948" i="2"/>
  <c r="G948" i="2"/>
  <c r="H948" i="2"/>
  <c r="I948" i="2"/>
  <c r="K948" i="2"/>
  <c r="L948" i="2"/>
  <c r="M948" i="2"/>
  <c r="A949" i="2"/>
  <c r="B949" i="2"/>
  <c r="C949" i="2"/>
  <c r="D949" i="2"/>
  <c r="E949" i="2"/>
  <c r="F949" i="2" s="1"/>
  <c r="G949" i="2"/>
  <c r="N949" i="2" s="1"/>
  <c r="H949" i="2"/>
  <c r="I949" i="2"/>
  <c r="K949" i="2"/>
  <c r="L949" i="2"/>
  <c r="M949" i="2"/>
  <c r="A950" i="2"/>
  <c r="B950" i="2"/>
  <c r="C950" i="2"/>
  <c r="D950" i="2"/>
  <c r="E950" i="2"/>
  <c r="G950" i="2"/>
  <c r="H950" i="2"/>
  <c r="I950" i="2"/>
  <c r="K950" i="2"/>
  <c r="L950" i="2"/>
  <c r="M950" i="2"/>
  <c r="A951" i="2"/>
  <c r="B951" i="2"/>
  <c r="C951" i="2"/>
  <c r="D951" i="2"/>
  <c r="E951" i="2"/>
  <c r="G951" i="2"/>
  <c r="N951" i="2" s="1"/>
  <c r="H951" i="2"/>
  <c r="I951" i="2"/>
  <c r="K951" i="2"/>
  <c r="L951" i="2"/>
  <c r="M951" i="2"/>
  <c r="A952" i="2"/>
  <c r="B952" i="2"/>
  <c r="C952" i="2"/>
  <c r="D952" i="2"/>
  <c r="E952" i="2"/>
  <c r="G952" i="2"/>
  <c r="H952" i="2"/>
  <c r="I952" i="2"/>
  <c r="K952" i="2"/>
  <c r="L952" i="2"/>
  <c r="M952" i="2"/>
  <c r="A953" i="2"/>
  <c r="B953" i="2"/>
  <c r="C953" i="2"/>
  <c r="D953" i="2"/>
  <c r="E953" i="2"/>
  <c r="G953" i="2"/>
  <c r="N953" i="2" s="1"/>
  <c r="H953" i="2"/>
  <c r="I953" i="2"/>
  <c r="K953" i="2"/>
  <c r="L953" i="2"/>
  <c r="M953" i="2"/>
  <c r="A954" i="2"/>
  <c r="B954" i="2"/>
  <c r="C954" i="2"/>
  <c r="D954" i="2"/>
  <c r="E954" i="2"/>
  <c r="G954" i="2"/>
  <c r="H954" i="2"/>
  <c r="I954" i="2"/>
  <c r="K954" i="2"/>
  <c r="L954" i="2"/>
  <c r="M954" i="2"/>
  <c r="A955" i="2"/>
  <c r="B955" i="2"/>
  <c r="C955" i="2"/>
  <c r="D955" i="2"/>
  <c r="E955" i="2"/>
  <c r="G955" i="2"/>
  <c r="N955" i="2" s="1"/>
  <c r="H955" i="2"/>
  <c r="I955" i="2"/>
  <c r="K955" i="2"/>
  <c r="L955" i="2"/>
  <c r="M955" i="2"/>
  <c r="A956" i="2"/>
  <c r="B956" i="2"/>
  <c r="C956" i="2"/>
  <c r="D956" i="2"/>
  <c r="E956" i="2"/>
  <c r="G956" i="2"/>
  <c r="H956" i="2"/>
  <c r="I956" i="2"/>
  <c r="K956" i="2"/>
  <c r="L956" i="2"/>
  <c r="M956" i="2"/>
  <c r="A957" i="2"/>
  <c r="B957" i="2"/>
  <c r="C957" i="2"/>
  <c r="D957" i="2"/>
  <c r="E957" i="2"/>
  <c r="G957" i="2"/>
  <c r="N957" i="2" s="1"/>
  <c r="H957" i="2"/>
  <c r="I957" i="2"/>
  <c r="K957" i="2"/>
  <c r="L957" i="2"/>
  <c r="M957" i="2"/>
  <c r="A958" i="2"/>
  <c r="B958" i="2"/>
  <c r="C958" i="2"/>
  <c r="D958" i="2"/>
  <c r="E958" i="2"/>
  <c r="G958" i="2"/>
  <c r="H958" i="2"/>
  <c r="I958" i="2"/>
  <c r="K958" i="2"/>
  <c r="L958" i="2"/>
  <c r="M958" i="2"/>
  <c r="A959" i="2"/>
  <c r="B959" i="2"/>
  <c r="C959" i="2"/>
  <c r="D959" i="2"/>
  <c r="E959" i="2"/>
  <c r="G959" i="2"/>
  <c r="N959" i="2" s="1"/>
  <c r="H959" i="2"/>
  <c r="I959" i="2"/>
  <c r="K959" i="2"/>
  <c r="L959" i="2"/>
  <c r="M959" i="2"/>
  <c r="A960" i="2"/>
  <c r="B960" i="2"/>
  <c r="C960" i="2"/>
  <c r="D960" i="2"/>
  <c r="E960" i="2"/>
  <c r="G960" i="2"/>
  <c r="H960" i="2"/>
  <c r="I960" i="2"/>
  <c r="K960" i="2"/>
  <c r="L960" i="2"/>
  <c r="M960" i="2"/>
  <c r="A961" i="2"/>
  <c r="B961" i="2"/>
  <c r="C961" i="2"/>
  <c r="D961" i="2"/>
  <c r="E961" i="2"/>
  <c r="G961" i="2"/>
  <c r="N961" i="2" s="1"/>
  <c r="H961" i="2"/>
  <c r="I961" i="2"/>
  <c r="K961" i="2"/>
  <c r="L961" i="2"/>
  <c r="M961" i="2"/>
  <c r="A962" i="2"/>
  <c r="B962" i="2"/>
  <c r="C962" i="2"/>
  <c r="D962" i="2"/>
  <c r="E962" i="2"/>
  <c r="G962" i="2"/>
  <c r="H962" i="2"/>
  <c r="I962" i="2"/>
  <c r="K962" i="2"/>
  <c r="L962" i="2"/>
  <c r="M962" i="2"/>
  <c r="A963" i="2"/>
  <c r="B963" i="2"/>
  <c r="C963" i="2"/>
  <c r="D963" i="2"/>
  <c r="E963" i="2"/>
  <c r="G963" i="2"/>
  <c r="N963" i="2" s="1"/>
  <c r="H963" i="2"/>
  <c r="I963" i="2"/>
  <c r="K963" i="2"/>
  <c r="L963" i="2"/>
  <c r="M963" i="2"/>
  <c r="A964" i="2"/>
  <c r="B964" i="2"/>
  <c r="C964" i="2"/>
  <c r="D964" i="2"/>
  <c r="E964" i="2"/>
  <c r="G964" i="2"/>
  <c r="H964" i="2"/>
  <c r="I964" i="2"/>
  <c r="K964" i="2"/>
  <c r="L964" i="2"/>
  <c r="M964" i="2"/>
  <c r="A965" i="2"/>
  <c r="B965" i="2"/>
  <c r="C965" i="2"/>
  <c r="D965" i="2"/>
  <c r="E965" i="2"/>
  <c r="G965" i="2"/>
  <c r="N965" i="2" s="1"/>
  <c r="H965" i="2"/>
  <c r="I965" i="2"/>
  <c r="K965" i="2"/>
  <c r="L965" i="2"/>
  <c r="M965" i="2"/>
  <c r="A966" i="2"/>
  <c r="B966" i="2"/>
  <c r="C966" i="2"/>
  <c r="D966" i="2"/>
  <c r="E966" i="2"/>
  <c r="G966" i="2"/>
  <c r="H966" i="2"/>
  <c r="I966" i="2"/>
  <c r="K966" i="2"/>
  <c r="L966" i="2"/>
  <c r="M966" i="2"/>
  <c r="A967" i="2"/>
  <c r="B967" i="2"/>
  <c r="C967" i="2"/>
  <c r="D967" i="2"/>
  <c r="E967" i="2"/>
  <c r="G967" i="2"/>
  <c r="N967" i="2" s="1"/>
  <c r="H967" i="2"/>
  <c r="I967" i="2"/>
  <c r="K967" i="2"/>
  <c r="L967" i="2"/>
  <c r="M967" i="2"/>
  <c r="A968" i="2"/>
  <c r="B968" i="2"/>
  <c r="C968" i="2"/>
  <c r="D968" i="2"/>
  <c r="E968" i="2"/>
  <c r="G968" i="2"/>
  <c r="H968" i="2"/>
  <c r="I968" i="2"/>
  <c r="K968" i="2"/>
  <c r="L968" i="2"/>
  <c r="M968" i="2"/>
  <c r="A969" i="2"/>
  <c r="B969" i="2"/>
  <c r="C969" i="2"/>
  <c r="D969" i="2"/>
  <c r="E969" i="2"/>
  <c r="G969" i="2"/>
  <c r="N969" i="2" s="1"/>
  <c r="H969" i="2"/>
  <c r="I969" i="2"/>
  <c r="K969" i="2"/>
  <c r="L969" i="2"/>
  <c r="M969" i="2"/>
  <c r="A970" i="2"/>
  <c r="B970" i="2"/>
  <c r="C970" i="2"/>
  <c r="D970" i="2"/>
  <c r="E970" i="2"/>
  <c r="G970" i="2"/>
  <c r="H970" i="2"/>
  <c r="I970" i="2"/>
  <c r="K970" i="2"/>
  <c r="L970" i="2"/>
  <c r="M970" i="2"/>
  <c r="A971" i="2"/>
  <c r="B971" i="2"/>
  <c r="C971" i="2"/>
  <c r="D971" i="2"/>
  <c r="E971" i="2"/>
  <c r="G971" i="2"/>
  <c r="N971" i="2" s="1"/>
  <c r="H971" i="2"/>
  <c r="I971" i="2"/>
  <c r="K971" i="2"/>
  <c r="L971" i="2"/>
  <c r="M971" i="2"/>
  <c r="A972" i="2"/>
  <c r="B972" i="2"/>
  <c r="C972" i="2"/>
  <c r="D972" i="2"/>
  <c r="E972" i="2"/>
  <c r="G972" i="2"/>
  <c r="H972" i="2"/>
  <c r="I972" i="2"/>
  <c r="K972" i="2"/>
  <c r="L972" i="2"/>
  <c r="M972" i="2"/>
  <c r="A973" i="2"/>
  <c r="B973" i="2"/>
  <c r="C973" i="2"/>
  <c r="D973" i="2"/>
  <c r="E973" i="2"/>
  <c r="G973" i="2"/>
  <c r="N973" i="2" s="1"/>
  <c r="H973" i="2"/>
  <c r="I973" i="2"/>
  <c r="K973" i="2"/>
  <c r="L973" i="2"/>
  <c r="M973" i="2"/>
  <c r="A974" i="2"/>
  <c r="B974" i="2"/>
  <c r="C974" i="2"/>
  <c r="D974" i="2"/>
  <c r="E974" i="2"/>
  <c r="G974" i="2"/>
  <c r="H974" i="2"/>
  <c r="I974" i="2"/>
  <c r="K974" i="2"/>
  <c r="L974" i="2"/>
  <c r="M974" i="2"/>
  <c r="A975" i="2"/>
  <c r="B975" i="2"/>
  <c r="C975" i="2"/>
  <c r="D975" i="2"/>
  <c r="E975" i="2"/>
  <c r="G975" i="2"/>
  <c r="N975" i="2" s="1"/>
  <c r="H975" i="2"/>
  <c r="I975" i="2"/>
  <c r="K975" i="2"/>
  <c r="L975" i="2"/>
  <c r="M975" i="2"/>
  <c r="A976" i="2"/>
  <c r="B976" i="2"/>
  <c r="C976" i="2"/>
  <c r="D976" i="2"/>
  <c r="E976" i="2"/>
  <c r="G976" i="2"/>
  <c r="H976" i="2"/>
  <c r="I976" i="2"/>
  <c r="K976" i="2"/>
  <c r="L976" i="2"/>
  <c r="M976" i="2"/>
  <c r="A977" i="2"/>
  <c r="B977" i="2"/>
  <c r="C977" i="2"/>
  <c r="D977" i="2"/>
  <c r="E977" i="2"/>
  <c r="G977" i="2"/>
  <c r="N977" i="2" s="1"/>
  <c r="H977" i="2"/>
  <c r="I977" i="2"/>
  <c r="K977" i="2"/>
  <c r="L977" i="2"/>
  <c r="M977" i="2"/>
  <c r="A978" i="2"/>
  <c r="B978" i="2"/>
  <c r="C978" i="2"/>
  <c r="D978" i="2"/>
  <c r="E978" i="2"/>
  <c r="G978" i="2"/>
  <c r="H978" i="2"/>
  <c r="I978" i="2"/>
  <c r="K978" i="2"/>
  <c r="L978" i="2"/>
  <c r="M978" i="2"/>
  <c r="A979" i="2"/>
  <c r="B979" i="2"/>
  <c r="C979" i="2"/>
  <c r="D979" i="2"/>
  <c r="E979" i="2"/>
  <c r="F979" i="2" s="1"/>
  <c r="G979" i="2"/>
  <c r="N979" i="2" s="1"/>
  <c r="H979" i="2"/>
  <c r="I979" i="2"/>
  <c r="K979" i="2"/>
  <c r="L979" i="2"/>
  <c r="M979" i="2"/>
  <c r="A980" i="2"/>
  <c r="B980" i="2"/>
  <c r="C980" i="2"/>
  <c r="D980" i="2"/>
  <c r="E980" i="2"/>
  <c r="G980" i="2"/>
  <c r="H980" i="2"/>
  <c r="I980" i="2"/>
  <c r="K980" i="2"/>
  <c r="L980" i="2"/>
  <c r="M980" i="2"/>
  <c r="O980" i="2" s="1"/>
  <c r="A981" i="2"/>
  <c r="B981" i="2"/>
  <c r="C981" i="2"/>
  <c r="D981" i="2"/>
  <c r="E981" i="2"/>
  <c r="G981" i="2"/>
  <c r="H981" i="2"/>
  <c r="P981" i="2" s="1"/>
  <c r="I981" i="2"/>
  <c r="K981" i="2"/>
  <c r="L981" i="2"/>
  <c r="M981" i="2"/>
  <c r="O981" i="2" s="1"/>
  <c r="A982" i="2"/>
  <c r="B982" i="2"/>
  <c r="C982" i="2"/>
  <c r="D982" i="2"/>
  <c r="E982" i="2"/>
  <c r="G982" i="2"/>
  <c r="N982" i="2" s="1"/>
  <c r="H982" i="2"/>
  <c r="I982" i="2"/>
  <c r="K982" i="2"/>
  <c r="L982" i="2"/>
  <c r="M982" i="2"/>
  <c r="A983" i="2"/>
  <c r="B983" i="2"/>
  <c r="C983" i="2"/>
  <c r="D983" i="2"/>
  <c r="E983" i="2"/>
  <c r="F983" i="2" s="1"/>
  <c r="G983" i="2"/>
  <c r="H983" i="2"/>
  <c r="I983" i="2"/>
  <c r="K983" i="2"/>
  <c r="L983" i="2"/>
  <c r="M983" i="2"/>
  <c r="P983" i="2"/>
  <c r="A984" i="2"/>
  <c r="B984" i="2"/>
  <c r="C984" i="2"/>
  <c r="D984" i="2"/>
  <c r="E984" i="2"/>
  <c r="F984" i="2" s="1"/>
  <c r="G984" i="2"/>
  <c r="N984" i="2" s="1"/>
  <c r="H984" i="2"/>
  <c r="I984" i="2"/>
  <c r="K984" i="2"/>
  <c r="L984" i="2"/>
  <c r="M984" i="2"/>
  <c r="O984" i="2" s="1"/>
  <c r="P984" i="2"/>
  <c r="A985" i="2"/>
  <c r="B985" i="2"/>
  <c r="C985" i="2"/>
  <c r="D985" i="2"/>
  <c r="E985" i="2"/>
  <c r="F985" i="2" s="1"/>
  <c r="G985" i="2"/>
  <c r="H985" i="2"/>
  <c r="P985" i="2" s="1"/>
  <c r="I985" i="2"/>
  <c r="K985" i="2"/>
  <c r="L985" i="2"/>
  <c r="M985" i="2"/>
  <c r="A986" i="2"/>
  <c r="B986" i="2"/>
  <c r="C986" i="2"/>
  <c r="D986" i="2"/>
  <c r="E986" i="2"/>
  <c r="G986" i="2"/>
  <c r="P986" i="2" s="1"/>
  <c r="H986" i="2"/>
  <c r="I986" i="2"/>
  <c r="K986" i="2"/>
  <c r="L986" i="2"/>
  <c r="M986" i="2"/>
  <c r="A987" i="2"/>
  <c r="B987" i="2"/>
  <c r="C987" i="2"/>
  <c r="D987" i="2"/>
  <c r="E987" i="2"/>
  <c r="F987" i="2" s="1"/>
  <c r="G987" i="2"/>
  <c r="N987" i="2" s="1"/>
  <c r="H987" i="2"/>
  <c r="I987" i="2"/>
  <c r="K987" i="2"/>
  <c r="L987" i="2"/>
  <c r="M987" i="2"/>
  <c r="A988" i="2"/>
  <c r="B988" i="2"/>
  <c r="C988" i="2"/>
  <c r="D988" i="2"/>
  <c r="E988" i="2"/>
  <c r="G988" i="2"/>
  <c r="H988" i="2"/>
  <c r="I988" i="2"/>
  <c r="K988" i="2"/>
  <c r="L988" i="2"/>
  <c r="M988" i="2"/>
  <c r="O988" i="2" s="1"/>
  <c r="A989" i="2"/>
  <c r="B989" i="2"/>
  <c r="C989" i="2"/>
  <c r="D989" i="2"/>
  <c r="E989" i="2"/>
  <c r="G989" i="2"/>
  <c r="H989" i="2"/>
  <c r="P989" i="2" s="1"/>
  <c r="I989" i="2"/>
  <c r="K989" i="2"/>
  <c r="L989" i="2"/>
  <c r="M989" i="2"/>
  <c r="O989" i="2" s="1"/>
  <c r="A990" i="2"/>
  <c r="B990" i="2"/>
  <c r="C990" i="2"/>
  <c r="D990" i="2"/>
  <c r="E990" i="2"/>
  <c r="G990" i="2"/>
  <c r="N990" i="2" s="1"/>
  <c r="H990" i="2"/>
  <c r="I990" i="2"/>
  <c r="K990" i="2"/>
  <c r="L990" i="2"/>
  <c r="M990" i="2"/>
  <c r="A991" i="2"/>
  <c r="B991" i="2"/>
  <c r="C991" i="2"/>
  <c r="D991" i="2"/>
  <c r="E991" i="2"/>
  <c r="F991" i="2" s="1"/>
  <c r="G991" i="2"/>
  <c r="H991" i="2"/>
  <c r="I991" i="2"/>
  <c r="K991" i="2"/>
  <c r="L991" i="2"/>
  <c r="M991" i="2"/>
  <c r="P991" i="2"/>
  <c r="A992" i="2"/>
  <c r="B992" i="2"/>
  <c r="C992" i="2"/>
  <c r="D992" i="2"/>
  <c r="E992" i="2"/>
  <c r="F992" i="2" s="1"/>
  <c r="G992" i="2"/>
  <c r="N992" i="2" s="1"/>
  <c r="H992" i="2"/>
  <c r="I992" i="2"/>
  <c r="K992" i="2"/>
  <c r="L992" i="2"/>
  <c r="M992" i="2"/>
  <c r="P992" i="2"/>
  <c r="A993" i="2"/>
  <c r="B993" i="2"/>
  <c r="C993" i="2"/>
  <c r="D993" i="2"/>
  <c r="E993" i="2"/>
  <c r="F993" i="2" s="1"/>
  <c r="G993" i="2"/>
  <c r="H993" i="2"/>
  <c r="P993" i="2" s="1"/>
  <c r="I993" i="2"/>
  <c r="K993" i="2"/>
  <c r="L993" i="2"/>
  <c r="M993" i="2"/>
  <c r="A994" i="2"/>
  <c r="B994" i="2"/>
  <c r="C994" i="2"/>
  <c r="D994" i="2"/>
  <c r="E994" i="2"/>
  <c r="G994" i="2"/>
  <c r="P994" i="2" s="1"/>
  <c r="H994" i="2"/>
  <c r="I994" i="2"/>
  <c r="K994" i="2"/>
  <c r="L994" i="2"/>
  <c r="M994" i="2"/>
  <c r="A995" i="2"/>
  <c r="B995" i="2"/>
  <c r="C995" i="2"/>
  <c r="D995" i="2"/>
  <c r="E995" i="2"/>
  <c r="F995" i="2" s="1"/>
  <c r="G995" i="2"/>
  <c r="N995" i="2" s="1"/>
  <c r="H995" i="2"/>
  <c r="I995" i="2"/>
  <c r="K995" i="2"/>
  <c r="L995" i="2"/>
  <c r="M995" i="2"/>
  <c r="A996" i="2"/>
  <c r="B996" i="2"/>
  <c r="C996" i="2"/>
  <c r="D996" i="2"/>
  <c r="E996" i="2"/>
  <c r="F996" i="2" s="1"/>
  <c r="G996" i="2"/>
  <c r="H996" i="2"/>
  <c r="I996" i="2"/>
  <c r="K996" i="2"/>
  <c r="O996" i="2" s="1"/>
  <c r="L996" i="2"/>
  <c r="M996" i="2"/>
  <c r="P996" i="2"/>
  <c r="A997" i="2"/>
  <c r="B997" i="2"/>
  <c r="C997" i="2"/>
  <c r="D997" i="2"/>
  <c r="E997" i="2"/>
  <c r="F997" i="2" s="1"/>
  <c r="G997" i="2"/>
  <c r="N997" i="2" s="1"/>
  <c r="H997" i="2"/>
  <c r="I997" i="2"/>
  <c r="K997" i="2"/>
  <c r="L997" i="2"/>
  <c r="M997" i="2"/>
  <c r="P997" i="2"/>
  <c r="A998" i="2"/>
  <c r="B998" i="2"/>
  <c r="C998" i="2"/>
  <c r="D998" i="2"/>
  <c r="E998" i="2"/>
  <c r="F998" i="2" s="1"/>
  <c r="G998" i="2"/>
  <c r="H998" i="2"/>
  <c r="P998" i="2" s="1"/>
  <c r="I998" i="2"/>
  <c r="K998" i="2"/>
  <c r="L998" i="2"/>
  <c r="M998" i="2"/>
  <c r="A999" i="2"/>
  <c r="B999" i="2"/>
  <c r="C999" i="2"/>
  <c r="D999" i="2"/>
  <c r="E999" i="2"/>
  <c r="G999" i="2"/>
  <c r="H999" i="2"/>
  <c r="I999" i="2"/>
  <c r="K999" i="2"/>
  <c r="L999" i="2"/>
  <c r="M999" i="2"/>
  <c r="A1000" i="2"/>
  <c r="B1000" i="2"/>
  <c r="C1000" i="2"/>
  <c r="D1000" i="2"/>
  <c r="E1000" i="2"/>
  <c r="F1000" i="2" s="1"/>
  <c r="G1000" i="2"/>
  <c r="N1000" i="2" s="1"/>
  <c r="H1000" i="2"/>
  <c r="I1000" i="2"/>
  <c r="K1000" i="2"/>
  <c r="L1000" i="2"/>
  <c r="M1000" i="2"/>
  <c r="A1001" i="2"/>
  <c r="B1001" i="2"/>
  <c r="C1001" i="2"/>
  <c r="D1001" i="2"/>
  <c r="E1001" i="2"/>
  <c r="F1001" i="2" s="1"/>
  <c r="G1001" i="2"/>
  <c r="H1001" i="2"/>
  <c r="I1001" i="2"/>
  <c r="K1001" i="2"/>
  <c r="L1001" i="2"/>
  <c r="M1001" i="2"/>
  <c r="P2" i="2"/>
  <c r="M2" i="2"/>
  <c r="B2" i="2"/>
  <c r="C2" i="2"/>
  <c r="D2" i="2"/>
  <c r="E2" i="2"/>
  <c r="F2" i="2" s="1"/>
  <c r="G2" i="2"/>
  <c r="H2" i="2"/>
  <c r="I2" i="2"/>
  <c r="K2" i="2"/>
  <c r="O2" i="2" s="1"/>
  <c r="L2" i="2"/>
  <c r="A2" i="2"/>
  <c r="P979" i="2" l="1"/>
  <c r="O906" i="2"/>
  <c r="O1000" i="2"/>
  <c r="N998" i="2"/>
  <c r="N993" i="2"/>
  <c r="P990" i="2"/>
  <c r="F990" i="2"/>
  <c r="O987" i="2"/>
  <c r="N985" i="2"/>
  <c r="P982" i="2"/>
  <c r="F982" i="2"/>
  <c r="O979" i="2"/>
  <c r="F977" i="2"/>
  <c r="F975" i="2"/>
  <c r="F973" i="2"/>
  <c r="F971" i="2"/>
  <c r="F969" i="2"/>
  <c r="F967" i="2"/>
  <c r="F965" i="2"/>
  <c r="F963" i="2"/>
  <c r="F961" i="2"/>
  <c r="F959" i="2"/>
  <c r="F957" i="2"/>
  <c r="F955" i="2"/>
  <c r="F953" i="2"/>
  <c r="F951" i="2"/>
  <c r="O893" i="2"/>
  <c r="P856" i="2"/>
  <c r="P854" i="2"/>
  <c r="F828" i="2"/>
  <c r="P822" i="2"/>
  <c r="F796" i="2"/>
  <c r="P790" i="2"/>
  <c r="F502" i="2"/>
  <c r="P500" i="2"/>
  <c r="N500" i="2"/>
  <c r="O994" i="2"/>
  <c r="O908" i="2"/>
  <c r="O990" i="2"/>
  <c r="N988" i="2"/>
  <c r="O982" i="2"/>
  <c r="N980" i="2"/>
  <c r="O977" i="2"/>
  <c r="O975" i="2"/>
  <c r="O973" i="2"/>
  <c r="O971" i="2"/>
  <c r="O969" i="2"/>
  <c r="O967" i="2"/>
  <c r="O965" i="2"/>
  <c r="O963" i="2"/>
  <c r="O961" i="2"/>
  <c r="O959" i="2"/>
  <c r="O957" i="2"/>
  <c r="O955" i="2"/>
  <c r="O953" i="2"/>
  <c r="O951" i="2"/>
  <c r="P676" i="2"/>
  <c r="N676" i="2"/>
  <c r="N516" i="2"/>
  <c r="O516" i="2"/>
  <c r="N2" i="2"/>
  <c r="O997" i="2"/>
  <c r="O992" i="2"/>
  <c r="N1001" i="2"/>
  <c r="N996" i="2"/>
  <c r="O995" i="2"/>
  <c r="O993" i="2"/>
  <c r="N991" i="2"/>
  <c r="P988" i="2"/>
  <c r="F988" i="2"/>
  <c r="O985" i="2"/>
  <c r="N983" i="2"/>
  <c r="P980" i="2"/>
  <c r="F980" i="2"/>
  <c r="P897" i="2"/>
  <c r="O896" i="2"/>
  <c r="O894" i="2"/>
  <c r="O885" i="2"/>
  <c r="P831" i="2"/>
  <c r="P829" i="2"/>
  <c r="P799" i="2"/>
  <c r="P797" i="2"/>
  <c r="F704" i="2"/>
  <c r="O649" i="2"/>
  <c r="N649" i="2"/>
  <c r="P588" i="2"/>
  <c r="N588" i="2"/>
  <c r="N561" i="2"/>
  <c r="O561" i="2"/>
  <c r="N908" i="2"/>
  <c r="O907" i="2"/>
  <c r="N900" i="2"/>
  <c r="O899" i="2"/>
  <c r="F886" i="2"/>
  <c r="O883" i="2"/>
  <c r="F835" i="2"/>
  <c r="F803" i="2"/>
  <c r="P987" i="2"/>
  <c r="N999" i="2"/>
  <c r="N978" i="2"/>
  <c r="N974" i="2"/>
  <c r="N970" i="2"/>
  <c r="N964" i="2"/>
  <c r="N958" i="2"/>
  <c r="N956" i="2"/>
  <c r="N954" i="2"/>
  <c r="N952" i="2"/>
  <c r="O1001" i="2"/>
  <c r="P999" i="2"/>
  <c r="F999" i="2"/>
  <c r="O998" i="2"/>
  <c r="F994" i="2"/>
  <c r="O991" i="2"/>
  <c r="N989" i="2"/>
  <c r="F986" i="2"/>
  <c r="O983" i="2"/>
  <c r="N981" i="2"/>
  <c r="P978" i="2"/>
  <c r="F978" i="2"/>
  <c r="F976" i="2"/>
  <c r="F974" i="2"/>
  <c r="F972" i="2"/>
  <c r="F970" i="2"/>
  <c r="F968" i="2"/>
  <c r="F966" i="2"/>
  <c r="F964" i="2"/>
  <c r="F962" i="2"/>
  <c r="F960" i="2"/>
  <c r="F958" i="2"/>
  <c r="F956" i="2"/>
  <c r="F954" i="2"/>
  <c r="F952" i="2"/>
  <c r="F950" i="2"/>
  <c r="F948" i="2"/>
  <c r="F946" i="2"/>
  <c r="F944" i="2"/>
  <c r="F942" i="2"/>
  <c r="F940" i="2"/>
  <c r="F908" i="2"/>
  <c r="F844" i="2"/>
  <c r="P838" i="2"/>
  <c r="F812" i="2"/>
  <c r="P806" i="2"/>
  <c r="F780" i="2"/>
  <c r="P770" i="2"/>
  <c r="N722" i="2"/>
  <c r="O722" i="2"/>
  <c r="F631" i="2"/>
  <c r="N625" i="2"/>
  <c r="O625" i="2"/>
  <c r="N620" i="2"/>
  <c r="O620" i="2"/>
  <c r="O607" i="2"/>
  <c r="N566" i="2"/>
  <c r="O566" i="2"/>
  <c r="O999" i="2"/>
  <c r="N994" i="2"/>
  <c r="N986" i="2"/>
  <c r="N976" i="2"/>
  <c r="N972" i="2"/>
  <c r="N968" i="2"/>
  <c r="N966" i="2"/>
  <c r="N962" i="2"/>
  <c r="N960" i="2"/>
  <c r="F989" i="2"/>
  <c r="O986" i="2"/>
  <c r="F981" i="2"/>
  <c r="O978" i="2"/>
  <c r="O976" i="2"/>
  <c r="O974" i="2"/>
  <c r="O972" i="2"/>
  <c r="O970" i="2"/>
  <c r="O968" i="2"/>
  <c r="O966" i="2"/>
  <c r="O964" i="2"/>
  <c r="O962" i="2"/>
  <c r="O960" i="2"/>
  <c r="O958" i="2"/>
  <c r="O956" i="2"/>
  <c r="O954" i="2"/>
  <c r="O952" i="2"/>
  <c r="O950" i="2"/>
  <c r="O948" i="2"/>
  <c r="O946" i="2"/>
  <c r="O944" i="2"/>
  <c r="O942" i="2"/>
  <c r="O940" i="2"/>
  <c r="O938" i="2"/>
  <c r="P872" i="2"/>
  <c r="N742" i="2"/>
  <c r="P742" i="2"/>
  <c r="F577" i="2"/>
  <c r="P732" i="2"/>
  <c r="N732" i="2"/>
  <c r="O689" i="2"/>
  <c r="N689" i="2"/>
  <c r="N660" i="2"/>
  <c r="O660" i="2"/>
  <c r="P652" i="2"/>
  <c r="N652" i="2"/>
  <c r="P569" i="2"/>
  <c r="N569" i="2"/>
  <c r="N338" i="2"/>
  <c r="P338" i="2"/>
  <c r="N159" i="2"/>
  <c r="O159" i="2"/>
  <c r="N150" i="2"/>
  <c r="O150" i="2"/>
  <c r="N146" i="2"/>
  <c r="O146" i="2"/>
  <c r="N142" i="2"/>
  <c r="O142" i="2"/>
  <c r="N138" i="2"/>
  <c r="O138" i="2"/>
  <c r="N134" i="2"/>
  <c r="O134" i="2"/>
  <c r="N130" i="2"/>
  <c r="O130" i="2"/>
  <c r="N126" i="2"/>
  <c r="O126" i="2"/>
  <c r="N111" i="2"/>
  <c r="P111" i="2"/>
  <c r="P54" i="2"/>
  <c r="N54" i="2"/>
  <c r="O936" i="2"/>
  <c r="O934" i="2"/>
  <c r="O932" i="2"/>
  <c r="O930" i="2"/>
  <c r="O928" i="2"/>
  <c r="O926" i="2"/>
  <c r="O924" i="2"/>
  <c r="O922" i="2"/>
  <c r="O920" i="2"/>
  <c r="O918" i="2"/>
  <c r="O916" i="2"/>
  <c r="O914" i="2"/>
  <c r="O912" i="2"/>
  <c r="O910" i="2"/>
  <c r="F900" i="2"/>
  <c r="P898" i="2"/>
  <c r="F897" i="2"/>
  <c r="F894" i="2"/>
  <c r="O887" i="2"/>
  <c r="P884" i="2"/>
  <c r="N881" i="2"/>
  <c r="O880" i="2"/>
  <c r="O878" i="2"/>
  <c r="O875" i="2"/>
  <c r="N874" i="2"/>
  <c r="F871" i="2"/>
  <c r="P867" i="2"/>
  <c r="F862" i="2"/>
  <c r="O859" i="2"/>
  <c r="O852" i="2"/>
  <c r="O843" i="2"/>
  <c r="F837" i="2"/>
  <c r="O836" i="2"/>
  <c r="O827" i="2"/>
  <c r="F821" i="2"/>
  <c r="O820" i="2"/>
  <c r="O811" i="2"/>
  <c r="F805" i="2"/>
  <c r="O804" i="2"/>
  <c r="O795" i="2"/>
  <c r="F789" i="2"/>
  <c r="O788" i="2"/>
  <c r="O779" i="2"/>
  <c r="F767" i="2"/>
  <c r="O764" i="2"/>
  <c r="O715" i="2"/>
  <c r="F711" i="2"/>
  <c r="P695" i="2"/>
  <c r="F675" i="2"/>
  <c r="F668" i="2"/>
  <c r="F661" i="2"/>
  <c r="F654" i="2"/>
  <c r="F636" i="2"/>
  <c r="N630" i="2"/>
  <c r="O630" i="2"/>
  <c r="O602" i="2"/>
  <c r="P599" i="2"/>
  <c r="N598" i="2"/>
  <c r="O597" i="2"/>
  <c r="F587" i="2"/>
  <c r="P564" i="2"/>
  <c r="N564" i="2"/>
  <c r="P548" i="2"/>
  <c r="N548" i="2"/>
  <c r="N902" i="2"/>
  <c r="N892" i="2"/>
  <c r="N889" i="2"/>
  <c r="O886" i="2"/>
  <c r="N877" i="2"/>
  <c r="O876" i="2"/>
  <c r="O871" i="2"/>
  <c r="N870" i="2"/>
  <c r="N865" i="2"/>
  <c r="O864" i="2"/>
  <c r="O862" i="2"/>
  <c r="P786" i="2"/>
  <c r="F783" i="2"/>
  <c r="P779" i="2"/>
  <c r="P777" i="2"/>
  <c r="F744" i="2"/>
  <c r="F719" i="2"/>
  <c r="O711" i="2"/>
  <c r="P684" i="2"/>
  <c r="N684" i="2"/>
  <c r="F679" i="2"/>
  <c r="P677" i="2"/>
  <c r="O675" i="2"/>
  <c r="O668" i="2"/>
  <c r="O661" i="2"/>
  <c r="F657" i="2"/>
  <c r="F650" i="2"/>
  <c r="P648" i="2"/>
  <c r="N636" i="2"/>
  <c r="F621" i="2"/>
  <c r="F606" i="2"/>
  <c r="P589" i="2"/>
  <c r="O587" i="2"/>
  <c r="F567" i="2"/>
  <c r="F562" i="2"/>
  <c r="N556" i="2"/>
  <c r="O556" i="2"/>
  <c r="O553" i="2"/>
  <c r="O949" i="2"/>
  <c r="O947" i="2"/>
  <c r="O945" i="2"/>
  <c r="O943" i="2"/>
  <c r="O941" i="2"/>
  <c r="O939" i="2"/>
  <c r="O937" i="2"/>
  <c r="O935" i="2"/>
  <c r="O933" i="2"/>
  <c r="O931" i="2"/>
  <c r="O929" i="2"/>
  <c r="O927" i="2"/>
  <c r="O925" i="2"/>
  <c r="O923" i="2"/>
  <c r="O921" i="2"/>
  <c r="O919" i="2"/>
  <c r="O917" i="2"/>
  <c r="O915" i="2"/>
  <c r="O913" i="2"/>
  <c r="O911" i="2"/>
  <c r="O909" i="2"/>
  <c r="N899" i="2"/>
  <c r="F892" i="2"/>
  <c r="P890" i="2"/>
  <c r="F889" i="2"/>
  <c r="O888" i="2"/>
  <c r="P878" i="2"/>
  <c r="F877" i="2"/>
  <c r="O874" i="2"/>
  <c r="F870" i="2"/>
  <c r="P868" i="2"/>
  <c r="P866" i="2"/>
  <c r="F865" i="2"/>
  <c r="F863" i="2"/>
  <c r="N861" i="2"/>
  <c r="O860" i="2"/>
  <c r="O858" i="2"/>
  <c r="O851" i="2"/>
  <c r="F845" i="2"/>
  <c r="O844" i="2"/>
  <c r="N843" i="2"/>
  <c r="O835" i="2"/>
  <c r="F829" i="2"/>
  <c r="O828" i="2"/>
  <c r="N827" i="2"/>
  <c r="O819" i="2"/>
  <c r="F813" i="2"/>
  <c r="O812" i="2"/>
  <c r="N811" i="2"/>
  <c r="O803" i="2"/>
  <c r="F797" i="2"/>
  <c r="O796" i="2"/>
  <c r="N795" i="2"/>
  <c r="O787" i="2"/>
  <c r="F781" i="2"/>
  <c r="O780" i="2"/>
  <c r="N779" i="2"/>
  <c r="F751" i="2"/>
  <c r="P747" i="2"/>
  <c r="P745" i="2"/>
  <c r="N714" i="2"/>
  <c r="O714" i="2"/>
  <c r="P705" i="2"/>
  <c r="N705" i="2"/>
  <c r="F616" i="2"/>
  <c r="F611" i="2"/>
  <c r="P430" i="2"/>
  <c r="N430" i="2"/>
  <c r="N907" i="2"/>
  <c r="N896" i="2"/>
  <c r="N893" i="2"/>
  <c r="N890" i="2"/>
  <c r="N885" i="2"/>
  <c r="O879" i="2"/>
  <c r="N878" i="2"/>
  <c r="N866" i="2"/>
  <c r="N848" i="2"/>
  <c r="N832" i="2"/>
  <c r="N816" i="2"/>
  <c r="N800" i="2"/>
  <c r="N784" i="2"/>
  <c r="O681" i="2"/>
  <c r="N681" i="2"/>
  <c r="P633" i="2"/>
  <c r="N633" i="2"/>
  <c r="O458" i="2"/>
  <c r="O453" i="2"/>
  <c r="O448" i="2"/>
  <c r="O443" i="2"/>
  <c r="N950" i="2"/>
  <c r="N948" i="2"/>
  <c r="N946" i="2"/>
  <c r="N944" i="2"/>
  <c r="N942" i="2"/>
  <c r="N940" i="2"/>
  <c r="N938" i="2"/>
  <c r="N936" i="2"/>
  <c r="N934" i="2"/>
  <c r="N932" i="2"/>
  <c r="N930" i="2"/>
  <c r="N928" i="2"/>
  <c r="N926" i="2"/>
  <c r="N924" i="2"/>
  <c r="N922" i="2"/>
  <c r="N920" i="2"/>
  <c r="N918" i="2"/>
  <c r="N916" i="2"/>
  <c r="N914" i="2"/>
  <c r="N912" i="2"/>
  <c r="N910" i="2"/>
  <c r="N903" i="2"/>
  <c r="F896" i="2"/>
  <c r="P894" i="2"/>
  <c r="F893" i="2"/>
  <c r="F890" i="2"/>
  <c r="F885" i="2"/>
  <c r="F878" i="2"/>
  <c r="P876" i="2"/>
  <c r="N873" i="2"/>
  <c r="F866" i="2"/>
  <c r="P864" i="2"/>
  <c r="P862" i="2"/>
  <c r="N857" i="2"/>
  <c r="O854" i="2"/>
  <c r="P848" i="2"/>
  <c r="N846" i="2"/>
  <c r="P832" i="2"/>
  <c r="F832" i="2"/>
  <c r="N830" i="2"/>
  <c r="P816" i="2"/>
  <c r="F816" i="2"/>
  <c r="N814" i="2"/>
  <c r="P800" i="2"/>
  <c r="F800" i="2"/>
  <c r="N798" i="2"/>
  <c r="P784" i="2"/>
  <c r="F784" i="2"/>
  <c r="N782" i="2"/>
  <c r="N771" i="2"/>
  <c r="F758" i="2"/>
  <c r="P756" i="2"/>
  <c r="O755" i="2"/>
  <c r="P739" i="2"/>
  <c r="P725" i="2"/>
  <c r="F722" i="2"/>
  <c r="F701" i="2"/>
  <c r="F682" i="2"/>
  <c r="P680" i="2"/>
  <c r="N665" i="2"/>
  <c r="O664" i="2"/>
  <c r="N650" i="2"/>
  <c r="F643" i="2"/>
  <c r="P628" i="2"/>
  <c r="N628" i="2"/>
  <c r="O621" i="2"/>
  <c r="O606" i="2"/>
  <c r="F592" i="2"/>
  <c r="P584" i="2"/>
  <c r="P574" i="2"/>
  <c r="N574" i="2"/>
  <c r="O567" i="2"/>
  <c r="O562" i="2"/>
  <c r="N473" i="2"/>
  <c r="O473" i="2"/>
  <c r="N768" i="2"/>
  <c r="F756" i="2"/>
  <c r="N752" i="2"/>
  <c r="P750" i="2"/>
  <c r="F747" i="2"/>
  <c r="F745" i="2"/>
  <c r="O744" i="2"/>
  <c r="P743" i="2"/>
  <c r="O741" i="2"/>
  <c r="N736" i="2"/>
  <c r="P733" i="2"/>
  <c r="P713" i="2"/>
  <c r="P710" i="2"/>
  <c r="O708" i="2"/>
  <c r="O704" i="2"/>
  <c r="P688" i="2"/>
  <c r="P685" i="2"/>
  <c r="O679" i="2"/>
  <c r="P673" i="2"/>
  <c r="P666" i="2"/>
  <c r="P663" i="2"/>
  <c r="O657" i="2"/>
  <c r="O647" i="2"/>
  <c r="P641" i="2"/>
  <c r="P634" i="2"/>
  <c r="P629" i="2"/>
  <c r="P624" i="2"/>
  <c r="P614" i="2"/>
  <c r="P609" i="2"/>
  <c r="O604" i="2"/>
  <c r="P604" i="2"/>
  <c r="P575" i="2"/>
  <c r="P570" i="2"/>
  <c r="P565" i="2"/>
  <c r="P560" i="2"/>
  <c r="O527" i="2"/>
  <c r="F522" i="2"/>
  <c r="F517" i="2"/>
  <c r="O514" i="2"/>
  <c r="F512" i="2"/>
  <c r="P510" i="2"/>
  <c r="N510" i="2"/>
  <c r="O509" i="2"/>
  <c r="F507" i="2"/>
  <c r="P505" i="2"/>
  <c r="N505" i="2"/>
  <c r="F433" i="2"/>
  <c r="F400" i="2"/>
  <c r="P768" i="2"/>
  <c r="N766" i="2"/>
  <c r="O751" i="2"/>
  <c r="N750" i="2"/>
  <c r="N743" i="2"/>
  <c r="O738" i="2"/>
  <c r="O735" i="2"/>
  <c r="O716" i="2"/>
  <c r="O712" i="2"/>
  <c r="O697" i="2"/>
  <c r="O692" i="2"/>
  <c r="O687" i="2"/>
  <c r="P678" i="2"/>
  <c r="N673" i="2"/>
  <c r="O672" i="2"/>
  <c r="P656" i="2"/>
  <c r="P653" i="2"/>
  <c r="P646" i="2"/>
  <c r="N641" i="2"/>
  <c r="O640" i="2"/>
  <c r="P615" i="2"/>
  <c r="N614" i="2"/>
  <c r="P610" i="2"/>
  <c r="N609" i="2"/>
  <c r="P600" i="2"/>
  <c r="P590" i="2"/>
  <c r="P585" i="2"/>
  <c r="P580" i="2"/>
  <c r="N542" i="2"/>
  <c r="O542" i="2"/>
  <c r="P489" i="2"/>
  <c r="N489" i="2"/>
  <c r="O488" i="2"/>
  <c r="N468" i="2"/>
  <c r="O468" i="2"/>
  <c r="O439" i="2"/>
  <c r="P355" i="2"/>
  <c r="N355" i="2"/>
  <c r="F775" i="2"/>
  <c r="P771" i="2"/>
  <c r="P769" i="2"/>
  <c r="F766" i="2"/>
  <c r="P762" i="2"/>
  <c r="F759" i="2"/>
  <c r="P755" i="2"/>
  <c r="P753" i="2"/>
  <c r="F750" i="2"/>
  <c r="P746" i="2"/>
  <c r="N740" i="2"/>
  <c r="N737" i="2"/>
  <c r="P734" i="2"/>
  <c r="N729" i="2"/>
  <c r="O728" i="2"/>
  <c r="N721" i="2"/>
  <c r="O720" i="2"/>
  <c r="P714" i="2"/>
  <c r="N706" i="2"/>
  <c r="P696" i="2"/>
  <c r="P686" i="2"/>
  <c r="P681" i="2"/>
  <c r="O665" i="2"/>
  <c r="P660" i="2"/>
  <c r="O655" i="2"/>
  <c r="P649" i="2"/>
  <c r="P642" i="2"/>
  <c r="P639" i="2"/>
  <c r="P630" i="2"/>
  <c r="P625" i="2"/>
  <c r="P620" i="2"/>
  <c r="P591" i="2"/>
  <c r="N590" i="2"/>
  <c r="P586" i="2"/>
  <c r="N585" i="2"/>
  <c r="P581" i="2"/>
  <c r="N580" i="2"/>
  <c r="P576" i="2"/>
  <c r="P566" i="2"/>
  <c r="P561" i="2"/>
  <c r="P556" i="2"/>
  <c r="N537" i="2"/>
  <c r="O537" i="2"/>
  <c r="P494" i="2"/>
  <c r="N494" i="2"/>
  <c r="O493" i="2"/>
  <c r="P484" i="2"/>
  <c r="N484" i="2"/>
  <c r="O483" i="2"/>
  <c r="O454" i="2"/>
  <c r="O449" i="2"/>
  <c r="O444" i="2"/>
  <c r="F438" i="2"/>
  <c r="P436" i="2"/>
  <c r="N436" i="2"/>
  <c r="N428" i="2"/>
  <c r="P394" i="2"/>
  <c r="P173" i="2"/>
  <c r="N173" i="2"/>
  <c r="N755" i="2"/>
  <c r="N748" i="2"/>
  <c r="N746" i="2"/>
  <c r="P722" i="2"/>
  <c r="O705" i="2"/>
  <c r="O695" i="2"/>
  <c r="P689" i="2"/>
  <c r="O680" i="2"/>
  <c r="O498" i="2"/>
  <c r="N457" i="2"/>
  <c r="O457" i="2"/>
  <c r="N452" i="2"/>
  <c r="O452" i="2"/>
  <c r="N399" i="2"/>
  <c r="N185" i="2"/>
  <c r="O185" i="2"/>
  <c r="N776" i="2"/>
  <c r="F764" i="2"/>
  <c r="N760" i="2"/>
  <c r="N744" i="2"/>
  <c r="N741" i="2"/>
  <c r="P708" i="2"/>
  <c r="P704" i="2"/>
  <c r="P701" i="2"/>
  <c r="N700" i="2"/>
  <c r="P694" i="2"/>
  <c r="O688" i="2"/>
  <c r="O682" i="2"/>
  <c r="P682" i="2"/>
  <c r="O663" i="2"/>
  <c r="P657" i="2"/>
  <c r="O650" i="2"/>
  <c r="P650" i="2"/>
  <c r="P647" i="2"/>
  <c r="O641" i="2"/>
  <c r="O636" i="2"/>
  <c r="P636" i="2"/>
  <c r="P607" i="2"/>
  <c r="N606" i="2"/>
  <c r="P602" i="2"/>
  <c r="N601" i="2"/>
  <c r="P597" i="2"/>
  <c r="N596" i="2"/>
  <c r="P592" i="2"/>
  <c r="O582" i="2"/>
  <c r="P582" i="2"/>
  <c r="O577" i="2"/>
  <c r="P577" i="2"/>
  <c r="O572" i="2"/>
  <c r="P572" i="2"/>
  <c r="N526" i="2"/>
  <c r="O526" i="2"/>
  <c r="F497" i="2"/>
  <c r="N478" i="2"/>
  <c r="O478" i="2"/>
  <c r="O463" i="2"/>
  <c r="F458" i="2"/>
  <c r="F453" i="2"/>
  <c r="F448" i="2"/>
  <c r="P446" i="2"/>
  <c r="N446" i="2"/>
  <c r="F443" i="2"/>
  <c r="P441" i="2"/>
  <c r="N441" i="2"/>
  <c r="F412" i="2"/>
  <c r="O172" i="2"/>
  <c r="F776" i="2"/>
  <c r="N774" i="2"/>
  <c r="F760" i="2"/>
  <c r="N751" i="2"/>
  <c r="O750" i="2"/>
  <c r="O743" i="2"/>
  <c r="O703" i="2"/>
  <c r="P687" i="2"/>
  <c r="P672" i="2"/>
  <c r="P669" i="2"/>
  <c r="N668" i="2"/>
  <c r="P662" i="2"/>
  <c r="N657" i="2"/>
  <c r="O656" i="2"/>
  <c r="N532" i="2"/>
  <c r="O532" i="2"/>
  <c r="F527" i="2"/>
  <c r="P425" i="2"/>
  <c r="N425" i="2"/>
  <c r="P420" i="2"/>
  <c r="N420" i="2"/>
  <c r="N183" i="2"/>
  <c r="O183" i="2"/>
  <c r="P174" i="2"/>
  <c r="N174" i="2"/>
  <c r="P544" i="2"/>
  <c r="P534" i="2"/>
  <c r="P529" i="2"/>
  <c r="P524" i="2"/>
  <c r="P495" i="2"/>
  <c r="P490" i="2"/>
  <c r="P485" i="2"/>
  <c r="P480" i="2"/>
  <c r="P470" i="2"/>
  <c r="P465" i="2"/>
  <c r="P460" i="2"/>
  <c r="P431" i="2"/>
  <c r="P426" i="2"/>
  <c r="P421" i="2"/>
  <c r="P416" i="2"/>
  <c r="O407" i="2"/>
  <c r="P406" i="2"/>
  <c r="P404" i="2"/>
  <c r="F397" i="2"/>
  <c r="P389" i="2"/>
  <c r="P386" i="2"/>
  <c r="F385" i="2"/>
  <c r="F382" i="2"/>
  <c r="O369" i="2"/>
  <c r="F359" i="2"/>
  <c r="F309" i="2"/>
  <c r="P296" i="2"/>
  <c r="O277" i="2"/>
  <c r="P254" i="2"/>
  <c r="O223" i="2"/>
  <c r="P190" i="2"/>
  <c r="N180" i="2"/>
  <c r="O180" i="2"/>
  <c r="N162" i="2"/>
  <c r="O162" i="2"/>
  <c r="N154" i="2"/>
  <c r="O154" i="2"/>
  <c r="N103" i="2"/>
  <c r="P103" i="2"/>
  <c r="O29" i="2"/>
  <c r="P550" i="2"/>
  <c r="P545" i="2"/>
  <c r="P540" i="2"/>
  <c r="P511" i="2"/>
  <c r="P506" i="2"/>
  <c r="P501" i="2"/>
  <c r="P496" i="2"/>
  <c r="P486" i="2"/>
  <c r="P481" i="2"/>
  <c r="P476" i="2"/>
  <c r="P447" i="2"/>
  <c r="P442" i="2"/>
  <c r="P437" i="2"/>
  <c r="P432" i="2"/>
  <c r="P422" i="2"/>
  <c r="P417" i="2"/>
  <c r="F413" i="2"/>
  <c r="O391" i="2"/>
  <c r="F389" i="2"/>
  <c r="P381" i="2"/>
  <c r="O380" i="2"/>
  <c r="F372" i="2"/>
  <c r="P345" i="2"/>
  <c r="P328" i="2"/>
  <c r="P318" i="2"/>
  <c r="O309" i="2"/>
  <c r="N290" i="2"/>
  <c r="P264" i="2"/>
  <c r="F231" i="2"/>
  <c r="N213" i="2"/>
  <c r="N205" i="2"/>
  <c r="F199" i="2"/>
  <c r="N186" i="2"/>
  <c r="O186" i="2"/>
  <c r="N178" i="2"/>
  <c r="O178" i="2"/>
  <c r="P551" i="2"/>
  <c r="N550" i="2"/>
  <c r="P546" i="2"/>
  <c r="N545" i="2"/>
  <c r="P541" i="2"/>
  <c r="N540" i="2"/>
  <c r="P536" i="2"/>
  <c r="P526" i="2"/>
  <c r="P521" i="2"/>
  <c r="P516" i="2"/>
  <c r="P487" i="2"/>
  <c r="N486" i="2"/>
  <c r="P482" i="2"/>
  <c r="N481" i="2"/>
  <c r="P477" i="2"/>
  <c r="N476" i="2"/>
  <c r="P472" i="2"/>
  <c r="P462" i="2"/>
  <c r="P457" i="2"/>
  <c r="P452" i="2"/>
  <c r="P423" i="2"/>
  <c r="N422" i="2"/>
  <c r="P418" i="2"/>
  <c r="N417" i="2"/>
  <c r="P412" i="2"/>
  <c r="O409" i="2"/>
  <c r="F406" i="2"/>
  <c r="F398" i="2"/>
  <c r="O359" i="2"/>
  <c r="N341" i="2"/>
  <c r="P331" i="2"/>
  <c r="N309" i="2"/>
  <c r="P303" i="2"/>
  <c r="F291" i="2"/>
  <c r="P281" i="2"/>
  <c r="F273" i="2"/>
  <c r="P267" i="2"/>
  <c r="N258" i="2"/>
  <c r="F241" i="2"/>
  <c r="P232" i="2"/>
  <c r="O226" i="2"/>
  <c r="O216" i="2"/>
  <c r="F212" i="2"/>
  <c r="F209" i="2"/>
  <c r="P200" i="2"/>
  <c r="N194" i="2"/>
  <c r="N181" i="2"/>
  <c r="O181" i="2"/>
  <c r="O166" i="2"/>
  <c r="P522" i="2"/>
  <c r="N521" i="2"/>
  <c r="O502" i="2"/>
  <c r="O497" i="2"/>
  <c r="O492" i="2"/>
  <c r="P492" i="2"/>
  <c r="P463" i="2"/>
  <c r="N462" i="2"/>
  <c r="O438" i="2"/>
  <c r="P438" i="2"/>
  <c r="O433" i="2"/>
  <c r="O428" i="2"/>
  <c r="F411" i="2"/>
  <c r="P405" i="2"/>
  <c r="F381" i="2"/>
  <c r="P375" i="2"/>
  <c r="N375" i="2"/>
  <c r="N347" i="2"/>
  <c r="F341" i="2"/>
  <c r="O333" i="2"/>
  <c r="N333" i="2"/>
  <c r="O322" i="2"/>
  <c r="N322" i="2"/>
  <c r="F308" i="2"/>
  <c r="P292" i="2"/>
  <c r="O283" i="2"/>
  <c r="P274" i="2"/>
  <c r="P249" i="2"/>
  <c r="N184" i="2"/>
  <c r="O184" i="2"/>
  <c r="O167" i="2"/>
  <c r="P532" i="2"/>
  <c r="P478" i="2"/>
  <c r="P468" i="2"/>
  <c r="P415" i="2"/>
  <c r="N407" i="2"/>
  <c r="P402" i="2"/>
  <c r="F369" i="2"/>
  <c r="N301" i="2"/>
  <c r="N277" i="2"/>
  <c r="O276" i="2"/>
  <c r="O251" i="2"/>
  <c r="O244" i="2"/>
  <c r="O219" i="2"/>
  <c r="O212" i="2"/>
  <c r="P203" i="2"/>
  <c r="F195" i="2"/>
  <c r="N179" i="2"/>
  <c r="O179" i="2"/>
  <c r="O168" i="2"/>
  <c r="N379" i="2"/>
  <c r="O315" i="2"/>
  <c r="O308" i="2"/>
  <c r="O287" i="2"/>
  <c r="F277" i="2"/>
  <c r="N245" i="2"/>
  <c r="N182" i="2"/>
  <c r="O182" i="2"/>
  <c r="P378" i="2"/>
  <c r="P373" i="2"/>
  <c r="F370" i="2"/>
  <c r="P368" i="2"/>
  <c r="F360" i="2"/>
  <c r="P358" i="2"/>
  <c r="F352" i="2"/>
  <c r="F342" i="2"/>
  <c r="O341" i="2"/>
  <c r="F320" i="2"/>
  <c r="O316" i="2"/>
  <c r="F310" i="2"/>
  <c r="O305" i="2"/>
  <c r="O298" i="2"/>
  <c r="O295" i="2"/>
  <c r="O291" i="2"/>
  <c r="F288" i="2"/>
  <c r="O284" i="2"/>
  <c r="F278" i="2"/>
  <c r="O273" i="2"/>
  <c r="O266" i="2"/>
  <c r="O263" i="2"/>
  <c r="O259" i="2"/>
  <c r="F256" i="2"/>
  <c r="O252" i="2"/>
  <c r="F246" i="2"/>
  <c r="O241" i="2"/>
  <c r="O234" i="2"/>
  <c r="O231" i="2"/>
  <c r="O227" i="2"/>
  <c r="F224" i="2"/>
  <c r="O220" i="2"/>
  <c r="F214" i="2"/>
  <c r="O209" i="2"/>
  <c r="O202" i="2"/>
  <c r="O199" i="2"/>
  <c r="O195" i="2"/>
  <c r="F192" i="2"/>
  <c r="O188" i="2"/>
  <c r="P175" i="2"/>
  <c r="O165" i="2"/>
  <c r="N157" i="2"/>
  <c r="O157" i="2"/>
  <c r="N151" i="2"/>
  <c r="O151" i="2"/>
  <c r="N147" i="2"/>
  <c r="O147" i="2"/>
  <c r="N143" i="2"/>
  <c r="O143" i="2"/>
  <c r="N139" i="2"/>
  <c r="O139" i="2"/>
  <c r="N135" i="2"/>
  <c r="O135" i="2"/>
  <c r="N131" i="2"/>
  <c r="O131" i="2"/>
  <c r="N127" i="2"/>
  <c r="O127" i="2"/>
  <c r="N95" i="2"/>
  <c r="P95" i="2"/>
  <c r="N77" i="2"/>
  <c r="O24" i="2"/>
  <c r="O377" i="2"/>
  <c r="N370" i="2"/>
  <c r="O367" i="2"/>
  <c r="O357" i="2"/>
  <c r="N352" i="2"/>
  <c r="O348" i="2"/>
  <c r="F345" i="2"/>
  <c r="N342" i="2"/>
  <c r="F335" i="2"/>
  <c r="F331" i="2"/>
  <c r="O330" i="2"/>
  <c r="O327" i="2"/>
  <c r="O317" i="2"/>
  <c r="F313" i="2"/>
  <c r="F303" i="2"/>
  <c r="F299" i="2"/>
  <c r="F281" i="2"/>
  <c r="F271" i="2"/>
  <c r="F267" i="2"/>
  <c r="O253" i="2"/>
  <c r="F249" i="2"/>
  <c r="F239" i="2"/>
  <c r="F235" i="2"/>
  <c r="O224" i="2"/>
  <c r="O221" i="2"/>
  <c r="F217" i="2"/>
  <c r="F207" i="2"/>
  <c r="F203" i="2"/>
  <c r="O192" i="2"/>
  <c r="O189" i="2"/>
  <c r="P176" i="2"/>
  <c r="N175" i="2"/>
  <c r="N160" i="2"/>
  <c r="O160" i="2"/>
  <c r="O117" i="2"/>
  <c r="N361" i="2"/>
  <c r="N345" i="2"/>
  <c r="N335" i="2"/>
  <c r="N331" i="2"/>
  <c r="F328" i="2"/>
  <c r="F296" i="2"/>
  <c r="O292" i="2"/>
  <c r="N163" i="2"/>
  <c r="O163" i="2"/>
  <c r="N155" i="2"/>
  <c r="O155" i="2"/>
  <c r="N152" i="2"/>
  <c r="O152" i="2"/>
  <c r="N148" i="2"/>
  <c r="O148" i="2"/>
  <c r="N144" i="2"/>
  <c r="O144" i="2"/>
  <c r="N140" i="2"/>
  <c r="O140" i="2"/>
  <c r="N136" i="2"/>
  <c r="O136" i="2"/>
  <c r="N132" i="2"/>
  <c r="O132" i="2"/>
  <c r="N128" i="2"/>
  <c r="O128" i="2"/>
  <c r="N124" i="2"/>
  <c r="O124" i="2"/>
  <c r="N57" i="2"/>
  <c r="O57" i="2"/>
  <c r="N33" i="2"/>
  <c r="O33" i="2"/>
  <c r="P26" i="2"/>
  <c r="N26" i="2"/>
  <c r="O20" i="2"/>
  <c r="O355" i="2"/>
  <c r="O335" i="2"/>
  <c r="N328" i="2"/>
  <c r="F311" i="2"/>
  <c r="F307" i="2"/>
  <c r="O293" i="2"/>
  <c r="F279" i="2"/>
  <c r="F275" i="2"/>
  <c r="O261" i="2"/>
  <c r="F247" i="2"/>
  <c r="F243" i="2"/>
  <c r="O232" i="2"/>
  <c r="O229" i="2"/>
  <c r="F225" i="2"/>
  <c r="F215" i="2"/>
  <c r="F211" i="2"/>
  <c r="O200" i="2"/>
  <c r="O197" i="2"/>
  <c r="F193" i="2"/>
  <c r="N177" i="2"/>
  <c r="N158" i="2"/>
  <c r="O158" i="2"/>
  <c r="F34" i="2"/>
  <c r="N10" i="2"/>
  <c r="F376" i="2"/>
  <c r="P374" i="2"/>
  <c r="N369" i="2"/>
  <c r="F366" i="2"/>
  <c r="P362" i="2"/>
  <c r="N359" i="2"/>
  <c r="F356" i="2"/>
  <c r="P354" i="2"/>
  <c r="N339" i="2"/>
  <c r="F336" i="2"/>
  <c r="O307" i="2"/>
  <c r="F304" i="2"/>
  <c r="O300" i="2"/>
  <c r="O289" i="2"/>
  <c r="O282" i="2"/>
  <c r="F240" i="2"/>
  <c r="O236" i="2"/>
  <c r="O211" i="2"/>
  <c r="F208" i="2"/>
  <c r="O204" i="2"/>
  <c r="O193" i="2"/>
  <c r="N161" i="2"/>
  <c r="O161" i="2"/>
  <c r="N153" i="2"/>
  <c r="O153" i="2"/>
  <c r="N149" i="2"/>
  <c r="O149" i="2"/>
  <c r="N145" i="2"/>
  <c r="O145" i="2"/>
  <c r="N141" i="2"/>
  <c r="O141" i="2"/>
  <c r="N137" i="2"/>
  <c r="O137" i="2"/>
  <c r="N133" i="2"/>
  <c r="O133" i="2"/>
  <c r="N129" i="2"/>
  <c r="O129" i="2"/>
  <c r="N125" i="2"/>
  <c r="O125" i="2"/>
  <c r="F29" i="2"/>
  <c r="O371" i="2"/>
  <c r="N366" i="2"/>
  <c r="N356" i="2"/>
  <c r="O353" i="2"/>
  <c r="F351" i="2"/>
  <c r="O346" i="2"/>
  <c r="N336" i="2"/>
  <c r="F329" i="2"/>
  <c r="N326" i="2"/>
  <c r="F319" i="2"/>
  <c r="F315" i="2"/>
  <c r="O301" i="2"/>
  <c r="F297" i="2"/>
  <c r="O269" i="2"/>
  <c r="F265" i="2"/>
  <c r="F255" i="2"/>
  <c r="F251" i="2"/>
  <c r="O237" i="2"/>
  <c r="F233" i="2"/>
  <c r="F223" i="2"/>
  <c r="F219" i="2"/>
  <c r="O208" i="2"/>
  <c r="O205" i="2"/>
  <c r="F201" i="2"/>
  <c r="F191" i="2"/>
  <c r="P172" i="2"/>
  <c r="N165" i="2"/>
  <c r="N164" i="2"/>
  <c r="O164" i="2"/>
  <c r="N156" i="2"/>
  <c r="O156" i="2"/>
  <c r="O48" i="2"/>
  <c r="F24" i="2"/>
  <c r="O6" i="2"/>
  <c r="O122" i="2"/>
  <c r="P121" i="2"/>
  <c r="F118" i="2"/>
  <c r="P114" i="2"/>
  <c r="F111" i="2"/>
  <c r="O110" i="2"/>
  <c r="F103" i="2"/>
  <c r="O102" i="2"/>
  <c r="F95" i="2"/>
  <c r="O94" i="2"/>
  <c r="P79" i="2"/>
  <c r="P75" i="2"/>
  <c r="O73" i="2"/>
  <c r="P64" i="2"/>
  <c r="P55" i="2"/>
  <c r="P36" i="2"/>
  <c r="P17" i="2"/>
  <c r="P3" i="2"/>
  <c r="O115" i="2"/>
  <c r="O78" i="2"/>
  <c r="P4" i="2"/>
  <c r="N3" i="2"/>
  <c r="P109" i="2"/>
  <c r="P101" i="2"/>
  <c r="P93" i="2"/>
  <c r="O87" i="2"/>
  <c r="P56" i="2"/>
  <c r="P47" i="2"/>
  <c r="N46" i="2"/>
  <c r="P42" i="2"/>
  <c r="N41" i="2"/>
  <c r="P37" i="2"/>
  <c r="P28" i="2"/>
  <c r="P23" i="2"/>
  <c r="N22" i="2"/>
  <c r="P122" i="2"/>
  <c r="O118" i="2"/>
  <c r="P117" i="2"/>
  <c r="F112" i="2"/>
  <c r="P104" i="2"/>
  <c r="F104" i="2"/>
  <c r="P96" i="2"/>
  <c r="F96" i="2"/>
  <c r="P88" i="2"/>
  <c r="F88" i="2"/>
  <c r="P80" i="2"/>
  <c r="P70" i="2"/>
  <c r="N65" i="2"/>
  <c r="P61" i="2"/>
  <c r="N42" i="2"/>
  <c r="P33" i="2"/>
  <c r="P14" i="2"/>
  <c r="P9" i="2"/>
  <c r="P5" i="2"/>
  <c r="N117" i="2"/>
  <c r="F82" i="2"/>
  <c r="O79" i="2"/>
  <c r="O77" i="2"/>
  <c r="P24" i="2"/>
  <c r="P15" i="2"/>
  <c r="N14" i="2"/>
  <c r="O10" i="2"/>
  <c r="P10" i="2"/>
  <c r="N9" i="2"/>
  <c r="F110" i="2"/>
  <c r="N73" i="2"/>
  <c r="P39" i="2"/>
  <c r="N38" i="2"/>
  <c r="P6" i="2"/>
  <c r="N120" i="2"/>
  <c r="P118" i="2"/>
  <c r="F115" i="2"/>
  <c r="F105" i="2"/>
  <c r="O104" i="2"/>
  <c r="F97" i="2"/>
  <c r="O96" i="2"/>
  <c r="F89" i="2"/>
  <c r="O88" i="2"/>
  <c r="P87" i="2"/>
  <c r="N83" i="2"/>
  <c r="P71" i="2"/>
  <c r="P63" i="2"/>
  <c r="N62" i="2"/>
  <c r="O288" i="2"/>
  <c r="N288" i="2"/>
  <c r="O278" i="2"/>
  <c r="N278" i="2"/>
  <c r="O256" i="2"/>
  <c r="N256" i="2"/>
  <c r="O214" i="2"/>
  <c r="N214" i="2"/>
  <c r="P84" i="2"/>
  <c r="N84" i="2"/>
  <c r="O872" i="2"/>
  <c r="O397" i="2"/>
  <c r="N397" i="2"/>
  <c r="O856" i="2"/>
  <c r="P861" i="2"/>
  <c r="P707" i="2"/>
  <c r="N707" i="2"/>
  <c r="N702" i="2"/>
  <c r="O702" i="2"/>
  <c r="P383" i="2"/>
  <c r="N383" i="2"/>
  <c r="O868" i="2"/>
  <c r="F853" i="2"/>
  <c r="P715" i="2"/>
  <c r="N715" i="2"/>
  <c r="P711" i="2"/>
  <c r="N711" i="2"/>
  <c r="P885" i="2"/>
  <c r="O320" i="2"/>
  <c r="N320" i="2"/>
  <c r="O310" i="2"/>
  <c r="N310" i="2"/>
  <c r="O246" i="2"/>
  <c r="N246" i="2"/>
  <c r="P1001" i="2"/>
  <c r="P1000" i="2"/>
  <c r="P995" i="2"/>
  <c r="P977" i="2"/>
  <c r="P976" i="2"/>
  <c r="P975" i="2"/>
  <c r="P974" i="2"/>
  <c r="P973" i="2"/>
  <c r="P972" i="2"/>
  <c r="P971" i="2"/>
  <c r="P970" i="2"/>
  <c r="P969" i="2"/>
  <c r="P968" i="2"/>
  <c r="P967" i="2"/>
  <c r="P966" i="2"/>
  <c r="P965" i="2"/>
  <c r="P964" i="2"/>
  <c r="P963" i="2"/>
  <c r="P962" i="2"/>
  <c r="P961" i="2"/>
  <c r="P960" i="2"/>
  <c r="P959" i="2"/>
  <c r="P958" i="2"/>
  <c r="P957" i="2"/>
  <c r="P956" i="2"/>
  <c r="P955" i="2"/>
  <c r="P954" i="2"/>
  <c r="P953" i="2"/>
  <c r="P952" i="2"/>
  <c r="P951" i="2"/>
  <c r="P950" i="2"/>
  <c r="P949" i="2"/>
  <c r="P948" i="2"/>
  <c r="P947" i="2"/>
  <c r="P946" i="2"/>
  <c r="P945" i="2"/>
  <c r="P944" i="2"/>
  <c r="P943" i="2"/>
  <c r="P942" i="2"/>
  <c r="P941" i="2"/>
  <c r="P940" i="2"/>
  <c r="P939" i="2"/>
  <c r="P938" i="2"/>
  <c r="P937" i="2"/>
  <c r="P936" i="2"/>
  <c r="P935" i="2"/>
  <c r="P934" i="2"/>
  <c r="P933" i="2"/>
  <c r="P932" i="2"/>
  <c r="P931" i="2"/>
  <c r="P930" i="2"/>
  <c r="P929" i="2"/>
  <c r="P928" i="2"/>
  <c r="P927" i="2"/>
  <c r="P926" i="2"/>
  <c r="P925" i="2"/>
  <c r="P924" i="2"/>
  <c r="P923" i="2"/>
  <c r="P922" i="2"/>
  <c r="P921" i="2"/>
  <c r="P920" i="2"/>
  <c r="P919" i="2"/>
  <c r="P918" i="2"/>
  <c r="P917" i="2"/>
  <c r="P916" i="2"/>
  <c r="P915" i="2"/>
  <c r="P914" i="2"/>
  <c r="P913" i="2"/>
  <c r="P912" i="2"/>
  <c r="P911" i="2"/>
  <c r="P910" i="2"/>
  <c r="P909" i="2"/>
  <c r="P908" i="2"/>
  <c r="P907" i="2"/>
  <c r="N906" i="2"/>
  <c r="P723" i="2"/>
  <c r="N723" i="2"/>
  <c r="P719" i="2"/>
  <c r="N719" i="2"/>
  <c r="P651" i="2"/>
  <c r="N651" i="2"/>
  <c r="N646" i="2"/>
  <c r="O646" i="2"/>
  <c r="O734" i="2"/>
  <c r="N734" i="2"/>
  <c r="F848" i="2"/>
  <c r="O847" i="2"/>
  <c r="O839" i="2"/>
  <c r="O831" i="2"/>
  <c r="O823" i="2"/>
  <c r="O815" i="2"/>
  <c r="O807" i="2"/>
  <c r="O799" i="2"/>
  <c r="O791" i="2"/>
  <c r="O783" i="2"/>
  <c r="O775" i="2"/>
  <c r="O767" i="2"/>
  <c r="O759" i="2"/>
  <c r="P384" i="2"/>
  <c r="N384" i="2"/>
  <c r="O365" i="2"/>
  <c r="N365" i="2"/>
  <c r="O360" i="2"/>
  <c r="N360" i="2"/>
  <c r="O352" i="2"/>
  <c r="O850" i="2"/>
  <c r="O842" i="2"/>
  <c r="O834" i="2"/>
  <c r="O826" i="2"/>
  <c r="O818" i="2"/>
  <c r="O810" i="2"/>
  <c r="O802" i="2"/>
  <c r="O794" i="2"/>
  <c r="O786" i="2"/>
  <c r="O778" i="2"/>
  <c r="O770" i="2"/>
  <c r="O762" i="2"/>
  <c r="O754" i="2"/>
  <c r="O746" i="2"/>
  <c r="P659" i="2"/>
  <c r="N659" i="2"/>
  <c r="N658" i="2"/>
  <c r="N654" i="2"/>
  <c r="O654" i="2"/>
  <c r="P627" i="2"/>
  <c r="N627" i="2"/>
  <c r="N626" i="2"/>
  <c r="P611" i="2"/>
  <c r="N611" i="2"/>
  <c r="N610" i="2"/>
  <c r="P595" i="2"/>
  <c r="N595" i="2"/>
  <c r="N594" i="2"/>
  <c r="P579" i="2"/>
  <c r="N579" i="2"/>
  <c r="N578" i="2"/>
  <c r="P563" i="2"/>
  <c r="N563" i="2"/>
  <c r="N562" i="2"/>
  <c r="P547" i="2"/>
  <c r="N547" i="2"/>
  <c r="N546" i="2"/>
  <c r="P531" i="2"/>
  <c r="N531" i="2"/>
  <c r="N530" i="2"/>
  <c r="P515" i="2"/>
  <c r="N515" i="2"/>
  <c r="N514" i="2"/>
  <c r="P499" i="2"/>
  <c r="N499" i="2"/>
  <c r="N498" i="2"/>
  <c r="P483" i="2"/>
  <c r="N483" i="2"/>
  <c r="N482" i="2"/>
  <c r="P467" i="2"/>
  <c r="N467" i="2"/>
  <c r="N466" i="2"/>
  <c r="P451" i="2"/>
  <c r="N451" i="2"/>
  <c r="N450" i="2"/>
  <c r="P435" i="2"/>
  <c r="N435" i="2"/>
  <c r="N434" i="2"/>
  <c r="P419" i="2"/>
  <c r="N419" i="2"/>
  <c r="N418" i="2"/>
  <c r="F882" i="2"/>
  <c r="O853" i="2"/>
  <c r="N849" i="2"/>
  <c r="O845" i="2"/>
  <c r="N841" i="2"/>
  <c r="O837" i="2"/>
  <c r="N833" i="2"/>
  <c r="O829" i="2"/>
  <c r="N825" i="2"/>
  <c r="O821" i="2"/>
  <c r="N817" i="2"/>
  <c r="O813" i="2"/>
  <c r="N809" i="2"/>
  <c r="O805" i="2"/>
  <c r="N801" i="2"/>
  <c r="O797" i="2"/>
  <c r="N793" i="2"/>
  <c r="O789" i="2"/>
  <c r="N785" i="2"/>
  <c r="O781" i="2"/>
  <c r="N777" i="2"/>
  <c r="O773" i="2"/>
  <c r="N769" i="2"/>
  <c r="O765" i="2"/>
  <c r="N761" i="2"/>
  <c r="O757" i="2"/>
  <c r="N753" i="2"/>
  <c r="O749" i="2"/>
  <c r="P667" i="2"/>
  <c r="N667" i="2"/>
  <c r="N666" i="2"/>
  <c r="N662" i="2"/>
  <c r="O662" i="2"/>
  <c r="N887" i="2"/>
  <c r="N883" i="2"/>
  <c r="N879" i="2"/>
  <c r="N875" i="2"/>
  <c r="N871" i="2"/>
  <c r="N867" i="2"/>
  <c r="N863" i="2"/>
  <c r="N859" i="2"/>
  <c r="N855" i="2"/>
  <c r="N852" i="2"/>
  <c r="F849" i="2"/>
  <c r="O848" i="2"/>
  <c r="N844" i="2"/>
  <c r="F841" i="2"/>
  <c r="O840" i="2"/>
  <c r="N836" i="2"/>
  <c r="F833" i="2"/>
  <c r="O832" i="2"/>
  <c r="N828" i="2"/>
  <c r="F825" i="2"/>
  <c r="O824" i="2"/>
  <c r="N820" i="2"/>
  <c r="F817" i="2"/>
  <c r="O816" i="2"/>
  <c r="N812" i="2"/>
  <c r="F809" i="2"/>
  <c r="O808" i="2"/>
  <c r="N804" i="2"/>
  <c r="F801" i="2"/>
  <c r="O800" i="2"/>
  <c r="N796" i="2"/>
  <c r="F793" i="2"/>
  <c r="O792" i="2"/>
  <c r="N788" i="2"/>
  <c r="F785" i="2"/>
  <c r="O784" i="2"/>
  <c r="N780" i="2"/>
  <c r="F777" i="2"/>
  <c r="O776" i="2"/>
  <c r="N772" i="2"/>
  <c r="F769" i="2"/>
  <c r="O768" i="2"/>
  <c r="N764" i="2"/>
  <c r="F761" i="2"/>
  <c r="O760" i="2"/>
  <c r="N756" i="2"/>
  <c r="F753" i="2"/>
  <c r="O752" i="2"/>
  <c r="P675" i="2"/>
  <c r="N675" i="2"/>
  <c r="N674" i="2"/>
  <c r="N670" i="2"/>
  <c r="O670" i="2"/>
  <c r="N847" i="2"/>
  <c r="N839" i="2"/>
  <c r="N831" i="2"/>
  <c r="N823" i="2"/>
  <c r="N815" i="2"/>
  <c r="N807" i="2"/>
  <c r="N799" i="2"/>
  <c r="N791" i="2"/>
  <c r="N783" i="2"/>
  <c r="N775" i="2"/>
  <c r="N767" i="2"/>
  <c r="N759" i="2"/>
  <c r="P683" i="2"/>
  <c r="N683" i="2"/>
  <c r="N678" i="2"/>
  <c r="O678" i="2"/>
  <c r="N888" i="2"/>
  <c r="N884" i="2"/>
  <c r="N880" i="2"/>
  <c r="N876" i="2"/>
  <c r="N872" i="2"/>
  <c r="N868" i="2"/>
  <c r="N864" i="2"/>
  <c r="N860" i="2"/>
  <c r="N856" i="2"/>
  <c r="N850" i="2"/>
  <c r="O846" i="2"/>
  <c r="N842" i="2"/>
  <c r="O838" i="2"/>
  <c r="N834" i="2"/>
  <c r="O830" i="2"/>
  <c r="N826" i="2"/>
  <c r="O822" i="2"/>
  <c r="N818" i="2"/>
  <c r="O814" i="2"/>
  <c r="N810" i="2"/>
  <c r="O806" i="2"/>
  <c r="N802" i="2"/>
  <c r="O798" i="2"/>
  <c r="N794" i="2"/>
  <c r="O790" i="2"/>
  <c r="N786" i="2"/>
  <c r="O782" i="2"/>
  <c r="N778" i="2"/>
  <c r="O774" i="2"/>
  <c r="N770" i="2"/>
  <c r="O766" i="2"/>
  <c r="N762" i="2"/>
  <c r="O758" i="2"/>
  <c r="N754" i="2"/>
  <c r="P735" i="2"/>
  <c r="N735" i="2"/>
  <c r="N726" i="2"/>
  <c r="P691" i="2"/>
  <c r="N691" i="2"/>
  <c r="N690" i="2"/>
  <c r="N686" i="2"/>
  <c r="O686" i="2"/>
  <c r="P635" i="2"/>
  <c r="N635" i="2"/>
  <c r="N634" i="2"/>
  <c r="P619" i="2"/>
  <c r="N619" i="2"/>
  <c r="N618" i="2"/>
  <c r="P603" i="2"/>
  <c r="N603" i="2"/>
  <c r="N602" i="2"/>
  <c r="P587" i="2"/>
  <c r="N587" i="2"/>
  <c r="N586" i="2"/>
  <c r="P571" i="2"/>
  <c r="N571" i="2"/>
  <c r="N570" i="2"/>
  <c r="P555" i="2"/>
  <c r="N555" i="2"/>
  <c r="N554" i="2"/>
  <c r="P539" i="2"/>
  <c r="N539" i="2"/>
  <c r="N538" i="2"/>
  <c r="P523" i="2"/>
  <c r="N523" i="2"/>
  <c r="N522" i="2"/>
  <c r="P507" i="2"/>
  <c r="N507" i="2"/>
  <c r="N506" i="2"/>
  <c r="P491" i="2"/>
  <c r="N491" i="2"/>
  <c r="N490" i="2"/>
  <c r="P475" i="2"/>
  <c r="N475" i="2"/>
  <c r="N474" i="2"/>
  <c r="P459" i="2"/>
  <c r="N459" i="2"/>
  <c r="N458" i="2"/>
  <c r="P443" i="2"/>
  <c r="N443" i="2"/>
  <c r="N442" i="2"/>
  <c r="P427" i="2"/>
  <c r="N427" i="2"/>
  <c r="N426" i="2"/>
  <c r="F888" i="2"/>
  <c r="F884" i="2"/>
  <c r="F880" i="2"/>
  <c r="F876" i="2"/>
  <c r="F872" i="2"/>
  <c r="F868" i="2"/>
  <c r="F864" i="2"/>
  <c r="F860" i="2"/>
  <c r="F856" i="2"/>
  <c r="N853" i="2"/>
  <c r="F850" i="2"/>
  <c r="O849" i="2"/>
  <c r="N845" i="2"/>
  <c r="F842" i="2"/>
  <c r="O841" i="2"/>
  <c r="N837" i="2"/>
  <c r="F834" i="2"/>
  <c r="O833" i="2"/>
  <c r="N829" i="2"/>
  <c r="F826" i="2"/>
  <c r="O825" i="2"/>
  <c r="N821" i="2"/>
  <c r="F818" i="2"/>
  <c r="O817" i="2"/>
  <c r="N813" i="2"/>
  <c r="F810" i="2"/>
  <c r="O809" i="2"/>
  <c r="N805" i="2"/>
  <c r="F802" i="2"/>
  <c r="O801" i="2"/>
  <c r="N797" i="2"/>
  <c r="F794" i="2"/>
  <c r="O793" i="2"/>
  <c r="N789" i="2"/>
  <c r="F786" i="2"/>
  <c r="O785" i="2"/>
  <c r="N781" i="2"/>
  <c r="F778" i="2"/>
  <c r="O777" i="2"/>
  <c r="N773" i="2"/>
  <c r="F770" i="2"/>
  <c r="O769" i="2"/>
  <c r="N765" i="2"/>
  <c r="F762" i="2"/>
  <c r="O761" i="2"/>
  <c r="N757" i="2"/>
  <c r="F754" i="2"/>
  <c r="O753" i="2"/>
  <c r="O745" i="2"/>
  <c r="P731" i="2"/>
  <c r="N731" i="2"/>
  <c r="N730" i="2"/>
  <c r="P727" i="2"/>
  <c r="N727" i="2"/>
  <c r="N718" i="2"/>
  <c r="N710" i="2"/>
  <c r="P699" i="2"/>
  <c r="N699" i="2"/>
  <c r="N698" i="2"/>
  <c r="N694" i="2"/>
  <c r="O694" i="2"/>
  <c r="P643" i="2"/>
  <c r="N643" i="2"/>
  <c r="N642" i="2"/>
  <c r="N638" i="2"/>
  <c r="O638" i="2"/>
  <c r="F414" i="2"/>
  <c r="O413" i="2"/>
  <c r="N413" i="2"/>
  <c r="O404" i="2"/>
  <c r="N404" i="2"/>
  <c r="P388" i="2"/>
  <c r="N388" i="2"/>
  <c r="O373" i="2"/>
  <c r="N373" i="2"/>
  <c r="O368" i="2"/>
  <c r="N368" i="2"/>
  <c r="N733" i="2"/>
  <c r="N725" i="2"/>
  <c r="N717" i="2"/>
  <c r="N709" i="2"/>
  <c r="N701" i="2"/>
  <c r="N693" i="2"/>
  <c r="N685" i="2"/>
  <c r="N677" i="2"/>
  <c r="N669" i="2"/>
  <c r="N661" i="2"/>
  <c r="N653" i="2"/>
  <c r="N645" i="2"/>
  <c r="N637" i="2"/>
  <c r="N629" i="2"/>
  <c r="N621" i="2"/>
  <c r="N613" i="2"/>
  <c r="N605" i="2"/>
  <c r="N597" i="2"/>
  <c r="N589" i="2"/>
  <c r="N581" i="2"/>
  <c r="N573" i="2"/>
  <c r="N565" i="2"/>
  <c r="N557" i="2"/>
  <c r="N549" i="2"/>
  <c r="N541" i="2"/>
  <c r="N533" i="2"/>
  <c r="N525" i="2"/>
  <c r="N517" i="2"/>
  <c r="N509" i="2"/>
  <c r="N501" i="2"/>
  <c r="N493" i="2"/>
  <c r="N485" i="2"/>
  <c r="N477" i="2"/>
  <c r="N469" i="2"/>
  <c r="N461" i="2"/>
  <c r="N453" i="2"/>
  <c r="N445" i="2"/>
  <c r="N437" i="2"/>
  <c r="N429" i="2"/>
  <c r="N421" i="2"/>
  <c r="O396" i="2"/>
  <c r="N396" i="2"/>
  <c r="O376" i="2"/>
  <c r="N376" i="2"/>
  <c r="N703" i="2"/>
  <c r="N695" i="2"/>
  <c r="N687" i="2"/>
  <c r="N679" i="2"/>
  <c r="N671" i="2"/>
  <c r="N663" i="2"/>
  <c r="N655" i="2"/>
  <c r="N647" i="2"/>
  <c r="N639" i="2"/>
  <c r="N631" i="2"/>
  <c r="N623" i="2"/>
  <c r="N615" i="2"/>
  <c r="N607" i="2"/>
  <c r="N599" i="2"/>
  <c r="N591" i="2"/>
  <c r="N583" i="2"/>
  <c r="N575" i="2"/>
  <c r="N567" i="2"/>
  <c r="N559" i="2"/>
  <c r="N551" i="2"/>
  <c r="N543" i="2"/>
  <c r="N535" i="2"/>
  <c r="N527" i="2"/>
  <c r="N519" i="2"/>
  <c r="N511" i="2"/>
  <c r="N503" i="2"/>
  <c r="N495" i="2"/>
  <c r="N487" i="2"/>
  <c r="N479" i="2"/>
  <c r="N471" i="2"/>
  <c r="N463" i="2"/>
  <c r="N455" i="2"/>
  <c r="N447" i="2"/>
  <c r="N439" i="2"/>
  <c r="N431" i="2"/>
  <c r="N423" i="2"/>
  <c r="O412" i="2"/>
  <c r="N412" i="2"/>
  <c r="P380" i="2"/>
  <c r="N380" i="2"/>
  <c r="N728" i="2"/>
  <c r="N720" i="2"/>
  <c r="N712" i="2"/>
  <c r="N704" i="2"/>
  <c r="N696" i="2"/>
  <c r="N688" i="2"/>
  <c r="N680" i="2"/>
  <c r="N672" i="2"/>
  <c r="N664" i="2"/>
  <c r="N656" i="2"/>
  <c r="N648" i="2"/>
  <c r="N640" i="2"/>
  <c r="N632" i="2"/>
  <c r="N624" i="2"/>
  <c r="N616" i="2"/>
  <c r="N608" i="2"/>
  <c r="N600" i="2"/>
  <c r="N592" i="2"/>
  <c r="N584" i="2"/>
  <c r="N576" i="2"/>
  <c r="N568" i="2"/>
  <c r="N560" i="2"/>
  <c r="N552" i="2"/>
  <c r="N544" i="2"/>
  <c r="N536" i="2"/>
  <c r="N528" i="2"/>
  <c r="N520" i="2"/>
  <c r="N512" i="2"/>
  <c r="N504" i="2"/>
  <c r="N496" i="2"/>
  <c r="N488" i="2"/>
  <c r="N480" i="2"/>
  <c r="N472" i="2"/>
  <c r="N464" i="2"/>
  <c r="N456" i="2"/>
  <c r="N448" i="2"/>
  <c r="N440" i="2"/>
  <c r="N432" i="2"/>
  <c r="N424" i="2"/>
  <c r="N416" i="2"/>
  <c r="O405" i="2"/>
  <c r="N405" i="2"/>
  <c r="O414" i="2"/>
  <c r="O406" i="2"/>
  <c r="O398" i="2"/>
  <c r="O390" i="2"/>
  <c r="O382" i="2"/>
  <c r="O318" i="2"/>
  <c r="N318" i="2"/>
  <c r="O296" i="2"/>
  <c r="N296" i="2"/>
  <c r="O286" i="2"/>
  <c r="N286" i="2"/>
  <c r="O264" i="2"/>
  <c r="N264" i="2"/>
  <c r="O254" i="2"/>
  <c r="N254" i="2"/>
  <c r="O222" i="2"/>
  <c r="N222" i="2"/>
  <c r="O190" i="2"/>
  <c r="N190" i="2"/>
  <c r="P18" i="2"/>
  <c r="N18" i="2"/>
  <c r="O415" i="2"/>
  <c r="O399" i="2"/>
  <c r="P385" i="2"/>
  <c r="N385" i="2"/>
  <c r="O408" i="2"/>
  <c r="O400" i="2"/>
  <c r="O392" i="2"/>
  <c r="O343" i="2"/>
  <c r="N343" i="2"/>
  <c r="O304" i="2"/>
  <c r="N304" i="2"/>
  <c r="O294" i="2"/>
  <c r="N294" i="2"/>
  <c r="O272" i="2"/>
  <c r="N272" i="2"/>
  <c r="O262" i="2"/>
  <c r="N262" i="2"/>
  <c r="O240" i="2"/>
  <c r="N240" i="2"/>
  <c r="O230" i="2"/>
  <c r="N230" i="2"/>
  <c r="O198" i="2"/>
  <c r="N198" i="2"/>
  <c r="O401" i="2"/>
  <c r="O393" i="2"/>
  <c r="O372" i="2"/>
  <c r="N372" i="2"/>
  <c r="O364" i="2"/>
  <c r="N364" i="2"/>
  <c r="O356" i="2"/>
  <c r="O410" i="2"/>
  <c r="O402" i="2"/>
  <c r="O394" i="2"/>
  <c r="O379" i="2"/>
  <c r="O351" i="2"/>
  <c r="N351" i="2"/>
  <c r="O312" i="2"/>
  <c r="N312" i="2"/>
  <c r="O302" i="2"/>
  <c r="N302" i="2"/>
  <c r="O280" i="2"/>
  <c r="N280" i="2"/>
  <c r="O270" i="2"/>
  <c r="N270" i="2"/>
  <c r="O248" i="2"/>
  <c r="N248" i="2"/>
  <c r="O238" i="2"/>
  <c r="N238" i="2"/>
  <c r="O206" i="2"/>
  <c r="N206" i="2"/>
  <c r="N414" i="2"/>
  <c r="O411" i="2"/>
  <c r="N406" i="2"/>
  <c r="O403" i="2"/>
  <c r="N398" i="2"/>
  <c r="O395" i="2"/>
  <c r="N390" i="2"/>
  <c r="O389" i="2"/>
  <c r="N387" i="2"/>
  <c r="O381" i="2"/>
  <c r="N371" i="2"/>
  <c r="N363" i="2"/>
  <c r="O378" i="2"/>
  <c r="O374" i="2"/>
  <c r="O370" i="2"/>
  <c r="O366" i="2"/>
  <c r="O362" i="2"/>
  <c r="O358" i="2"/>
  <c r="O354" i="2"/>
  <c r="N389" i="2"/>
  <c r="N381" i="2"/>
  <c r="N232" i="2"/>
  <c r="N224" i="2"/>
  <c r="N216" i="2"/>
  <c r="N208" i="2"/>
  <c r="N200" i="2"/>
  <c r="N192" i="2"/>
  <c r="O350" i="2"/>
  <c r="O342" i="2"/>
  <c r="O334" i="2"/>
  <c r="O326" i="2"/>
  <c r="N313" i="2"/>
  <c r="N305" i="2"/>
  <c r="N297" i="2"/>
  <c r="N289" i="2"/>
  <c r="N281" i="2"/>
  <c r="N273" i="2"/>
  <c r="N265" i="2"/>
  <c r="N257" i="2"/>
  <c r="N249" i="2"/>
  <c r="N241" i="2"/>
  <c r="N233" i="2"/>
  <c r="N225" i="2"/>
  <c r="N217" i="2"/>
  <c r="N209" i="2"/>
  <c r="N201" i="2"/>
  <c r="N193" i="2"/>
  <c r="P27" i="2"/>
  <c r="N27" i="2"/>
  <c r="O344" i="2"/>
  <c r="O336" i="2"/>
  <c r="O328" i="2"/>
  <c r="N315" i="2"/>
  <c r="N307" i="2"/>
  <c r="N299" i="2"/>
  <c r="N291" i="2"/>
  <c r="N283" i="2"/>
  <c r="N275" i="2"/>
  <c r="N267" i="2"/>
  <c r="N259" i="2"/>
  <c r="N251" i="2"/>
  <c r="N243" i="2"/>
  <c r="N235" i="2"/>
  <c r="N227" i="2"/>
  <c r="N219" i="2"/>
  <c r="N211" i="2"/>
  <c r="N203" i="2"/>
  <c r="N195" i="2"/>
  <c r="N187" i="2"/>
  <c r="O108" i="2"/>
  <c r="O100" i="2"/>
  <c r="O92" i="2"/>
  <c r="O345" i="2"/>
  <c r="O337" i="2"/>
  <c r="O329" i="2"/>
  <c r="O321" i="2"/>
  <c r="P82" i="2"/>
  <c r="N82" i="2"/>
  <c r="O81" i="2"/>
  <c r="N81" i="2"/>
  <c r="P66" i="2"/>
  <c r="N66" i="2"/>
  <c r="P43" i="2"/>
  <c r="N43" i="2"/>
  <c r="N350" i="2"/>
  <c r="O347" i="2"/>
  <c r="O339" i="2"/>
  <c r="O331" i="2"/>
  <c r="O323" i="2"/>
  <c r="O116" i="2"/>
  <c r="O340" i="2"/>
  <c r="O332" i="2"/>
  <c r="O324" i="2"/>
  <c r="N319" i="2"/>
  <c r="N311" i="2"/>
  <c r="N303" i="2"/>
  <c r="N295" i="2"/>
  <c r="N287" i="2"/>
  <c r="N279" i="2"/>
  <c r="N271" i="2"/>
  <c r="N263" i="2"/>
  <c r="N255" i="2"/>
  <c r="N247" i="2"/>
  <c r="N239" i="2"/>
  <c r="N231" i="2"/>
  <c r="N223" i="2"/>
  <c r="N215" i="2"/>
  <c r="N207" i="2"/>
  <c r="N199" i="2"/>
  <c r="N191" i="2"/>
  <c r="P74" i="2"/>
  <c r="N74" i="2"/>
  <c r="O113" i="2"/>
  <c r="O105" i="2"/>
  <c r="O97" i="2"/>
  <c r="O89" i="2"/>
  <c r="P67" i="2"/>
  <c r="N67" i="2"/>
  <c r="N122" i="2"/>
  <c r="N118" i="2"/>
  <c r="N115" i="2"/>
  <c r="O111" i="2"/>
  <c r="N107" i="2"/>
  <c r="O103" i="2"/>
  <c r="N99" i="2"/>
  <c r="O95" i="2"/>
  <c r="N91" i="2"/>
  <c r="N70" i="2"/>
  <c r="O70" i="2"/>
  <c r="P19" i="2"/>
  <c r="N19" i="2"/>
  <c r="O114" i="2"/>
  <c r="N110" i="2"/>
  <c r="O106" i="2"/>
  <c r="N102" i="2"/>
  <c r="O98" i="2"/>
  <c r="N94" i="2"/>
  <c r="O90" i="2"/>
  <c r="P86" i="2"/>
  <c r="N86" i="2"/>
  <c r="N85" i="2"/>
  <c r="N75" i="2"/>
  <c r="P59" i="2"/>
  <c r="N59" i="2"/>
  <c r="N58" i="2"/>
  <c r="N123" i="2"/>
  <c r="N119" i="2"/>
  <c r="N113" i="2"/>
  <c r="O109" i="2"/>
  <c r="N105" i="2"/>
  <c r="O101" i="2"/>
  <c r="N97" i="2"/>
  <c r="O93" i="2"/>
  <c r="N89" i="2"/>
  <c r="N76" i="2"/>
  <c r="P35" i="2"/>
  <c r="N35" i="2"/>
  <c r="N34" i="2"/>
  <c r="N116" i="2"/>
  <c r="N108" i="2"/>
  <c r="N100" i="2"/>
  <c r="N92" i="2"/>
  <c r="P78" i="2"/>
  <c r="N78" i="2"/>
  <c r="P11" i="2"/>
  <c r="N11" i="2"/>
  <c r="P51" i="2"/>
  <c r="N51" i="2"/>
  <c r="N50" i="2"/>
  <c r="N68" i="2"/>
  <c r="N60" i="2"/>
  <c r="N52" i="2"/>
  <c r="N44" i="2"/>
  <c r="N36" i="2"/>
  <c r="N28" i="2"/>
  <c r="N20" i="2"/>
  <c r="N12" i="2"/>
  <c r="N4" i="2"/>
  <c r="N69" i="2"/>
  <c r="N61" i="2"/>
  <c r="N53" i="2"/>
  <c r="N45" i="2"/>
  <c r="N37" i="2"/>
  <c r="N29" i="2"/>
  <c r="N21" i="2"/>
  <c r="N13" i="2"/>
  <c r="N5" i="2"/>
  <c r="N6" i="2"/>
  <c r="N87" i="2"/>
  <c r="N79" i="2"/>
  <c r="N71" i="2"/>
  <c r="N63" i="2"/>
  <c r="N55" i="2"/>
  <c r="N47" i="2"/>
  <c r="N39" i="2"/>
  <c r="N31" i="2"/>
  <c r="N23" i="2"/>
  <c r="N15" i="2"/>
  <c r="N7" i="2"/>
  <c r="N80" i="2"/>
  <c r="N72" i="2"/>
  <c r="N64" i="2"/>
  <c r="N56" i="2"/>
  <c r="N48" i="2"/>
  <c r="N40" i="2"/>
  <c r="N32" i="2"/>
  <c r="N24" i="2"/>
  <c r="N16" i="2"/>
  <c r="N8" i="2"/>
</calcChain>
</file>

<file path=xl/sharedStrings.xml><?xml version="1.0" encoding="utf-8"?>
<sst xmlns="http://schemas.openxmlformats.org/spreadsheetml/2006/main" count="4119" uniqueCount="1656">
  <si>
    <t>Order ID</t>
  </si>
  <si>
    <t>Customer ID</t>
  </si>
  <si>
    <t>Restaurant ID</t>
  </si>
  <si>
    <t>Order Date and Time</t>
  </si>
  <si>
    <t>Delivery Date and Time</t>
  </si>
  <si>
    <t>Order Value</t>
  </si>
  <si>
    <t>Delivery Fee</t>
  </si>
  <si>
    <t>Payment Method</t>
  </si>
  <si>
    <t>Discounts and Offers</t>
  </si>
  <si>
    <t>Commission Fee</t>
  </si>
  <si>
    <t>Payment Processing Fee</t>
  </si>
  <si>
    <t>Refunds/Chargebacks</t>
  </si>
  <si>
    <t>C8270</t>
  </si>
  <si>
    <t>R2924</t>
  </si>
  <si>
    <t>Credit Card</t>
  </si>
  <si>
    <t>5% on App</t>
  </si>
  <si>
    <t>C1860</t>
  </si>
  <si>
    <t>R2054</t>
  </si>
  <si>
    <t>Digital Wallet</t>
  </si>
  <si>
    <t>C6390</t>
  </si>
  <si>
    <t>R2870</t>
  </si>
  <si>
    <t>Cash on Delivery</t>
  </si>
  <si>
    <t>15% New User</t>
  </si>
  <si>
    <t>C6191</t>
  </si>
  <si>
    <t>R2642</t>
  </si>
  <si>
    <t>None</t>
  </si>
  <si>
    <t>C6734</t>
  </si>
  <si>
    <t>R2799</t>
  </si>
  <si>
    <t>50 off Promo</t>
  </si>
  <si>
    <t>C7265</t>
  </si>
  <si>
    <t>R2777</t>
  </si>
  <si>
    <t>C1466</t>
  </si>
  <si>
    <t>R2457</t>
  </si>
  <si>
    <t>C5426</t>
  </si>
  <si>
    <t>R2978</t>
  </si>
  <si>
    <t>C6578</t>
  </si>
  <si>
    <t>R2877</t>
  </si>
  <si>
    <t>C9322</t>
  </si>
  <si>
    <t>R2161</t>
  </si>
  <si>
    <t>C2685</t>
  </si>
  <si>
    <t>R2379</t>
  </si>
  <si>
    <t>C1769</t>
  </si>
  <si>
    <t>R2992</t>
  </si>
  <si>
    <t>C7949</t>
  </si>
  <si>
    <t>R2086</t>
  </si>
  <si>
    <t>C3433</t>
  </si>
  <si>
    <t>C6311</t>
  </si>
  <si>
    <t>R2475</t>
  </si>
  <si>
    <t>C6051</t>
  </si>
  <si>
    <t>C7420</t>
  </si>
  <si>
    <t>R2177</t>
  </si>
  <si>
    <t>C2184</t>
  </si>
  <si>
    <t>R2390</t>
  </si>
  <si>
    <t>C5555</t>
  </si>
  <si>
    <t>R2348</t>
  </si>
  <si>
    <t>C4385</t>
  </si>
  <si>
    <t>R2007</t>
  </si>
  <si>
    <t>C7396</t>
  </si>
  <si>
    <t>R2832</t>
  </si>
  <si>
    <t>C9666</t>
  </si>
  <si>
    <t>R2312</t>
  </si>
  <si>
    <t>C3558</t>
  </si>
  <si>
    <t>R2758</t>
  </si>
  <si>
    <t>C8849</t>
  </si>
  <si>
    <t>R2834</t>
  </si>
  <si>
    <t>C3047</t>
  </si>
  <si>
    <t>R2983</t>
  </si>
  <si>
    <t>C3747</t>
  </si>
  <si>
    <t>R2982</t>
  </si>
  <si>
    <t>C1189</t>
  </si>
  <si>
    <t>R2442</t>
  </si>
  <si>
    <t>C3734</t>
  </si>
  <si>
    <t>R2766</t>
  </si>
  <si>
    <t>C4005</t>
  </si>
  <si>
    <t>R2327</t>
  </si>
  <si>
    <t>C5658</t>
  </si>
  <si>
    <t>R2053</t>
  </si>
  <si>
    <t>C2899</t>
  </si>
  <si>
    <t>R2760</t>
  </si>
  <si>
    <t>C8734</t>
  </si>
  <si>
    <t>R2238</t>
  </si>
  <si>
    <t>C2267</t>
  </si>
  <si>
    <t>R2228</t>
  </si>
  <si>
    <t>C2528</t>
  </si>
  <si>
    <t>R2578</t>
  </si>
  <si>
    <t>C4556</t>
  </si>
  <si>
    <t>R2050</t>
  </si>
  <si>
    <t>C4890</t>
  </si>
  <si>
    <t>R2608</t>
  </si>
  <si>
    <t>C9838</t>
  </si>
  <si>
    <t>R2603</t>
  </si>
  <si>
    <t>C6393</t>
  </si>
  <si>
    <t>R2263</t>
  </si>
  <si>
    <t>C9792</t>
  </si>
  <si>
    <t>R2417</t>
  </si>
  <si>
    <t>C9433</t>
  </si>
  <si>
    <t>R2802</t>
  </si>
  <si>
    <t>C8513</t>
  </si>
  <si>
    <t>R2095</t>
  </si>
  <si>
    <t>C3612</t>
  </si>
  <si>
    <t>R2087</t>
  </si>
  <si>
    <t>C8041</t>
  </si>
  <si>
    <t>R2077</t>
  </si>
  <si>
    <t>C7235</t>
  </si>
  <si>
    <t>R2287</t>
  </si>
  <si>
    <t>C6486</t>
  </si>
  <si>
    <t>R2119</t>
  </si>
  <si>
    <t>C8099</t>
  </si>
  <si>
    <t>R2813</t>
  </si>
  <si>
    <t>C1775</t>
  </si>
  <si>
    <t>R2490</t>
  </si>
  <si>
    <t>C9226</t>
  </si>
  <si>
    <t>R2911</t>
  </si>
  <si>
    <t>C4152</t>
  </si>
  <si>
    <t>R2451</t>
  </si>
  <si>
    <t>C2585</t>
  </si>
  <si>
    <t>R2499</t>
  </si>
  <si>
    <t>C4943</t>
  </si>
  <si>
    <t>R2164</t>
  </si>
  <si>
    <t>C8555</t>
  </si>
  <si>
    <t>R2181</t>
  </si>
  <si>
    <t>C4073</t>
  </si>
  <si>
    <t>R2468</t>
  </si>
  <si>
    <t>C2021</t>
  </si>
  <si>
    <t>R2909</t>
  </si>
  <si>
    <t>C4843</t>
  </si>
  <si>
    <t>R2734</t>
  </si>
  <si>
    <t>C8989</t>
  </si>
  <si>
    <t>R2822</t>
  </si>
  <si>
    <t>C7873</t>
  </si>
  <si>
    <t>R2943</t>
  </si>
  <si>
    <t>C6675</t>
  </si>
  <si>
    <t>R2977</t>
  </si>
  <si>
    <t>C1161</t>
  </si>
  <si>
    <t>R2006</t>
  </si>
  <si>
    <t>C5297</t>
  </si>
  <si>
    <t>R2329</t>
  </si>
  <si>
    <t>C1995</t>
  </si>
  <si>
    <t>R2774</t>
  </si>
  <si>
    <t>C8629</t>
  </si>
  <si>
    <t>R2672</t>
  </si>
  <si>
    <t>C2016</t>
  </si>
  <si>
    <t>R2150</t>
  </si>
  <si>
    <t>C8869</t>
  </si>
  <si>
    <t>R2084</t>
  </si>
  <si>
    <t>C7439</t>
  </si>
  <si>
    <t>R2146</t>
  </si>
  <si>
    <t>C8892</t>
  </si>
  <si>
    <t>R2623</t>
  </si>
  <si>
    <t>C7863</t>
  </si>
  <si>
    <t>R2380</t>
  </si>
  <si>
    <t>C8916</t>
  </si>
  <si>
    <t>R2914</t>
  </si>
  <si>
    <t>C9529</t>
  </si>
  <si>
    <t>R2547</t>
  </si>
  <si>
    <t>C1878</t>
  </si>
  <si>
    <t>R2284</t>
  </si>
  <si>
    <t>C5887</t>
  </si>
  <si>
    <t>R2699</t>
  </si>
  <si>
    <t>C5859</t>
  </si>
  <si>
    <t>R2081</t>
  </si>
  <si>
    <t>C7331</t>
  </si>
  <si>
    <t>R2513</t>
  </si>
  <si>
    <t>C9571</t>
  </si>
  <si>
    <t>R2896</t>
  </si>
  <si>
    <t>C9684</t>
  </si>
  <si>
    <t>R2814</t>
  </si>
  <si>
    <t>C8208</t>
  </si>
  <si>
    <t>R2708</t>
  </si>
  <si>
    <t>C6276</t>
  </si>
  <si>
    <t>R2915</t>
  </si>
  <si>
    <t>C3062</t>
  </si>
  <si>
    <t>R2522</t>
  </si>
  <si>
    <t>C1064</t>
  </si>
  <si>
    <t>R2745</t>
  </si>
  <si>
    <t>C9006</t>
  </si>
  <si>
    <t>R2385</t>
  </si>
  <si>
    <t>C3568</t>
  </si>
  <si>
    <t>R2706</t>
  </si>
  <si>
    <t>C6463</t>
  </si>
  <si>
    <t>R2470</t>
  </si>
  <si>
    <t>C3027</t>
  </si>
  <si>
    <t>R2118</t>
  </si>
  <si>
    <t>C3695</t>
  </si>
  <si>
    <t>R2395</t>
  </si>
  <si>
    <t>C6258</t>
  </si>
  <si>
    <t>R2531</t>
  </si>
  <si>
    <t>C6618</t>
  </si>
  <si>
    <t>R2260</t>
  </si>
  <si>
    <t>C7736</t>
  </si>
  <si>
    <t>R2804</t>
  </si>
  <si>
    <t>C1391</t>
  </si>
  <si>
    <t>R2933</t>
  </si>
  <si>
    <t>C6892</t>
  </si>
  <si>
    <t>R2255</t>
  </si>
  <si>
    <t>C4561</t>
  </si>
  <si>
    <t>R2733</t>
  </si>
  <si>
    <t>C7184</t>
  </si>
  <si>
    <t>R2904</t>
  </si>
  <si>
    <t>C4099</t>
  </si>
  <si>
    <t>R2225</t>
  </si>
  <si>
    <t>C7278</t>
  </si>
  <si>
    <t>R2052</t>
  </si>
  <si>
    <t>C9392</t>
  </si>
  <si>
    <t>R2939</t>
  </si>
  <si>
    <t>C4104</t>
  </si>
  <si>
    <t>R2866</t>
  </si>
  <si>
    <t>C8215</t>
  </si>
  <si>
    <t>C3454</t>
  </si>
  <si>
    <t>R2505</t>
  </si>
  <si>
    <t>C9996</t>
  </si>
  <si>
    <t>R2853</t>
  </si>
  <si>
    <t>C3731</t>
  </si>
  <si>
    <t>R2363</t>
  </si>
  <si>
    <t>C9154</t>
  </si>
  <si>
    <t>R2279</t>
  </si>
  <si>
    <t>C6056</t>
  </si>
  <si>
    <t>R2592</t>
  </si>
  <si>
    <t>C9110</t>
  </si>
  <si>
    <t>R2713</t>
  </si>
  <si>
    <t>C4840</t>
  </si>
  <si>
    <t>R2157</t>
  </si>
  <si>
    <t>C2028</t>
  </si>
  <si>
    <t>R2631</t>
  </si>
  <si>
    <t>C8385</t>
  </si>
  <si>
    <t>R2058</t>
  </si>
  <si>
    <t>C1502</t>
  </si>
  <si>
    <t>R2726</t>
  </si>
  <si>
    <t>C7910</t>
  </si>
  <si>
    <t>R2127</t>
  </si>
  <si>
    <t>C7938</t>
  </si>
  <si>
    <t>R2735</t>
  </si>
  <si>
    <t>C5488</t>
  </si>
  <si>
    <t>R2720</t>
  </si>
  <si>
    <t>C1206</t>
  </si>
  <si>
    <t>R2881</t>
  </si>
  <si>
    <t>C6134</t>
  </si>
  <si>
    <t>R2114</t>
  </si>
  <si>
    <t>C6977</t>
  </si>
  <si>
    <t>R2208</t>
  </si>
  <si>
    <t>C8721</t>
  </si>
  <si>
    <t>R2525</t>
  </si>
  <si>
    <t>C8035</t>
  </si>
  <si>
    <t>R2520</t>
  </si>
  <si>
    <t>C2484</t>
  </si>
  <si>
    <t>R2551</t>
  </si>
  <si>
    <t>C8858</t>
  </si>
  <si>
    <t>R2961</t>
  </si>
  <si>
    <t>C1863</t>
  </si>
  <si>
    <t>R2236</t>
  </si>
  <si>
    <t>C3790</t>
  </si>
  <si>
    <t>R2280</t>
  </si>
  <si>
    <t>C8408</t>
  </si>
  <si>
    <t>R2358</t>
  </si>
  <si>
    <t>C9755</t>
  </si>
  <si>
    <t>R2200</t>
  </si>
  <si>
    <t>C6116</t>
  </si>
  <si>
    <t>R2757</t>
  </si>
  <si>
    <t>C7019</t>
  </si>
  <si>
    <t>R2277</t>
  </si>
  <si>
    <t>C2757</t>
  </si>
  <si>
    <t>R2234</t>
  </si>
  <si>
    <t>C8574</t>
  </si>
  <si>
    <t>R2493</t>
  </si>
  <si>
    <t>C7374</t>
  </si>
  <si>
    <t>R2003</t>
  </si>
  <si>
    <t>C7892</t>
  </si>
  <si>
    <t>R2665</t>
  </si>
  <si>
    <t>C2678</t>
  </si>
  <si>
    <t>R2441</t>
  </si>
  <si>
    <t>C4242</t>
  </si>
  <si>
    <t>R2028</t>
  </si>
  <si>
    <t>C5636</t>
  </si>
  <si>
    <t>R2108</t>
  </si>
  <si>
    <t>C2059</t>
  </si>
  <si>
    <t>R2609</t>
  </si>
  <si>
    <t>C7668</t>
  </si>
  <si>
    <t>C4157</t>
  </si>
  <si>
    <t>C6915</t>
  </si>
  <si>
    <t>R2074</t>
  </si>
  <si>
    <t>C3693</t>
  </si>
  <si>
    <t>R2837</t>
  </si>
  <si>
    <t>C4627</t>
  </si>
  <si>
    <t>R2145</t>
  </si>
  <si>
    <t>C6450</t>
  </si>
  <si>
    <t>C2663</t>
  </si>
  <si>
    <t>R2852</t>
  </si>
  <si>
    <t>C6592</t>
  </si>
  <si>
    <t>R2041</t>
  </si>
  <si>
    <t>C8392</t>
  </si>
  <si>
    <t>R2355</t>
  </si>
  <si>
    <t>C2306</t>
  </si>
  <si>
    <t>R2040</t>
  </si>
  <si>
    <t>C7776</t>
  </si>
  <si>
    <t>C6864</t>
  </si>
  <si>
    <t>R2033</t>
  </si>
  <si>
    <t>C8526</t>
  </si>
  <si>
    <t>R2016</t>
  </si>
  <si>
    <t>C9901</t>
  </si>
  <si>
    <t>R2676</t>
  </si>
  <si>
    <t>C6575</t>
  </si>
  <si>
    <t>R2152</t>
  </si>
  <si>
    <t>C6530</t>
  </si>
  <si>
    <t>R2997</t>
  </si>
  <si>
    <t>C5413</t>
  </si>
  <si>
    <t>R2377</t>
  </si>
  <si>
    <t>C4748</t>
  </si>
  <si>
    <t>R2587</t>
  </si>
  <si>
    <t>C1663</t>
  </si>
  <si>
    <t>R2598</t>
  </si>
  <si>
    <t>C2998</t>
  </si>
  <si>
    <t>R2628</t>
  </si>
  <si>
    <t>C8994</t>
  </si>
  <si>
    <t>R2873</t>
  </si>
  <si>
    <t>C2495</t>
  </si>
  <si>
    <t>R2341</t>
  </si>
  <si>
    <t>C4304</t>
  </si>
  <si>
    <t>R2980</t>
  </si>
  <si>
    <t>C4763</t>
  </si>
  <si>
    <t>R2026</t>
  </si>
  <si>
    <t>C6232</t>
  </si>
  <si>
    <t>R2824</t>
  </si>
  <si>
    <t>C2853</t>
  </si>
  <si>
    <t>R2286</t>
  </si>
  <si>
    <t>C7585</t>
  </si>
  <si>
    <t>R2645</t>
  </si>
  <si>
    <t>C2291</t>
  </si>
  <si>
    <t>R2730</t>
  </si>
  <si>
    <t>C4581</t>
  </si>
  <si>
    <t>R2167</t>
  </si>
  <si>
    <t>C8554</t>
  </si>
  <si>
    <t>C8280</t>
  </si>
  <si>
    <t>R2267</t>
  </si>
  <si>
    <t>C2636</t>
  </si>
  <si>
    <t>R2748</t>
  </si>
  <si>
    <t>C4696</t>
  </si>
  <si>
    <t>R2820</t>
  </si>
  <si>
    <t>C1698</t>
  </si>
  <si>
    <t>R2454</t>
  </si>
  <si>
    <t>C5737</t>
  </si>
  <si>
    <t>R2905</t>
  </si>
  <si>
    <t>C1854</t>
  </si>
  <si>
    <t>R2684</t>
  </si>
  <si>
    <t>C9164</t>
  </si>
  <si>
    <t>R2400</t>
  </si>
  <si>
    <t>C6855</t>
  </si>
  <si>
    <t>R2921</t>
  </si>
  <si>
    <t>C7528</t>
  </si>
  <si>
    <t>C6249</t>
  </si>
  <si>
    <t>R2701</t>
  </si>
  <si>
    <t>C6172</t>
  </si>
  <si>
    <t>R2633</t>
  </si>
  <si>
    <t>C2707</t>
  </si>
  <si>
    <t>R2557</t>
  </si>
  <si>
    <t>C6791</t>
  </si>
  <si>
    <t>R2575</t>
  </si>
  <si>
    <t>C6535</t>
  </si>
  <si>
    <t>R2129</t>
  </si>
  <si>
    <t>C5931</t>
  </si>
  <si>
    <t>R2821</t>
  </si>
  <si>
    <t>C4510</t>
  </si>
  <si>
    <t>R2362</t>
  </si>
  <si>
    <t>C1202</t>
  </si>
  <si>
    <t>R2704</t>
  </si>
  <si>
    <t>C5218</t>
  </si>
  <si>
    <t>R2818</t>
  </si>
  <si>
    <t>C9958</t>
  </si>
  <si>
    <t>R2692</t>
  </si>
  <si>
    <t>C5389</t>
  </si>
  <si>
    <t>R2291</t>
  </si>
  <si>
    <t>C3327</t>
  </si>
  <si>
    <t>R2370</t>
  </si>
  <si>
    <t>C9004</t>
  </si>
  <si>
    <t>R2793</t>
  </si>
  <si>
    <t>C3931</t>
  </si>
  <si>
    <t>C8777</t>
  </si>
  <si>
    <t>R2148</t>
  </si>
  <si>
    <t>C1197</t>
  </si>
  <si>
    <t>R2778</t>
  </si>
  <si>
    <t>C8125</t>
  </si>
  <si>
    <t>R2295</t>
  </si>
  <si>
    <t>C2930</t>
  </si>
  <si>
    <t>R2010</t>
  </si>
  <si>
    <t>C7287</t>
  </si>
  <si>
    <t>R2511</t>
  </si>
  <si>
    <t>C9800</t>
  </si>
  <si>
    <t>R2675</t>
  </si>
  <si>
    <t>C5282</t>
  </si>
  <si>
    <t>R2112</t>
  </si>
  <si>
    <t>C3511</t>
  </si>
  <si>
    <t>R2186</t>
  </si>
  <si>
    <t>C1659</t>
  </si>
  <si>
    <t>R2806</t>
  </si>
  <si>
    <t>C3811</t>
  </si>
  <si>
    <t>R2743</t>
  </si>
  <si>
    <t>C8098</t>
  </si>
  <si>
    <t>R2226</t>
  </si>
  <si>
    <t>C7546</t>
  </si>
  <si>
    <t>R2309</t>
  </si>
  <si>
    <t>C2986</t>
  </si>
  <si>
    <t>R2097</t>
  </si>
  <si>
    <t>C9338</t>
  </si>
  <si>
    <t>C3911</t>
  </si>
  <si>
    <t>R2622</t>
  </si>
  <si>
    <t>C2734</t>
  </si>
  <si>
    <t>R2663</t>
  </si>
  <si>
    <t>C2843</t>
  </si>
  <si>
    <t>C9680</t>
  </si>
  <si>
    <t>R2405</t>
  </si>
  <si>
    <t>C3976</t>
  </si>
  <si>
    <t>R2068</t>
  </si>
  <si>
    <t>C2959</t>
  </si>
  <si>
    <t>R2311</t>
  </si>
  <si>
    <t>C6759</t>
  </si>
  <si>
    <t>R2288</t>
  </si>
  <si>
    <t>C7694</t>
  </si>
  <si>
    <t>R2761</t>
  </si>
  <si>
    <t>C3385</t>
  </si>
  <si>
    <t>C5736</t>
  </si>
  <si>
    <t>R2750</t>
  </si>
  <si>
    <t>C2802</t>
  </si>
  <si>
    <t>R2147</t>
  </si>
  <si>
    <t>C9155</t>
  </si>
  <si>
    <t>R2466</t>
  </si>
  <si>
    <t>C9120</t>
  </si>
  <si>
    <t>R2738</t>
  </si>
  <si>
    <t>C7616</t>
  </si>
  <si>
    <t>R2243</t>
  </si>
  <si>
    <t>C6534</t>
  </si>
  <si>
    <t>C5061</t>
  </si>
  <si>
    <t>R2848</t>
  </si>
  <si>
    <t>C1262</t>
  </si>
  <si>
    <t>R2957</t>
  </si>
  <si>
    <t>R2506</t>
  </si>
  <si>
    <t>C9815</t>
  </si>
  <si>
    <t>R2364</t>
  </si>
  <si>
    <t>C3049</t>
  </si>
  <si>
    <t>R2481</t>
  </si>
  <si>
    <t>C6423</t>
  </si>
  <si>
    <t>C5548</t>
  </si>
  <si>
    <t>R2153</t>
  </si>
  <si>
    <t>C4108</t>
  </si>
  <si>
    <t>R2449</t>
  </si>
  <si>
    <t>C8158</t>
  </si>
  <si>
    <t>R2500</t>
  </si>
  <si>
    <t>C8400</t>
  </si>
  <si>
    <t>R2072</t>
  </si>
  <si>
    <t>C4170</t>
  </si>
  <si>
    <t>R2712</t>
  </si>
  <si>
    <t>C3255</t>
  </si>
  <si>
    <t>C2154</t>
  </si>
  <si>
    <t>C5499</t>
  </si>
  <si>
    <t>R2640</t>
  </si>
  <si>
    <t>C7295</t>
  </si>
  <si>
    <t>R2216</t>
  </si>
  <si>
    <t>C7197</t>
  </si>
  <si>
    <t>R2060</t>
  </si>
  <si>
    <t>C2648</t>
  </si>
  <si>
    <t>R2938</t>
  </si>
  <si>
    <t>C6539</t>
  </si>
  <si>
    <t>R2615</t>
  </si>
  <si>
    <t>C5199</t>
  </si>
  <si>
    <t>C9445</t>
  </si>
  <si>
    <t>R2024</t>
  </si>
  <si>
    <t>C3557</t>
  </si>
  <si>
    <t>R2038</t>
  </si>
  <si>
    <t>C1098</t>
  </si>
  <si>
    <t>R2130</t>
  </si>
  <si>
    <t>C3200</t>
  </si>
  <si>
    <t>R2497</t>
  </si>
  <si>
    <t>C3961</t>
  </si>
  <si>
    <t>C5973</t>
  </si>
  <si>
    <t>R2107</t>
  </si>
  <si>
    <t>C5433</t>
  </si>
  <si>
    <t>R2171</t>
  </si>
  <si>
    <t>C3869</t>
  </si>
  <si>
    <t>R2434</t>
  </si>
  <si>
    <t>C1956</t>
  </si>
  <si>
    <t>R2477</t>
  </si>
  <si>
    <t>C9352</t>
  </si>
  <si>
    <t>R2101</t>
  </si>
  <si>
    <t>C6699</t>
  </si>
  <si>
    <t>R2865</t>
  </si>
  <si>
    <t>C7944</t>
  </si>
  <si>
    <t>R2523</t>
  </si>
  <si>
    <t>C5493</t>
  </si>
  <si>
    <t>R2274</t>
  </si>
  <si>
    <t>C5911</t>
  </si>
  <si>
    <t>R2612</t>
  </si>
  <si>
    <t>C4987</t>
  </si>
  <si>
    <t>R2043</t>
  </si>
  <si>
    <t>C7015</t>
  </si>
  <si>
    <t>R2954</t>
  </si>
  <si>
    <t>C2218</t>
  </si>
  <si>
    <t>R2816</t>
  </si>
  <si>
    <t>C5496</t>
  </si>
  <si>
    <t>R2956</t>
  </si>
  <si>
    <t>C5735</t>
  </si>
  <si>
    <t>C9050</t>
  </si>
  <si>
    <t>R2568</t>
  </si>
  <si>
    <t>C4446</t>
  </si>
  <si>
    <t>C2045</t>
  </si>
  <si>
    <t>R2496</t>
  </si>
  <si>
    <t>C7893</t>
  </si>
  <si>
    <t>C2693</t>
  </si>
  <si>
    <t>R2011</t>
  </si>
  <si>
    <t>C4436</t>
  </si>
  <si>
    <t>R2317</t>
  </si>
  <si>
    <t>C9754</t>
  </si>
  <si>
    <t>R2591</t>
  </si>
  <si>
    <t>C6895</t>
  </si>
  <si>
    <t>R2215</t>
  </si>
  <si>
    <t>C4354</t>
  </si>
  <si>
    <t>R2338</t>
  </si>
  <si>
    <t>C1225</t>
  </si>
  <si>
    <t>R2775</t>
  </si>
  <si>
    <t>C5893</t>
  </si>
  <si>
    <t>R2990</t>
  </si>
  <si>
    <t>C8022</t>
  </si>
  <si>
    <t>R2660</t>
  </si>
  <si>
    <t>C6600</t>
  </si>
  <si>
    <t>R2080</t>
  </si>
  <si>
    <t>C8996</t>
  </si>
  <si>
    <t>C8683</t>
  </si>
  <si>
    <t>R2484</t>
  </si>
  <si>
    <t>C5642</t>
  </si>
  <si>
    <t>R2373</t>
  </si>
  <si>
    <t>C8679</t>
  </si>
  <si>
    <t>R2975</t>
  </si>
  <si>
    <t>C9208</t>
  </si>
  <si>
    <t>R2709</t>
  </si>
  <si>
    <t>C8339</t>
  </si>
  <si>
    <t>R2199</t>
  </si>
  <si>
    <t>C3205</t>
  </si>
  <si>
    <t>R2536</t>
  </si>
  <si>
    <t>C2069</t>
  </si>
  <si>
    <t>R2465</t>
  </si>
  <si>
    <t>C4444</t>
  </si>
  <si>
    <t>R2088</t>
  </si>
  <si>
    <t>C2060</t>
  </si>
  <si>
    <t>R2654</t>
  </si>
  <si>
    <t>C4420</t>
  </si>
  <si>
    <t>R2570</t>
  </si>
  <si>
    <t>C1301</t>
  </si>
  <si>
    <t>C1606</t>
  </si>
  <si>
    <t>R2488</t>
  </si>
  <si>
    <t>R2876</t>
  </si>
  <si>
    <t>C1699</t>
  </si>
  <si>
    <t>R2537</t>
  </si>
  <si>
    <t>C6088</t>
  </si>
  <si>
    <t>R2046</t>
  </si>
  <si>
    <t>C1190</t>
  </si>
  <si>
    <t>C1980</t>
  </si>
  <si>
    <t>C3975</t>
  </si>
  <si>
    <t>R2015</t>
  </si>
  <si>
    <t>C7102</t>
  </si>
  <si>
    <t>R2710</t>
  </si>
  <si>
    <t>C4327</t>
  </si>
  <si>
    <t>R2918</t>
  </si>
  <si>
    <t>C4394</t>
  </si>
  <si>
    <t>C9319</t>
  </si>
  <si>
    <t>C2816</t>
  </si>
  <si>
    <t>R2085</t>
  </si>
  <si>
    <t>C6854</t>
  </si>
  <si>
    <t>R2249</t>
  </si>
  <si>
    <t>C7709</t>
  </si>
  <si>
    <t>C1569</t>
  </si>
  <si>
    <t>R2781</t>
  </si>
  <si>
    <t>C6442</t>
  </si>
  <si>
    <t>R2334</t>
  </si>
  <si>
    <t>C2895</t>
  </si>
  <si>
    <t>C3733</t>
  </si>
  <si>
    <t>R2518</t>
  </si>
  <si>
    <t>C4863</t>
  </si>
  <si>
    <t>R2136</t>
  </si>
  <si>
    <t>C8455</t>
  </si>
  <si>
    <t>R2882</t>
  </si>
  <si>
    <t>C5014</t>
  </si>
  <si>
    <t>R2687</t>
  </si>
  <si>
    <t>C2686</t>
  </si>
  <si>
    <t>R2839</t>
  </si>
  <si>
    <t>C4009</t>
  </si>
  <si>
    <t>C8806</t>
  </si>
  <si>
    <t>R2826</t>
  </si>
  <si>
    <t>C1154</t>
  </si>
  <si>
    <t>C2409</t>
  </si>
  <si>
    <t>R2476</t>
  </si>
  <si>
    <t>C1784</t>
  </si>
  <si>
    <t>R2593</t>
  </si>
  <si>
    <t>C9096</t>
  </si>
  <si>
    <t>R2222</t>
  </si>
  <si>
    <t>C8560</t>
  </si>
  <si>
    <t>R2989</t>
  </si>
  <si>
    <t>C8343</t>
  </si>
  <si>
    <t>R2371</t>
  </si>
  <si>
    <t>C8206</t>
  </si>
  <si>
    <t>R2934</t>
  </si>
  <si>
    <t>C6596</t>
  </si>
  <si>
    <t>R2994</t>
  </si>
  <si>
    <t>C6801</t>
  </si>
  <si>
    <t>R2401</t>
  </si>
  <si>
    <t>C3806</t>
  </si>
  <si>
    <t>C1537</t>
  </si>
  <si>
    <t>R2489</t>
  </si>
  <si>
    <t>C6986</t>
  </si>
  <si>
    <t>R2614</t>
  </si>
  <si>
    <t>C2841</t>
  </si>
  <si>
    <t>R2272</t>
  </si>
  <si>
    <t>C9716</t>
  </si>
  <si>
    <t>C7971</t>
  </si>
  <si>
    <t>R2158</t>
  </si>
  <si>
    <t>C6625</t>
  </si>
  <si>
    <t>R2151</t>
  </si>
  <si>
    <t>C3950</t>
  </si>
  <si>
    <t>C8992</t>
  </si>
  <si>
    <t>R2619</t>
  </si>
  <si>
    <t>C5780</t>
  </si>
  <si>
    <t>R2187</t>
  </si>
  <si>
    <t>C3368</t>
  </si>
  <si>
    <t>R2812</t>
  </si>
  <si>
    <t>C7655</t>
  </si>
  <si>
    <t>C9173</t>
  </si>
  <si>
    <t>C5495</t>
  </si>
  <si>
    <t>C7002</t>
  </si>
  <si>
    <t>R2170</t>
  </si>
  <si>
    <t>C7614</t>
  </si>
  <si>
    <t>R2935</t>
  </si>
  <si>
    <t>C6919</t>
  </si>
  <si>
    <t>R2985</t>
  </si>
  <si>
    <t>C1853</t>
  </si>
  <si>
    <t>R2182</t>
  </si>
  <si>
    <t>C5146</t>
  </si>
  <si>
    <t>C4769</t>
  </si>
  <si>
    <t>C1574</t>
  </si>
  <si>
    <t>C2148</t>
  </si>
  <si>
    <t>R2526</t>
  </si>
  <si>
    <t>C7293</t>
  </si>
  <si>
    <t>R2887</t>
  </si>
  <si>
    <t>C7457</t>
  </si>
  <si>
    <t>C8509</t>
  </si>
  <si>
    <t>R2515</t>
  </si>
  <si>
    <t>C5777</t>
  </si>
  <si>
    <t>C4854</t>
  </si>
  <si>
    <t>R2981</t>
  </si>
  <si>
    <t>C3491</t>
  </si>
  <si>
    <t>R2920</t>
  </si>
  <si>
    <t>C4124</t>
  </si>
  <si>
    <t>R2396</t>
  </si>
  <si>
    <t>C6691</t>
  </si>
  <si>
    <t>R2721</t>
  </si>
  <si>
    <t>C4051</t>
  </si>
  <si>
    <t>R2160</t>
  </si>
  <si>
    <t>C1004</t>
  </si>
  <si>
    <t>C6222</t>
  </si>
  <si>
    <t>R2492</t>
  </si>
  <si>
    <t>C6315</t>
  </si>
  <si>
    <t>R2425</t>
  </si>
  <si>
    <t>C5869</t>
  </si>
  <si>
    <t>C1876</t>
  </si>
  <si>
    <t>R2893</t>
  </si>
  <si>
    <t>C8027</t>
  </si>
  <si>
    <t>C5142</t>
  </si>
  <si>
    <t>R2310</t>
  </si>
  <si>
    <t>C7966</t>
  </si>
  <si>
    <t>C8079</t>
  </si>
  <si>
    <t>R2169</t>
  </si>
  <si>
    <t>C8987</t>
  </si>
  <si>
    <t>R2545</t>
  </si>
  <si>
    <t>C7799</t>
  </si>
  <si>
    <t>R2413</t>
  </si>
  <si>
    <t>C5465</t>
  </si>
  <si>
    <t>R2250</t>
  </si>
  <si>
    <t>C1635</t>
  </si>
  <si>
    <t>R2780</t>
  </si>
  <si>
    <t>C5752</t>
  </si>
  <si>
    <t>R2140</t>
  </si>
  <si>
    <t>C9311</t>
  </si>
  <si>
    <t>R2273</t>
  </si>
  <si>
    <t>C1830</t>
  </si>
  <si>
    <t>R2415</t>
  </si>
  <si>
    <t>C6177</t>
  </si>
  <si>
    <t>R2607</t>
  </si>
  <si>
    <t>C9932</t>
  </si>
  <si>
    <t>C9308</t>
  </si>
  <si>
    <t>R2890</t>
  </si>
  <si>
    <t>C6949</t>
  </si>
  <si>
    <t>C3838</t>
  </si>
  <si>
    <t>C2150</t>
  </si>
  <si>
    <t>C2931</t>
  </si>
  <si>
    <t>C2664</t>
  </si>
  <si>
    <t>C2081</t>
  </si>
  <si>
    <t>R2244</t>
  </si>
  <si>
    <t>C1512</t>
  </si>
  <si>
    <t>R2747</t>
  </si>
  <si>
    <t>C8805</t>
  </si>
  <si>
    <t>R2696</t>
  </si>
  <si>
    <t>C6237</t>
  </si>
  <si>
    <t>R2271</t>
  </si>
  <si>
    <t>C1559</t>
  </si>
  <si>
    <t>R2439</t>
  </si>
  <si>
    <t>C4672</t>
  </si>
  <si>
    <t>C8404</t>
  </si>
  <si>
    <t>C4343</t>
  </si>
  <si>
    <t>R2376</t>
  </si>
  <si>
    <t>C5070</t>
  </si>
  <si>
    <t>R2265</t>
  </si>
  <si>
    <t>C1580</t>
  </si>
  <si>
    <t>R2925</t>
  </si>
  <si>
    <t>C8004</t>
  </si>
  <si>
    <t>C9130</t>
  </si>
  <si>
    <t>C4147</t>
  </si>
  <si>
    <t>R2339</t>
  </si>
  <si>
    <t>C5249</t>
  </si>
  <si>
    <t>R2388</t>
  </si>
  <si>
    <t>C2679</t>
  </si>
  <si>
    <t>R2576</t>
  </si>
  <si>
    <t>C4506</t>
  </si>
  <si>
    <t>C8253</t>
  </si>
  <si>
    <t>R2688</t>
  </si>
  <si>
    <t>C3744</t>
  </si>
  <si>
    <t>R2002</t>
  </si>
  <si>
    <t>C6188</t>
  </si>
  <si>
    <t>R2428</t>
  </si>
  <si>
    <t>C3141</t>
  </si>
  <si>
    <t>R2141</t>
  </si>
  <si>
    <t>C7617</t>
  </si>
  <si>
    <t>R2375</t>
  </si>
  <si>
    <t>C3479</t>
  </si>
  <si>
    <t>R2669</t>
  </si>
  <si>
    <t>C7484</t>
  </si>
  <si>
    <t>R2323</t>
  </si>
  <si>
    <t>C8421</t>
  </si>
  <si>
    <t>C5452</t>
  </si>
  <si>
    <t>C6881</t>
  </si>
  <si>
    <t>R2292</t>
  </si>
  <si>
    <t>C7665</t>
  </si>
  <si>
    <t>R2664</t>
  </si>
  <si>
    <t>C3849</t>
  </si>
  <si>
    <t>R2431</t>
  </si>
  <si>
    <t>C8390</t>
  </si>
  <si>
    <t>C7905</t>
  </si>
  <si>
    <t>R2948</t>
  </si>
  <si>
    <t>C3489</t>
  </si>
  <si>
    <t>R2974</t>
  </si>
  <si>
    <t>C5611</t>
  </si>
  <si>
    <t>R2584</t>
  </si>
  <si>
    <t>C3839</t>
  </si>
  <si>
    <t>R2398</t>
  </si>
  <si>
    <t>C9527</t>
  </si>
  <si>
    <t>C6878</t>
  </si>
  <si>
    <t>R2888</t>
  </si>
  <si>
    <t>C7303</t>
  </si>
  <si>
    <t>R2343</t>
  </si>
  <si>
    <t>C1851</t>
  </si>
  <si>
    <t>R2963</t>
  </si>
  <si>
    <t>C2687</t>
  </si>
  <si>
    <t>R2139</t>
  </si>
  <si>
    <t>C7833</t>
  </si>
  <si>
    <t>C3427</t>
  </si>
  <si>
    <t>C5000</t>
  </si>
  <si>
    <t>C6052</t>
  </si>
  <si>
    <t>R2996</t>
  </si>
  <si>
    <t>C3738</t>
  </si>
  <si>
    <t>C6732</t>
  </si>
  <si>
    <t>C6387</t>
  </si>
  <si>
    <t>C9002</t>
  </si>
  <si>
    <t>C6536</t>
  </si>
  <si>
    <t>C4913</t>
  </si>
  <si>
    <t>R2318</t>
  </si>
  <si>
    <t>C2066</t>
  </si>
  <si>
    <t>R2301</t>
  </si>
  <si>
    <t>C8723</t>
  </si>
  <si>
    <t>C5380</t>
  </si>
  <si>
    <t>C5107</t>
  </si>
  <si>
    <t>R2061</t>
  </si>
  <si>
    <t>C6726</t>
  </si>
  <si>
    <t>R2844</t>
  </si>
  <si>
    <t>C4373</t>
  </si>
  <si>
    <t>C9945</t>
  </si>
  <si>
    <t>C3082</t>
  </si>
  <si>
    <t>C9967</t>
  </si>
  <si>
    <t>R2563</t>
  </si>
  <si>
    <t>C7748</t>
  </si>
  <si>
    <t>R2771</t>
  </si>
  <si>
    <t>C1417</t>
  </si>
  <si>
    <t>C9306</t>
  </si>
  <si>
    <t>R2583</t>
  </si>
  <si>
    <t>C9808</t>
  </si>
  <si>
    <t>R2659</t>
  </si>
  <si>
    <t>C4974</t>
  </si>
  <si>
    <t>R2860</t>
  </si>
  <si>
    <t>C4267</t>
  </si>
  <si>
    <t>R2574</t>
  </si>
  <si>
    <t>C1825</t>
  </si>
  <si>
    <t>C8668</t>
  </si>
  <si>
    <t>R2884</t>
  </si>
  <si>
    <t>C6745</t>
  </si>
  <si>
    <t>R2242</t>
  </si>
  <si>
    <t>C1412</t>
  </si>
  <si>
    <t>C8543</t>
  </si>
  <si>
    <t>R2365</t>
  </si>
  <si>
    <t>C8587</t>
  </si>
  <si>
    <t>C1728</t>
  </si>
  <si>
    <t>R2106</t>
  </si>
  <si>
    <t>C8164</t>
  </si>
  <si>
    <t>C9867</t>
  </si>
  <si>
    <t>C6988</t>
  </si>
  <si>
    <t>R2217</t>
  </si>
  <si>
    <t>C3504</t>
  </si>
  <si>
    <t>R2936</t>
  </si>
  <si>
    <t>C3967</t>
  </si>
  <si>
    <t>R2752</t>
  </si>
  <si>
    <t>C3786</t>
  </si>
  <si>
    <t>C2122</t>
  </si>
  <si>
    <t>R2258</t>
  </si>
  <si>
    <t>C5079</t>
  </si>
  <si>
    <t>C2571</t>
  </si>
  <si>
    <t>R2773</t>
  </si>
  <si>
    <t>C6073</t>
  </si>
  <si>
    <t>R2516</t>
  </si>
  <si>
    <t>C6104</t>
  </si>
  <si>
    <t>R2772</t>
  </si>
  <si>
    <t>C3143</t>
  </si>
  <si>
    <t>C7806</t>
  </si>
  <si>
    <t>C8357</t>
  </si>
  <si>
    <t>C4440</t>
  </si>
  <si>
    <t>C4766</t>
  </si>
  <si>
    <t>C6644</t>
  </si>
  <si>
    <t>R2098</t>
  </si>
  <si>
    <t>C3914</t>
  </si>
  <si>
    <t>R2019</t>
  </si>
  <si>
    <t>C5968</t>
  </si>
  <si>
    <t>R2889</t>
  </si>
  <si>
    <t>C6917</t>
  </si>
  <si>
    <t>C9787</t>
  </si>
  <si>
    <t>R2572</t>
  </si>
  <si>
    <t>C2365</t>
  </si>
  <si>
    <t>C5492</t>
  </si>
  <si>
    <t>R2418</t>
  </si>
  <si>
    <t>R2689</t>
  </si>
  <si>
    <t>C8186</t>
  </si>
  <si>
    <t>R2849</t>
  </si>
  <si>
    <t>C1395</t>
  </si>
  <si>
    <t>R2144</t>
  </si>
  <si>
    <t>C9082</t>
  </si>
  <si>
    <t>C5171</t>
  </si>
  <si>
    <t>C5360</t>
  </si>
  <si>
    <t>R2159</t>
  </si>
  <si>
    <t>C3502</t>
  </si>
  <si>
    <t>C1717</t>
  </si>
  <si>
    <t>C3782</t>
  </si>
  <si>
    <t>C5946</t>
  </si>
  <si>
    <t>R2892</t>
  </si>
  <si>
    <t>C9335</t>
  </si>
  <si>
    <t>C5980</t>
  </si>
  <si>
    <t>R2328</t>
  </si>
  <si>
    <t>C8266</t>
  </si>
  <si>
    <t>R2579</t>
  </si>
  <si>
    <t>C5491</t>
  </si>
  <si>
    <t>C8192</t>
  </si>
  <si>
    <t>R2356</t>
  </si>
  <si>
    <t>C6588</t>
  </si>
  <si>
    <t>C8651</t>
  </si>
  <si>
    <t>R2266</t>
  </si>
  <si>
    <t>C4636</t>
  </si>
  <si>
    <t>R2616</t>
  </si>
  <si>
    <t>C2167</t>
  </si>
  <si>
    <t>R2951</t>
  </si>
  <si>
    <t>C2062</t>
  </si>
  <si>
    <t>R2322</t>
  </si>
  <si>
    <t>C3156</t>
  </si>
  <si>
    <t>R2634</t>
  </si>
  <si>
    <t>C8860</t>
  </si>
  <si>
    <t>R2987</t>
  </si>
  <si>
    <t>C6161</t>
  </si>
  <si>
    <t>R2540</t>
  </si>
  <si>
    <t>C6305</t>
  </si>
  <si>
    <t>R2648</t>
  </si>
  <si>
    <t>C7541</t>
  </si>
  <si>
    <t>R2194</t>
  </si>
  <si>
    <t>C5729</t>
  </si>
  <si>
    <t>C8330</t>
  </si>
  <si>
    <t>R2737</t>
  </si>
  <si>
    <t>C6334</t>
  </si>
  <si>
    <t>R2331</t>
  </si>
  <si>
    <t>C9924</t>
  </si>
  <si>
    <t>C5330</t>
  </si>
  <si>
    <t>C9010</t>
  </si>
  <si>
    <t>R2462</t>
  </si>
  <si>
    <t>C7801</t>
  </si>
  <si>
    <t>R2039</t>
  </si>
  <si>
    <t>C5846</t>
  </si>
  <si>
    <t>C7731</t>
  </si>
  <si>
    <t>C8241</t>
  </si>
  <si>
    <t>R2394</t>
  </si>
  <si>
    <t>C1953</t>
  </si>
  <si>
    <t>C3539</t>
  </si>
  <si>
    <t>C8056</t>
  </si>
  <si>
    <t>C2542</t>
  </si>
  <si>
    <t>R2123</t>
  </si>
  <si>
    <t>C6293</t>
  </si>
  <si>
    <t>C2191</t>
  </si>
  <si>
    <t>R2037</t>
  </si>
  <si>
    <t>C7313</t>
  </si>
  <si>
    <t>C3681</t>
  </si>
  <si>
    <t>R2900</t>
  </si>
  <si>
    <t>C2540</t>
  </si>
  <si>
    <t>R2175</t>
  </si>
  <si>
    <t>C7172</t>
  </si>
  <si>
    <t>R2601</t>
  </si>
  <si>
    <t>C6541</t>
  </si>
  <si>
    <t>R2913</t>
  </si>
  <si>
    <t>R2453</t>
  </si>
  <si>
    <t>C9691</t>
  </si>
  <si>
    <t>R2036</t>
  </si>
  <si>
    <t>C9702</t>
  </si>
  <si>
    <t>R2315</t>
  </si>
  <si>
    <t>C8494</t>
  </si>
  <si>
    <t>C5312</t>
  </si>
  <si>
    <t>R2972</t>
  </si>
  <si>
    <t>C2324</t>
  </si>
  <si>
    <t>R2795</t>
  </si>
  <si>
    <t>C4141</t>
  </si>
  <si>
    <t>R2964</t>
  </si>
  <si>
    <t>C8419</t>
  </si>
  <si>
    <t>C4486</t>
  </si>
  <si>
    <t>C2810</t>
  </si>
  <si>
    <t>R2113</t>
  </si>
  <si>
    <t>C7588</t>
  </si>
  <si>
    <t>C3923</t>
  </si>
  <si>
    <t>R2300</t>
  </si>
  <si>
    <t>C6301</t>
  </si>
  <si>
    <t>R2223</t>
  </si>
  <si>
    <t>C5186</t>
  </si>
  <si>
    <t>C9905</t>
  </si>
  <si>
    <t>C5268</t>
  </si>
  <si>
    <t>R2697</t>
  </si>
  <si>
    <t>C5748</t>
  </si>
  <si>
    <t>C5849</t>
  </si>
  <si>
    <t>R2567</t>
  </si>
  <si>
    <t>C4709</t>
  </si>
  <si>
    <t>C7619</t>
  </si>
  <si>
    <t>C9647</t>
  </si>
  <si>
    <t>C4072</t>
  </si>
  <si>
    <t>R2858</t>
  </si>
  <si>
    <t>C7530</t>
  </si>
  <si>
    <t>C1504</t>
  </si>
  <si>
    <t>C2214</t>
  </si>
  <si>
    <t>C2531</t>
  </si>
  <si>
    <t>R2261</t>
  </si>
  <si>
    <t>C8576</t>
  </si>
  <si>
    <t>C1823</t>
  </si>
  <si>
    <t>C1928</t>
  </si>
  <si>
    <t>R2335</t>
  </si>
  <si>
    <t>C6029</t>
  </si>
  <si>
    <t>C1133</t>
  </si>
  <si>
    <t>R2091</t>
  </si>
  <si>
    <t>C3105</t>
  </si>
  <si>
    <t>R2352</t>
  </si>
  <si>
    <t>C7316</t>
  </si>
  <si>
    <t>C2852</t>
  </si>
  <si>
    <t>R2815</t>
  </si>
  <si>
    <t>C5910</t>
  </si>
  <si>
    <t>R2680</t>
  </si>
  <si>
    <t>C5175</t>
  </si>
  <si>
    <t>C6348</t>
  </si>
  <si>
    <t>C7190</t>
  </si>
  <si>
    <t>R2556</t>
  </si>
  <si>
    <t>C2256</t>
  </si>
  <si>
    <t>R2344</t>
  </si>
  <si>
    <t>C4376</t>
  </si>
  <si>
    <t>C6645</t>
  </si>
  <si>
    <t>C4584</t>
  </si>
  <si>
    <t>R2190</t>
  </si>
  <si>
    <t>C9053</t>
  </si>
  <si>
    <t>R2666</t>
  </si>
  <si>
    <t>C4330</t>
  </si>
  <si>
    <t>R2421</t>
  </si>
  <si>
    <t>C3703</t>
  </si>
  <si>
    <t>C9662</t>
  </si>
  <si>
    <t>R2132</t>
  </si>
  <si>
    <t>C8114</t>
  </si>
  <si>
    <t>R2746</t>
  </si>
  <si>
    <t>C2353</t>
  </si>
  <si>
    <t>C6063</t>
  </si>
  <si>
    <t>R2825</t>
  </si>
  <si>
    <t>C9549</t>
  </si>
  <si>
    <t>C8575</t>
  </si>
  <si>
    <t>R2030</t>
  </si>
  <si>
    <t>C1667</t>
  </si>
  <si>
    <t>R2534</t>
  </si>
  <si>
    <t>C5468</t>
  </si>
  <si>
    <t>C7819</t>
  </si>
  <si>
    <t>R2393</t>
  </si>
  <si>
    <t>C4719</t>
  </si>
  <si>
    <t>R2671</t>
  </si>
  <si>
    <t>C3745</t>
  </si>
  <si>
    <t>C8483</t>
  </si>
  <si>
    <t>R2436</t>
  </si>
  <si>
    <t>C1539</t>
  </si>
  <si>
    <t>C5964</t>
  </si>
  <si>
    <t>R2550</t>
  </si>
  <si>
    <t>C5835</t>
  </si>
  <si>
    <t>R2926</t>
  </si>
  <si>
    <t>C4775</t>
  </si>
  <si>
    <t>C7042</t>
  </si>
  <si>
    <t>C8102</t>
  </si>
  <si>
    <t>R2257</t>
  </si>
  <si>
    <t>C8312</t>
  </si>
  <si>
    <t>R2717</t>
  </si>
  <si>
    <t>C6320</t>
  </si>
  <si>
    <t>R2588</t>
  </si>
  <si>
    <t>C7132</t>
  </si>
  <si>
    <t>R2988</t>
  </si>
  <si>
    <t>C8891</t>
  </si>
  <si>
    <t>C3779</t>
  </si>
  <si>
    <t>R2294</t>
  </si>
  <si>
    <t>C1924</t>
  </si>
  <si>
    <t>C2581</t>
  </si>
  <si>
    <t>C8714</t>
  </si>
  <si>
    <t>R2524</t>
  </si>
  <si>
    <t>C4324</t>
  </si>
  <si>
    <t>R2045</t>
  </si>
  <si>
    <t>C6713</t>
  </si>
  <si>
    <t>C8026</t>
  </si>
  <si>
    <t>C1255</t>
  </si>
  <si>
    <t>R2232</t>
  </si>
  <si>
    <t>C5804</t>
  </si>
  <si>
    <t>C2838</t>
  </si>
  <si>
    <t>R2359</t>
  </si>
  <si>
    <t>C1009</t>
  </si>
  <si>
    <t>C3871</t>
  </si>
  <si>
    <t>C9989</t>
  </si>
  <si>
    <t>C8409</t>
  </si>
  <si>
    <t>R2447</t>
  </si>
  <si>
    <t>C8418</t>
  </si>
  <si>
    <t>R2855</t>
  </si>
  <si>
    <t>C6124</t>
  </si>
  <si>
    <t>C2015</t>
  </si>
  <si>
    <t>R2674</t>
  </si>
  <si>
    <t>C3193</t>
  </si>
  <si>
    <t>R2325</t>
  </si>
  <si>
    <t>C9415</t>
  </si>
  <si>
    <t>C8449</t>
  </si>
  <si>
    <t>C5158</t>
  </si>
  <si>
    <t>C4925</t>
  </si>
  <si>
    <t>R2585</t>
  </si>
  <si>
    <t>C7970</t>
  </si>
  <si>
    <t>C5784</t>
  </si>
  <si>
    <t>R2993</t>
  </si>
  <si>
    <t>R2830</t>
  </si>
  <si>
    <t>C2633</t>
  </si>
  <si>
    <t>R2411</t>
  </si>
  <si>
    <t>R2571</t>
  </si>
  <si>
    <t>C1384</t>
  </si>
  <si>
    <t>R2221</t>
  </si>
  <si>
    <t>C1404</t>
  </si>
  <si>
    <t>C9175</t>
  </si>
  <si>
    <t>C3000</t>
  </si>
  <si>
    <t>C6989</t>
  </si>
  <si>
    <t>R2195</t>
  </si>
  <si>
    <t>C2460</t>
  </si>
  <si>
    <t>C8190</t>
  </si>
  <si>
    <t>R2863</t>
  </si>
  <si>
    <t>C8140</t>
  </si>
  <si>
    <t>R2483</t>
  </si>
  <si>
    <t>R2241</t>
  </si>
  <si>
    <t>C5809</t>
  </si>
  <si>
    <t>C5178</t>
  </si>
  <si>
    <t>C8245</t>
  </si>
  <si>
    <t>R2191</t>
  </si>
  <si>
    <t>C7600</t>
  </si>
  <si>
    <t>C6997</t>
  </si>
  <si>
    <t>C3048</t>
  </si>
  <si>
    <t>R2917</t>
  </si>
  <si>
    <t>C1716</t>
  </si>
  <si>
    <t>C8939</t>
  </si>
  <si>
    <t>R2885</t>
  </si>
  <si>
    <t>C6565</t>
  </si>
  <si>
    <t>C5544</t>
  </si>
  <si>
    <t>R2021</t>
  </si>
  <si>
    <t>C5976</t>
  </si>
  <si>
    <t>R2473</t>
  </si>
  <si>
    <t>C4419</t>
  </si>
  <si>
    <t>C8239</t>
  </si>
  <si>
    <t>R2209</t>
  </si>
  <si>
    <t>C1249</t>
  </si>
  <si>
    <t>R2305</t>
  </si>
  <si>
    <t>C9865</t>
  </si>
  <si>
    <t>R2269</t>
  </si>
  <si>
    <t>C1770</t>
  </si>
  <si>
    <t>R2703</t>
  </si>
  <si>
    <t>C5363</t>
  </si>
  <si>
    <t>R2686</t>
  </si>
  <si>
    <t>C2077</t>
  </si>
  <si>
    <t>C9427</t>
  </si>
  <si>
    <t>R2715</t>
  </si>
  <si>
    <t>C9580</t>
  </si>
  <si>
    <t>C8901</t>
  </si>
  <si>
    <t>R2762</t>
  </si>
  <si>
    <t>C5858</t>
  </si>
  <si>
    <t>C7544</t>
  </si>
  <si>
    <t>R2947</t>
  </si>
  <si>
    <t>C5719</t>
  </si>
  <si>
    <t>C3814</t>
  </si>
  <si>
    <t>R2459</t>
  </si>
  <si>
    <t>C4374</t>
  </si>
  <si>
    <t>C2252</t>
  </si>
  <si>
    <t>C7996</t>
  </si>
  <si>
    <t>R2906</t>
  </si>
  <si>
    <t>C5673</t>
  </si>
  <si>
    <t>R2032</t>
  </si>
  <si>
    <t>C5530</t>
  </si>
  <si>
    <t>C7881</t>
  </si>
  <si>
    <t>R2878</t>
  </si>
  <si>
    <t>R2078</t>
  </si>
  <si>
    <t>C7241</t>
  </si>
  <si>
    <t>R2927</t>
  </si>
  <si>
    <t>C9017</t>
  </si>
  <si>
    <t>R2946</t>
  </si>
  <si>
    <t>C7941</t>
  </si>
  <si>
    <t>R2458</t>
  </si>
  <si>
    <t>C8002</t>
  </si>
  <si>
    <t>R2569</t>
  </si>
  <si>
    <t>C2331</t>
  </si>
  <si>
    <t>C5261</t>
  </si>
  <si>
    <t>C8648</t>
  </si>
  <si>
    <t>C6115</t>
  </si>
  <si>
    <t>R2429</t>
  </si>
  <si>
    <t>C5637</t>
  </si>
  <si>
    <t>C5854</t>
  </si>
  <si>
    <t>C4177</t>
  </si>
  <si>
    <t>C8730</t>
  </si>
  <si>
    <t>R2976</t>
  </si>
  <si>
    <t>C3180</t>
  </si>
  <si>
    <t>C5892</t>
  </si>
  <si>
    <t>C8043</t>
  </si>
  <si>
    <t>C1137</t>
  </si>
  <si>
    <t>C7327</t>
  </si>
  <si>
    <t>R2270</t>
  </si>
  <si>
    <t>C4472</t>
  </si>
  <si>
    <t>R2886</t>
  </si>
  <si>
    <t>C6449</t>
  </si>
  <si>
    <t>R2796</t>
  </si>
  <si>
    <t>C3832</t>
  </si>
  <si>
    <t>R2156</t>
  </si>
  <si>
    <t>C4579</t>
  </si>
  <si>
    <t>C6971</t>
  </si>
  <si>
    <t>R2883</t>
  </si>
  <si>
    <t>C5164</t>
  </si>
  <si>
    <t>C8941</t>
  </si>
  <si>
    <t>C6569</t>
  </si>
  <si>
    <t>C5300</t>
  </si>
  <si>
    <t>R2973</t>
  </si>
  <si>
    <t>C7269</t>
  </si>
  <si>
    <t>R2083</t>
  </si>
  <si>
    <t>C4818</t>
  </si>
  <si>
    <t>C2906</t>
  </si>
  <si>
    <t>C7254</t>
  </si>
  <si>
    <t>R2538</t>
  </si>
  <si>
    <t>C1760</t>
  </si>
  <si>
    <t>C8830</t>
  </si>
  <si>
    <t>C8350</t>
  </si>
  <si>
    <t>R2381</t>
  </si>
  <si>
    <t>C7238</t>
  </si>
  <si>
    <t>C7090</t>
  </si>
  <si>
    <t>C7031</t>
  </si>
  <si>
    <t>C8687</t>
  </si>
  <si>
    <t>C9472</t>
  </si>
  <si>
    <t>R2020</t>
  </si>
  <si>
    <t>C2887</t>
  </si>
  <si>
    <t>R2302</t>
  </si>
  <si>
    <t>C4266</t>
  </si>
  <si>
    <t>C1666</t>
  </si>
  <si>
    <t>R2868</t>
  </si>
  <si>
    <t>C5188</t>
  </si>
  <si>
    <t>C1671</t>
  </si>
  <si>
    <t>C7777</t>
  </si>
  <si>
    <t>C8570</t>
  </si>
  <si>
    <t>R2658</t>
  </si>
  <si>
    <t>C8956</t>
  </si>
  <si>
    <t>R2952</t>
  </si>
  <si>
    <t>R2452</t>
  </si>
  <si>
    <t>C6585</t>
  </si>
  <si>
    <t>R2386</t>
  </si>
  <si>
    <t>C4900</t>
  </si>
  <si>
    <t>R2256</t>
  </si>
  <si>
    <t>C7677</t>
  </si>
  <si>
    <t>C7981</t>
  </si>
  <si>
    <t>R2891</t>
  </si>
  <si>
    <t>C7376</t>
  </si>
  <si>
    <t>C1523</t>
  </si>
  <si>
    <t>C3393</t>
  </si>
  <si>
    <t>C3593</t>
  </si>
  <si>
    <t>C8240</t>
  </si>
  <si>
    <t>R2162</t>
  </si>
  <si>
    <t>C7937</t>
  </si>
  <si>
    <t>R2831</t>
  </si>
  <si>
    <t>R2792</t>
  </si>
  <si>
    <t>C6240</t>
  </si>
  <si>
    <t>R2791</t>
  </si>
  <si>
    <t>C7493</t>
  </si>
  <si>
    <t>C3878</t>
  </si>
  <si>
    <t>R2785</t>
  </si>
  <si>
    <t>C5143</t>
  </si>
  <si>
    <t>C4644</t>
  </si>
  <si>
    <t>R2491</t>
  </si>
  <si>
    <t>C5432</t>
  </si>
  <si>
    <t>R2207</t>
  </si>
  <si>
    <t>C2276</t>
  </si>
  <si>
    <t>C6811</t>
  </si>
  <si>
    <t>C1302</t>
  </si>
  <si>
    <t>R2059</t>
  </si>
  <si>
    <t>C1638</t>
  </si>
  <si>
    <t>C1055</t>
  </si>
  <si>
    <t>R2984</t>
  </si>
  <si>
    <t>C9717</t>
  </si>
  <si>
    <t>R2656</t>
  </si>
  <si>
    <t>C9150</t>
  </si>
  <si>
    <t>R2604</t>
  </si>
  <si>
    <t>C3125</t>
  </si>
  <si>
    <t>R2308</t>
  </si>
  <si>
    <t>C1364</t>
  </si>
  <si>
    <t>R2519</t>
  </si>
  <si>
    <t>C7809</t>
  </si>
  <si>
    <t>R2590</t>
  </si>
  <si>
    <t>C5621</t>
  </si>
  <si>
    <t>C6126</t>
  </si>
  <si>
    <t>R2685</t>
  </si>
  <si>
    <t>C6122</t>
  </si>
  <si>
    <t>R2561</t>
  </si>
  <si>
    <t>C2646</t>
  </si>
  <si>
    <t>R2198</t>
  </si>
  <si>
    <t>C1918</t>
  </si>
  <si>
    <t>C3797</t>
  </si>
  <si>
    <t>C7506</t>
  </si>
  <si>
    <t>R2959</t>
  </si>
  <si>
    <t>C6870</t>
  </si>
  <si>
    <t>C9172</t>
  </si>
  <si>
    <t>R2535</t>
  </si>
  <si>
    <t>C4345</t>
  </si>
  <si>
    <t>R2827</t>
  </si>
  <si>
    <t>C8673</t>
  </si>
  <si>
    <t>R2898</t>
  </si>
  <si>
    <t>C7882</t>
  </si>
  <si>
    <t>C4086</t>
  </si>
  <si>
    <t>C9152</t>
  </si>
  <si>
    <t>C6750</t>
  </si>
  <si>
    <t>R2205</t>
  </si>
  <si>
    <t>C2976</t>
  </si>
  <si>
    <t>C2296</t>
  </si>
  <si>
    <t>C7229</t>
  </si>
  <si>
    <t>R2235</t>
  </si>
  <si>
    <t>C8641</t>
  </si>
  <si>
    <t>R2851</t>
  </si>
  <si>
    <t>C1125</t>
  </si>
  <si>
    <t>R2739</t>
  </si>
  <si>
    <t>C5632</t>
  </si>
  <si>
    <t>C7288</t>
  </si>
  <si>
    <t>R2677</t>
  </si>
  <si>
    <t>C4596</t>
  </si>
  <si>
    <t>C7168</t>
  </si>
  <si>
    <t>R2955</t>
  </si>
  <si>
    <t>C8561</t>
  </si>
  <si>
    <t>C9258</t>
  </si>
  <si>
    <t>R2725</t>
  </si>
  <si>
    <t>C1232</t>
  </si>
  <si>
    <t>C7371</t>
  </si>
  <si>
    <t>R2116</t>
  </si>
  <si>
    <t>C5206</t>
  </si>
  <si>
    <t>C8943</t>
  </si>
  <si>
    <t>C7891</t>
  </si>
  <si>
    <t>C7738</t>
  </si>
  <si>
    <t>C3472</t>
  </si>
  <si>
    <t>R2063</t>
  </si>
  <si>
    <t>C3739</t>
  </si>
  <si>
    <t>R2716</t>
  </si>
  <si>
    <t>C6401</t>
  </si>
  <si>
    <t>C2761</t>
  </si>
  <si>
    <t>R2071</t>
  </si>
  <si>
    <t>R2788</t>
  </si>
  <si>
    <t>C4812</t>
  </si>
  <si>
    <t>C2733</t>
  </si>
  <si>
    <t>R2319</t>
  </si>
  <si>
    <t>C2605</t>
  </si>
  <si>
    <t>R2337</t>
  </si>
  <si>
    <t>C6622</t>
  </si>
  <si>
    <t>C7767</t>
  </si>
  <si>
    <t>R2494</t>
  </si>
  <si>
    <t>C7986</t>
  </si>
  <si>
    <t>R2606</t>
  </si>
  <si>
    <t>C4517</t>
  </si>
  <si>
    <t>R2165</t>
  </si>
  <si>
    <t>C4735</t>
  </si>
  <si>
    <t>R2543</t>
  </si>
  <si>
    <t>C9434</t>
  </si>
  <si>
    <t>C3590</t>
  </si>
  <si>
    <t>C2063</t>
  </si>
  <si>
    <t>R2728</t>
  </si>
  <si>
    <t>C5324</t>
  </si>
  <si>
    <t>R2800</t>
  </si>
  <si>
    <t>C6342</t>
  </si>
  <si>
    <t>C1005</t>
  </si>
  <si>
    <t>R2424</t>
  </si>
  <si>
    <t>C8489</t>
  </si>
  <si>
    <t>R2391</t>
  </si>
  <si>
    <t>C9659</t>
  </si>
  <si>
    <t>C9195</t>
  </si>
  <si>
    <t>R2213</t>
  </si>
  <si>
    <t>C6966</t>
  </si>
  <si>
    <t>R2690</t>
  </si>
  <si>
    <t>C9837</t>
  </si>
  <si>
    <t>C1117</t>
  </si>
  <si>
    <t>R2552</t>
  </si>
  <si>
    <t>C3551</t>
  </si>
  <si>
    <t>C6560</t>
  </si>
  <si>
    <t>C5289</t>
  </si>
  <si>
    <t>C1846</t>
  </si>
  <si>
    <t>C7469</t>
  </si>
  <si>
    <t>C9915</t>
  </si>
  <si>
    <t>C1224</t>
  </si>
  <si>
    <t>C5208</t>
  </si>
  <si>
    <t>C7283</t>
  </si>
  <si>
    <t>C7233</t>
  </si>
  <si>
    <t>C2828</t>
  </si>
  <si>
    <t>C2917</t>
  </si>
  <si>
    <t>C5234</t>
  </si>
  <si>
    <t>C7988</t>
  </si>
  <si>
    <t>C3026</t>
  </si>
  <si>
    <t>R2864</t>
  </si>
  <si>
    <t>C4744</t>
  </si>
  <si>
    <t>R2001</t>
  </si>
  <si>
    <t>R2224</t>
  </si>
  <si>
    <t>C1260</t>
  </si>
  <si>
    <t>C7038</t>
  </si>
  <si>
    <t>R2744</t>
  </si>
  <si>
    <t>C3219</t>
  </si>
  <si>
    <t>C3060</t>
  </si>
  <si>
    <t>R2928</t>
  </si>
  <si>
    <t>C6287</t>
  </si>
  <si>
    <t>C2619</t>
  </si>
  <si>
    <t>R2115</t>
  </si>
  <si>
    <t>C9512</t>
  </si>
  <si>
    <t>C2342</t>
  </si>
  <si>
    <t>R2102</t>
  </si>
  <si>
    <t>C3824</t>
  </si>
  <si>
    <t>R2193</t>
  </si>
  <si>
    <t>C2994</t>
  </si>
  <si>
    <t>C4490</t>
  </si>
  <si>
    <t>C8984</t>
  </si>
  <si>
    <t>R2089</t>
  </si>
  <si>
    <t>C2604</t>
  </si>
  <si>
    <t>C1235</t>
  </si>
  <si>
    <t>R2121</t>
  </si>
  <si>
    <t>C2908</t>
  </si>
  <si>
    <t>R2142</t>
  </si>
  <si>
    <t>C9567</t>
  </si>
  <si>
    <t>C4530</t>
  </si>
  <si>
    <t>R2105</t>
  </si>
  <si>
    <t>C6256</t>
  </si>
  <si>
    <t>C3635</t>
  </si>
  <si>
    <t>R2427</t>
  </si>
  <si>
    <t>C9162</t>
  </si>
  <si>
    <t>R2304</t>
  </si>
  <si>
    <t>C3560</t>
  </si>
  <si>
    <t>R2871</t>
  </si>
  <si>
    <t>C6415</t>
  </si>
  <si>
    <t>R2970</t>
  </si>
  <si>
    <t>C4391</t>
  </si>
  <si>
    <t>R2316</t>
  </si>
  <si>
    <t>C6951</t>
  </si>
  <si>
    <t>R2962</t>
  </si>
  <si>
    <t>C6468</t>
  </si>
  <si>
    <t>C9007</t>
  </si>
  <si>
    <t>R2901</t>
  </si>
  <si>
    <t>C7413</t>
  </si>
  <si>
    <t>R2008</t>
  </si>
  <si>
    <t>C5820</t>
  </si>
  <si>
    <t>C3898</t>
  </si>
  <si>
    <t>C8546</t>
  </si>
  <si>
    <t>C1077</t>
  </si>
  <si>
    <t>C8577</t>
  </si>
  <si>
    <t>C5227</t>
  </si>
  <si>
    <t>R2369</t>
  </si>
  <si>
    <t>C1600</t>
  </si>
  <si>
    <t>C2065</t>
  </si>
  <si>
    <t>C3136</t>
  </si>
  <si>
    <t>C7943</t>
  </si>
  <si>
    <t>C8804</t>
  </si>
  <si>
    <t>R2859</t>
  </si>
  <si>
    <t>C7565</t>
  </si>
  <si>
    <t>C6984</t>
  </si>
  <si>
    <t>C6142</t>
  </si>
  <si>
    <t>C5670</t>
  </si>
  <si>
    <t>R2110</t>
  </si>
  <si>
    <t>C3190</t>
  </si>
  <si>
    <t>C3712</t>
  </si>
  <si>
    <t>R2382</t>
  </si>
  <si>
    <t>C3192</t>
  </si>
  <si>
    <t>C2248</t>
  </si>
  <si>
    <t>C5033</t>
  </si>
  <si>
    <t>C2997</t>
  </si>
  <si>
    <t>C4687</t>
  </si>
  <si>
    <t>R2899</t>
  </si>
  <si>
    <t>C5018</t>
  </si>
  <si>
    <t>R2389</t>
  </si>
  <si>
    <t>C2970</t>
  </si>
  <si>
    <t>R2313</t>
  </si>
  <si>
    <t>C9389</t>
  </si>
  <si>
    <t>C6765</t>
  </si>
  <si>
    <t>R2409</t>
  </si>
  <si>
    <t>C2202</t>
  </si>
  <si>
    <t>R2894</t>
  </si>
  <si>
    <t>C9135</t>
  </si>
  <si>
    <t>R2514</t>
  </si>
  <si>
    <t>C6567</t>
  </si>
  <si>
    <t>R2126</t>
  </si>
  <si>
    <t>C8667</t>
  </si>
  <si>
    <t>R2808</t>
  </si>
  <si>
    <t>C6742</t>
  </si>
  <si>
    <t>C6788</t>
  </si>
  <si>
    <t>C6408</t>
  </si>
  <si>
    <t>R2013</t>
  </si>
  <si>
    <t>C9669</t>
  </si>
  <si>
    <t>C1922</t>
  </si>
  <si>
    <t>C1419</t>
  </si>
  <si>
    <t>C3204</t>
  </si>
  <si>
    <t>C2120</t>
  </si>
  <si>
    <t>C1950</t>
  </si>
  <si>
    <t>R2908</t>
  </si>
  <si>
    <t>C3336</t>
  </si>
  <si>
    <t>C6373</t>
  </si>
  <si>
    <t>C3243</t>
  </si>
  <si>
    <t>C3645</t>
  </si>
  <si>
    <t>C5612</t>
  </si>
  <si>
    <t>C2865</t>
  </si>
  <si>
    <t>R2566</t>
  </si>
  <si>
    <t>C7028</t>
  </si>
  <si>
    <t>R2749</t>
  </si>
  <si>
    <t>C8326</t>
  </si>
  <si>
    <t>C7359</t>
  </si>
  <si>
    <t>R2903</t>
  </si>
  <si>
    <t>C8863</t>
  </si>
  <si>
    <t>R2732</t>
  </si>
  <si>
    <t>C4228</t>
  </si>
  <si>
    <t>R2630</t>
  </si>
  <si>
    <t>C3371</t>
  </si>
  <si>
    <t>R2694</t>
  </si>
  <si>
    <t>C3891</t>
  </si>
  <si>
    <t>C4756</t>
  </si>
  <si>
    <t>R2306</t>
  </si>
  <si>
    <t>C5225</t>
  </si>
  <si>
    <t>R2811</t>
  </si>
  <si>
    <t>C1094</t>
  </si>
  <si>
    <t>C3674</t>
  </si>
  <si>
    <t>R2965</t>
  </si>
  <si>
    <t>C7898</t>
  </si>
  <si>
    <t>C1793</t>
  </si>
  <si>
    <t>R2722</t>
  </si>
  <si>
    <t>C3116</t>
  </si>
  <si>
    <t>R2661</t>
  </si>
  <si>
    <t>C6779</t>
  </si>
  <si>
    <t>R2548</t>
  </si>
  <si>
    <t>C7166</t>
  </si>
  <si>
    <t>R2351</t>
  </si>
  <si>
    <t>C1814</t>
  </si>
  <si>
    <t>C1345</t>
  </si>
  <si>
    <t>R2872</t>
  </si>
  <si>
    <t>C9554</t>
  </si>
  <si>
    <t>C3443</t>
  </si>
  <si>
    <t>C8783</t>
  </si>
  <si>
    <t>R2923</t>
  </si>
  <si>
    <t>C1984</t>
  </si>
  <si>
    <t>C8790</t>
  </si>
  <si>
    <t>R2754</t>
  </si>
  <si>
    <t>C1827</t>
  </si>
  <si>
    <t>R2034</t>
  </si>
  <si>
    <t>C4531</t>
  </si>
  <si>
    <t>R2444</t>
  </si>
  <si>
    <t>C8147</t>
  </si>
  <si>
    <t>R2092</t>
  </si>
  <si>
    <t>C5451</t>
  </si>
  <si>
    <t>R2949</t>
  </si>
  <si>
    <t>C4876</t>
  </si>
  <si>
    <t>R2958</t>
  </si>
  <si>
    <t>C6959</t>
  </si>
  <si>
    <t>R2206</t>
  </si>
  <si>
    <t>C1126</t>
  </si>
  <si>
    <t>R2902</t>
  </si>
  <si>
    <t>C9795</t>
  </si>
  <si>
    <t>C7024</t>
  </si>
  <si>
    <t>C6109</t>
  </si>
  <si>
    <t>R2861</t>
  </si>
  <si>
    <t>R2724</t>
  </si>
  <si>
    <t>C8196</t>
  </si>
  <si>
    <t>C4368</t>
  </si>
  <si>
    <t>R2953</t>
  </si>
  <si>
    <t>C4797</t>
  </si>
  <si>
    <t>C2792</t>
  </si>
  <si>
    <t>R2023</t>
  </si>
  <si>
    <t>R2403</t>
  </si>
  <si>
    <t>C4476</t>
  </si>
  <si>
    <t>C4417</t>
  </si>
  <si>
    <t>C2645</t>
  </si>
  <si>
    <t>R2731</t>
  </si>
  <si>
    <t>C4030</t>
  </si>
  <si>
    <t>C3872</t>
  </si>
  <si>
    <t>C2854</t>
  </si>
  <si>
    <t>C5021</t>
  </si>
  <si>
    <t>C5662</t>
  </si>
  <si>
    <t>C7514</t>
  </si>
  <si>
    <t>C6031</t>
  </si>
  <si>
    <t>C3708</t>
  </si>
  <si>
    <t>C8112</t>
  </si>
  <si>
    <t>C9393</t>
  </si>
  <si>
    <t>R2419</t>
  </si>
  <si>
    <t>C4507</t>
  </si>
  <si>
    <t>C7456</t>
  </si>
  <si>
    <t>C5212</t>
  </si>
  <si>
    <t>C8970</t>
  </si>
  <si>
    <t>C9766</t>
  </si>
  <si>
    <t>C1536</t>
  </si>
  <si>
    <t>R2577</t>
  </si>
  <si>
    <t>C2625</t>
  </si>
  <si>
    <t>C8973</t>
  </si>
  <si>
    <t>C9577</t>
  </si>
  <si>
    <t>R2931</t>
  </si>
  <si>
    <t>C9070</t>
  </si>
  <si>
    <t>C9609</t>
  </si>
  <si>
    <t>R2937</t>
  </si>
  <si>
    <t>C7490</t>
  </si>
  <si>
    <t>C4600</t>
  </si>
  <si>
    <t>C7783</t>
  </si>
  <si>
    <t>R2185</t>
  </si>
  <si>
    <t>C5971</t>
  </si>
  <si>
    <t>R2245</t>
  </si>
  <si>
    <t>C2205</t>
  </si>
  <si>
    <t>R2636</t>
  </si>
  <si>
    <t>C2990</t>
  </si>
  <si>
    <t>C6299</t>
  </si>
  <si>
    <t>C4572</t>
  </si>
  <si>
    <t>C6975</t>
  </si>
  <si>
    <t>R2529</t>
  </si>
  <si>
    <t>C7320</t>
  </si>
  <si>
    <t>C5757</t>
  </si>
  <si>
    <t>R2910</t>
  </si>
  <si>
    <t>C3713</t>
  </si>
  <si>
    <t>R2736</t>
  </si>
  <si>
    <t>C1966</t>
  </si>
  <si>
    <t>C5944</t>
  </si>
  <si>
    <t>C4432</t>
  </si>
  <si>
    <t>R2099</t>
  </si>
  <si>
    <t>C1688</t>
  </si>
  <si>
    <t>R2751</t>
  </si>
  <si>
    <t>C5243</t>
  </si>
  <si>
    <t>C4701</t>
  </si>
  <si>
    <t>C9533</t>
  </si>
  <si>
    <t>R2297</t>
  </si>
  <si>
    <t>C6182</t>
  </si>
  <si>
    <t>C7704</t>
  </si>
  <si>
    <t>C5422</t>
  </si>
  <si>
    <t>R2333</t>
  </si>
  <si>
    <t>C2759</t>
  </si>
  <si>
    <t>C3482</t>
  </si>
  <si>
    <t>R2374</t>
  </si>
  <si>
    <t>C9058</t>
  </si>
  <si>
    <t>C1951</t>
  </si>
  <si>
    <t>R2836</t>
  </si>
  <si>
    <t>C9914</t>
  </si>
  <si>
    <t>C3079</t>
  </si>
  <si>
    <t>C3717</t>
  </si>
  <si>
    <t>C5524</t>
  </si>
  <si>
    <t>R2501</t>
  </si>
  <si>
    <t>C9477</t>
  </si>
  <si>
    <t>C8311</t>
  </si>
  <si>
    <t>C3065</t>
  </si>
  <si>
    <t>C1768</t>
  </si>
  <si>
    <t>R2503</t>
  </si>
  <si>
    <t>C6490</t>
  </si>
  <si>
    <t>R2230</t>
  </si>
  <si>
    <t>C7645</t>
  </si>
  <si>
    <t>C6083</t>
  </si>
  <si>
    <t>C6797</t>
  </si>
  <si>
    <t>R2742</t>
  </si>
  <si>
    <t>C5926</t>
  </si>
  <si>
    <t>C7016</t>
  </si>
  <si>
    <t>C4335</t>
  </si>
  <si>
    <t>Order_ID</t>
  </si>
  <si>
    <t>Customer_ID</t>
  </si>
  <si>
    <t>Restaurant_ID</t>
  </si>
  <si>
    <t>Restaurant_profit</t>
  </si>
  <si>
    <t>Platform_profit</t>
  </si>
  <si>
    <t>Customer_cost</t>
  </si>
  <si>
    <t>Order_date</t>
  </si>
  <si>
    <t>Delivery_date</t>
  </si>
  <si>
    <t>Delivery_time</t>
  </si>
  <si>
    <t>Order_value</t>
  </si>
  <si>
    <t>Delivery_fee</t>
  </si>
  <si>
    <t>Payment_method</t>
  </si>
  <si>
    <t>Discounts_and_offers</t>
  </si>
  <si>
    <t>Commission_fee</t>
  </si>
  <si>
    <t>Payment_processing_fee</t>
  </si>
  <si>
    <t>Refunds/chargebacks</t>
  </si>
  <si>
    <t>Restaurant</t>
  </si>
  <si>
    <t>Orders</t>
  </si>
  <si>
    <t>Revenue</t>
  </si>
  <si>
    <t>Profit</t>
  </si>
  <si>
    <t>Rate</t>
  </si>
  <si>
    <t>Delivery time</t>
  </si>
  <si>
    <t>Refunds</t>
  </si>
  <si>
    <t>Average</t>
  </si>
  <si>
    <t>Orders_count_customer</t>
  </si>
  <si>
    <t>Orders_count_restaurant</t>
  </si>
  <si>
    <t>Orders_filter</t>
  </si>
  <si>
    <t>(Multiple Items)</t>
  </si>
  <si>
    <t>(All)</t>
  </si>
  <si>
    <t>Client</t>
  </si>
  <si>
    <t>Total_bought</t>
  </si>
  <si>
    <t>Purchases</t>
  </si>
  <si>
    <t>10%</t>
  </si>
  <si>
    <t>Offer</t>
  </si>
  <si>
    <t>Delivery fee</t>
  </si>
  <si>
    <t>Payment method</t>
  </si>
  <si>
    <t>TOTAL
SALES</t>
  </si>
  <si>
    <t>TOTAL PROFIT
(PLATFORM)</t>
  </si>
  <si>
    <t>NUMBER OF
CUSTOMERS REACHED</t>
  </si>
  <si>
    <t>NUMBER OF
REGISTERED RESTAURANTS</t>
  </si>
  <si>
    <t>NUMBER OF
ORDERS PROCESSED</t>
  </si>
  <si>
    <t>TOTAL
REFUND RATE</t>
  </si>
  <si>
    <t>AVERAGE
DELIVERY TIME</t>
  </si>
  <si>
    <t>Which clients buy the most? Top 10.</t>
  </si>
  <si>
    <t>Which restaurants have the highest revenue? Top 10.</t>
  </si>
  <si>
    <t>Which restaurants have the highest profit? Top 10.</t>
  </si>
  <si>
    <t>Which clients present the highest refund rate? Top 5.</t>
  </si>
  <si>
    <t>Which promotions/discounts generate the highest revenue?</t>
  </si>
  <si>
    <t>Which delivery fees generate the highest revenue?</t>
  </si>
  <si>
    <t>Which restaurants generate more profit for the platform? Top 10.</t>
  </si>
  <si>
    <t>Which clients generate more profit for the platform? Top 10.</t>
  </si>
  <si>
    <t>Which payment methods are more common, and how much revenue do they produce?</t>
  </si>
  <si>
    <t>TOP 6 RESTAURANTS WITH MORE ORDERS</t>
  </si>
  <si>
    <t>Which restaurants have the highest number of orders?
*At least 3 orders.</t>
  </si>
  <si>
    <t>Which restaurants are paying the lowest platform costs/revenue rate? Top 10.
*At least 3 orders.</t>
  </si>
  <si>
    <t>Which restaurants are paying the highest platform costs/revenue rate? Top 10.
*At least 3 orders.</t>
  </si>
  <si>
    <t>Which restaurants present the lowest average delivery times? Top 10.
*At least 3 orders.</t>
  </si>
  <si>
    <t>Which restaurants present the highest average delivery times? Top 10.
*At least 3 orders.</t>
  </si>
  <si>
    <t>Which restaurants present the highest refund rate? Top 12.
*At least 3 orders.</t>
  </si>
  <si>
    <t>Which clients observe the lowest delivery times? Top 10.
*At least 2 orders.</t>
  </si>
  <si>
    <t>Which clients observe the highest delivery times? Top 10.
*At least 2 orders.</t>
  </si>
  <si>
    <t>TOP 5 RESTAURANTS WITH MORE REVENUE</t>
  </si>
  <si>
    <t>TOP 5 RESTAURANTS WITH MORE PROFIT</t>
  </si>
  <si>
    <t>TOP 5 RESTAURANTS WITH THE BEST AVERAGE DELIVERY TIME</t>
  </si>
  <si>
    <t>Refund</t>
  </si>
  <si>
    <t>* Restaurants' estimates considered only places with at least 3 orders.</t>
  </si>
  <si>
    <t>TOP 6 RESTAURANTS WITH THE WORST AVERAGE REFUND</t>
  </si>
  <si>
    <t>TOP 5 CLIENTS WHO BOUGHT THE MOST</t>
  </si>
  <si>
    <t>Total bought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</si>
</sst>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[$-409]m/d/yy\ h:mm\ AM/PM;@"/>
    <numFmt numFmtId="165" formatCode="h:mm;@"/>
    <numFmt numFmtId="166" formatCode="[$₹-439]#,##0.00"/>
    <numFmt numFmtId="167" formatCode="[$₹-439]#,##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n">
        <color indexed="64"/>
      </right>
      <top/>
      <bottom style="thin">
        <color indexed="64"/>
      </bottom>
      <diagonal/>
    </border>
    <border>
      <left style="thick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8">
    <xf numFmtId="0" fontId="0" fillId="0" borderId="0" xfId="0"/>
    <xf numFmtId="22" fontId="0" fillId="0" borderId="0" xfId="0" applyNumberFormat="1"/>
    <xf numFmtId="9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167" fontId="0" fillId="0" borderId="0" xfId="0" applyNumberFormat="1" applyAlignment="1">
      <alignment horizontal="left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3" fillId="2" borderId="4" xfId="0" applyFont="1" applyFill="1" applyBorder="1" applyAlignment="1">
      <alignment horizontal="centerContinuous" wrapText="1"/>
    </xf>
    <xf numFmtId="0" fontId="3" fillId="2" borderId="5" xfId="0" applyFont="1" applyFill="1" applyBorder="1" applyAlignment="1">
      <alignment horizontal="centerContinuous"/>
    </xf>
    <xf numFmtId="0" fontId="3" fillId="2" borderId="6" xfId="0" applyFont="1" applyFill="1" applyBorder="1" applyAlignment="1">
      <alignment horizontal="centerContinuous"/>
    </xf>
    <xf numFmtId="167" fontId="7" fillId="2" borderId="1" xfId="0" applyNumberFormat="1" applyFont="1" applyFill="1" applyBorder="1" applyAlignment="1">
      <alignment horizontal="centerContinuous"/>
    </xf>
    <xf numFmtId="0" fontId="7" fillId="2" borderId="2" xfId="0" applyFont="1" applyFill="1" applyBorder="1" applyAlignment="1">
      <alignment horizontal="centerContinuous"/>
    </xf>
    <xf numFmtId="0" fontId="7" fillId="2" borderId="3" xfId="0" applyFont="1" applyFill="1" applyBorder="1" applyAlignment="1">
      <alignment horizontal="centerContinuous"/>
    </xf>
    <xf numFmtId="167" fontId="7" fillId="2" borderId="4" xfId="0" applyNumberFormat="1" applyFont="1" applyFill="1" applyBorder="1" applyAlignment="1">
      <alignment horizontal="centerContinuous"/>
    </xf>
    <xf numFmtId="0" fontId="7" fillId="2" borderId="5" xfId="0" applyFont="1" applyFill="1" applyBorder="1" applyAlignment="1">
      <alignment horizontal="centerContinuous"/>
    </xf>
    <xf numFmtId="0" fontId="7" fillId="2" borderId="6" xfId="0" applyFont="1" applyFill="1" applyBorder="1" applyAlignment="1">
      <alignment horizontal="centerContinuous"/>
    </xf>
    <xf numFmtId="0" fontId="7" fillId="2" borderId="4" xfId="0" applyFont="1" applyFill="1" applyBorder="1" applyAlignment="1">
      <alignment horizontal="centerContinuous"/>
    </xf>
    <xf numFmtId="37" fontId="7" fillId="2" borderId="4" xfId="1" applyNumberFormat="1" applyFont="1" applyFill="1" applyBorder="1" applyAlignment="1">
      <alignment horizontal="centerContinuous"/>
    </xf>
    <xf numFmtId="10" fontId="7" fillId="2" borderId="4" xfId="2" applyNumberFormat="1" applyFont="1" applyFill="1" applyBorder="1" applyAlignment="1">
      <alignment horizontal="centerContinuous"/>
    </xf>
    <xf numFmtId="165" fontId="7" fillId="2" borderId="4" xfId="0" applyNumberFormat="1" applyFont="1" applyFill="1" applyBorder="1" applyAlignment="1">
      <alignment horizontal="centerContinuous"/>
    </xf>
    <xf numFmtId="0" fontId="0" fillId="2" borderId="12" xfId="0" applyFill="1" applyBorder="1"/>
    <xf numFmtId="0" fontId="0" fillId="2" borderId="0" xfId="0" applyFill="1" applyBorder="1"/>
    <xf numFmtId="0" fontId="0" fillId="2" borderId="13" xfId="0" applyFill="1" applyBorder="1"/>
    <xf numFmtId="0" fontId="3" fillId="2" borderId="4" xfId="0" applyFont="1" applyFill="1" applyBorder="1" applyAlignment="1">
      <alignment horizontal="centerContinuous" vertical="center" wrapText="1"/>
    </xf>
    <xf numFmtId="0" fontId="3" fillId="2" borderId="5" xfId="0" applyFont="1" applyFill="1" applyBorder="1" applyAlignment="1">
      <alignment horizontal="centerContinuous" vertical="center" wrapText="1"/>
    </xf>
    <xf numFmtId="0" fontId="3" fillId="2" borderId="6" xfId="0" applyFont="1" applyFill="1" applyBorder="1" applyAlignment="1">
      <alignment horizontal="centerContinuous" vertical="center" wrapText="1"/>
    </xf>
    <xf numFmtId="0" fontId="3" fillId="2" borderId="12" xfId="0" applyFont="1" applyFill="1" applyBorder="1"/>
    <xf numFmtId="0" fontId="3" fillId="2" borderId="0" xfId="0" applyFont="1" applyFill="1" applyBorder="1"/>
    <xf numFmtId="0" fontId="3" fillId="2" borderId="11" xfId="0" applyFont="1" applyFill="1" applyBorder="1" applyAlignment="1">
      <alignment horizontal="centerContinuous"/>
    </xf>
    <xf numFmtId="0" fontId="3" fillId="2" borderId="13" xfId="0" applyFont="1" applyFill="1" applyBorder="1"/>
    <xf numFmtId="0" fontId="2" fillId="2" borderId="12" xfId="0" applyFont="1" applyFill="1" applyBorder="1"/>
    <xf numFmtId="0" fontId="2" fillId="2" borderId="0" xfId="0" applyFont="1" applyFill="1" applyBorder="1"/>
    <xf numFmtId="0" fontId="2" fillId="2" borderId="10" xfId="0" applyFont="1" applyFill="1" applyBorder="1" applyAlignment="1">
      <alignment horizontal="centerContinuous"/>
    </xf>
    <xf numFmtId="167" fontId="2" fillId="2" borderId="10" xfId="0" applyNumberFormat="1" applyFont="1" applyFill="1" applyBorder="1" applyAlignment="1">
      <alignment horizontal="centerContinuous"/>
    </xf>
    <xf numFmtId="165" fontId="2" fillId="2" borderId="10" xfId="0" applyNumberFormat="1" applyFont="1" applyFill="1" applyBorder="1" applyAlignment="1">
      <alignment horizontal="centerContinuous"/>
    </xf>
    <xf numFmtId="166" fontId="2" fillId="2" borderId="10" xfId="0" applyNumberFormat="1" applyFont="1" applyFill="1" applyBorder="1" applyAlignment="1">
      <alignment horizontal="centerContinuous"/>
    </xf>
    <xf numFmtId="0" fontId="2" fillId="2" borderId="13" xfId="0" applyFont="1" applyFill="1" applyBorder="1"/>
    <xf numFmtId="0" fontId="6" fillId="2" borderId="0" xfId="0" applyFont="1" applyFill="1" applyBorder="1" applyAlignment="1">
      <alignment horizontal="centerContinuous"/>
    </xf>
    <xf numFmtId="0" fontId="0" fillId="2" borderId="5" xfId="0" applyFill="1" applyBorder="1" applyAlignment="1">
      <alignment horizontal="centerContinuous"/>
    </xf>
    <xf numFmtId="0" fontId="2" fillId="2" borderId="5" xfId="0" applyFont="1" applyFill="1" applyBorder="1" applyAlignment="1">
      <alignment horizontal="centerContinuous"/>
    </xf>
    <xf numFmtId="0" fontId="2" fillId="2" borderId="6" xfId="0" applyFont="1" applyFill="1" applyBorder="1" applyAlignment="1">
      <alignment horizontal="centerContinuous"/>
    </xf>
    <xf numFmtId="0" fontId="3" fillId="2" borderId="14" xfId="0" applyFont="1" applyFill="1" applyBorder="1" applyAlignment="1">
      <alignment horizontal="centerContinuous"/>
    </xf>
    <xf numFmtId="0" fontId="0" fillId="2" borderId="11" xfId="0" applyFill="1" applyBorder="1" applyAlignment="1">
      <alignment horizontal="centerContinuous"/>
    </xf>
    <xf numFmtId="0" fontId="3" fillId="2" borderId="11" xfId="0" applyNumberFormat="1" applyFont="1" applyFill="1" applyBorder="1" applyAlignment="1">
      <alignment horizontal="centerContinuous"/>
    </xf>
    <xf numFmtId="0" fontId="2" fillId="2" borderId="15" xfId="0" applyFont="1" applyFill="1" applyBorder="1" applyAlignment="1">
      <alignment horizontal="centerContinuous"/>
    </xf>
    <xf numFmtId="0" fontId="0" fillId="2" borderId="10" xfId="0" applyFill="1" applyBorder="1" applyAlignment="1">
      <alignment horizontal="centerContinuous"/>
    </xf>
    <xf numFmtId="0" fontId="2" fillId="2" borderId="10" xfId="0" applyNumberFormat="1" applyFont="1" applyFill="1" applyBorder="1" applyAlignment="1">
      <alignment horizontal="centerContinuous"/>
    </xf>
    <xf numFmtId="0" fontId="0" fillId="2" borderId="0" xfId="0" applyNumberFormat="1" applyFill="1" applyBorder="1"/>
    <xf numFmtId="0" fontId="0" fillId="2" borderId="0" xfId="0" applyFill="1" applyBorder="1" applyAlignment="1">
      <alignment horizontal="left"/>
    </xf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left"/>
    </xf>
    <xf numFmtId="0" fontId="0" fillId="2" borderId="2" xfId="0" applyNumberFormat="1" applyFill="1" applyBorder="1"/>
    <xf numFmtId="0" fontId="0" fillId="2" borderId="3" xfId="0" applyFill="1" applyBorder="1"/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14">
    <dxf>
      <numFmt numFmtId="167" formatCode="[$₹-439]#,##0"/>
    </dxf>
    <dxf>
      <numFmt numFmtId="167" formatCode="[$₹-439]#,##0"/>
    </dxf>
    <dxf>
      <numFmt numFmtId="167" formatCode="[$₹-439]#,##0"/>
    </dxf>
    <dxf>
      <numFmt numFmtId="167" formatCode="[$₹-439]#,##0"/>
    </dxf>
    <dxf>
      <numFmt numFmtId="167" formatCode="[$₹-439]#,##0"/>
    </dxf>
    <dxf>
      <numFmt numFmtId="167" formatCode="[$₹-439]#,##0"/>
    </dxf>
    <dxf>
      <numFmt numFmtId="0" formatCode="General"/>
    </dxf>
    <dxf>
      <numFmt numFmtId="167" formatCode="[$₹-439]#,##0"/>
    </dxf>
    <dxf>
      <numFmt numFmtId="167" formatCode="[$₹-439]#,##0"/>
    </dxf>
    <dxf>
      <numFmt numFmtId="165" formatCode="h:mm;@"/>
    </dxf>
    <dxf>
      <numFmt numFmtId="164" formatCode="[$-409]m/d/yy\ h:mm\ AM/PM;@"/>
    </dxf>
    <dxf>
      <numFmt numFmtId="164" formatCode="[$-409]m/d/yy\ h:mm\ AM/PM;@"/>
    </dxf>
    <dxf>
      <numFmt numFmtId="27" formatCode="m/d/yyyy\ h:mm"/>
    </dxf>
    <dxf>
      <numFmt numFmtId="27" formatCode="m/d/yyyy\ h:mm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[Platform_performance_analysis.xlsx]Pivot_summary_platform!PivotTable4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Payment Method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chemeClr val="lt1">
                <a:alpha val="90000"/>
              </a:schemeClr>
            </a:solidFill>
            <a:ln w="12700" cap="flat" cmpd="sng" algn="ctr">
              <a:solidFill>
                <a:schemeClr val="accent1"/>
              </a:solidFill>
              <a:round/>
            </a:ln>
            <a:effectLst>
              <a:outerShdw blurRad="50800" dist="38100" dir="2700000" algn="tl" rotWithShape="0">
                <a:schemeClr val="accent1">
                  <a:lumMod val="75000"/>
                  <a:alpha val="40000"/>
                </a:scheme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chemeClr val="lt1">
                <a:alpha val="90000"/>
              </a:schemeClr>
            </a:solidFill>
            <a:ln w="12700" cap="flat" cmpd="sng" algn="ctr">
              <a:solidFill>
                <a:schemeClr val="accent1"/>
              </a:solidFill>
              <a:round/>
            </a:ln>
            <a:effectLst>
              <a:outerShdw blurRad="50800" dist="38100" dir="2700000" algn="tl" rotWithShape="0">
                <a:schemeClr val="accent1">
                  <a:lumMod val="75000"/>
                  <a:alpha val="40000"/>
                </a:scheme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dLbl>
          <c:idx val="0"/>
          <c:spPr>
            <a:solidFill>
              <a:schemeClr val="lt1">
                <a:alpha val="90000"/>
              </a:schemeClr>
            </a:solidFill>
            <a:ln w="12700" cap="flat" cmpd="sng" algn="ctr">
              <a:solidFill>
                <a:schemeClr val="accent1"/>
              </a:solidFill>
              <a:round/>
            </a:ln>
            <a:effectLst>
              <a:outerShdw blurRad="50800" dist="38100" dir="2700000" algn="tl" rotWithShape="0">
                <a:schemeClr val="accent1">
                  <a:lumMod val="75000"/>
                  <a:alpha val="40000"/>
                </a:scheme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3"/>
        <c:spPr>
          <a:solidFill>
            <a:schemeClr val="accent2">
              <a:alpha val="90000"/>
            </a:schemeClr>
          </a:solidFill>
          <a:ln w="19050">
            <a:solidFill>
              <a:schemeClr val="accent2">
                <a:lumMod val="75000"/>
              </a:schemeClr>
            </a:solidFill>
          </a:ln>
          <a:effectLst>
            <a:innerShdw blurRad="114300">
              <a:schemeClr val="accent2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2">
                <a:lumMod val="75000"/>
              </a:schemeClr>
            </a:contourClr>
          </a:sp3d>
        </c:spPr>
        <c:dLbl>
          <c:idx val="0"/>
          <c:spPr>
            <a:solidFill>
              <a:schemeClr val="lt1">
                <a:alpha val="90000"/>
              </a:schemeClr>
            </a:solidFill>
            <a:ln w="12700" cap="flat" cmpd="sng" algn="ctr">
              <a:solidFill>
                <a:schemeClr val="accent1"/>
              </a:solidFill>
              <a:round/>
            </a:ln>
            <a:effectLst>
              <a:outerShdw blurRad="50800" dist="38100" dir="2700000" algn="tl" rotWithShape="0">
                <a:schemeClr val="accent1">
                  <a:lumMod val="75000"/>
                  <a:alpha val="40000"/>
                </a:scheme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4"/>
        <c:spPr>
          <a:solidFill>
            <a:schemeClr val="accent3">
              <a:alpha val="90000"/>
            </a:schemeClr>
          </a:solidFill>
          <a:ln w="19050">
            <a:solidFill>
              <a:schemeClr val="accent3">
                <a:lumMod val="75000"/>
              </a:schemeClr>
            </a:solidFill>
          </a:ln>
          <a:effectLst>
            <a:innerShdw blurRad="114300">
              <a:schemeClr val="accent3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3">
                <a:lumMod val="75000"/>
              </a:schemeClr>
            </a:contourClr>
          </a:sp3d>
        </c:spPr>
        <c:dLbl>
          <c:idx val="0"/>
          <c:spPr>
            <a:solidFill>
              <a:schemeClr val="lt1">
                <a:alpha val="90000"/>
              </a:schemeClr>
            </a:solidFill>
            <a:ln w="12700" cap="flat" cmpd="sng" algn="ctr">
              <a:solidFill>
                <a:schemeClr val="accent1"/>
              </a:solidFill>
              <a:round/>
            </a:ln>
            <a:effectLst>
              <a:outerShdw blurRad="50800" dist="38100" dir="2700000" algn="tl" rotWithShape="0">
                <a:schemeClr val="accent1">
                  <a:lumMod val="75000"/>
                  <a:alpha val="40000"/>
                </a:scheme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5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dLbl>
          <c:idx val="0"/>
          <c:spPr>
            <a:solidFill>
              <a:schemeClr val="lt1">
                <a:alpha val="90000"/>
              </a:schemeClr>
            </a:solidFill>
            <a:ln w="12700" cap="flat" cmpd="sng" algn="ctr">
              <a:solidFill>
                <a:schemeClr val="accent1"/>
              </a:solidFill>
              <a:round/>
            </a:ln>
            <a:effectLst>
              <a:outerShdw blurRad="50800" dist="38100" dir="2700000" algn="tl" rotWithShape="0">
                <a:schemeClr val="accent1">
                  <a:lumMod val="75000"/>
                  <a:alpha val="40000"/>
                </a:scheme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6"/>
        <c:spPr>
          <a:solidFill>
            <a:schemeClr val="accent2">
              <a:alpha val="90000"/>
            </a:schemeClr>
          </a:solidFill>
          <a:ln w="19050">
            <a:solidFill>
              <a:schemeClr val="accent2">
                <a:lumMod val="75000"/>
              </a:schemeClr>
            </a:solidFill>
          </a:ln>
          <a:effectLst>
            <a:innerShdw blurRad="114300">
              <a:schemeClr val="accent2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2">
                <a:lumMod val="75000"/>
              </a:schemeClr>
            </a:contourClr>
          </a:sp3d>
        </c:spPr>
        <c:dLbl>
          <c:idx val="0"/>
          <c:spPr>
            <a:solidFill>
              <a:schemeClr val="lt1">
                <a:alpha val="90000"/>
              </a:schemeClr>
            </a:solidFill>
            <a:ln w="12700" cap="flat" cmpd="sng" algn="ctr">
              <a:solidFill>
                <a:schemeClr val="accent1"/>
              </a:solidFill>
              <a:round/>
            </a:ln>
            <a:effectLst>
              <a:outerShdw blurRad="50800" dist="38100" dir="2700000" algn="tl" rotWithShape="0">
                <a:schemeClr val="accent1">
                  <a:lumMod val="75000"/>
                  <a:alpha val="40000"/>
                </a:scheme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7"/>
        <c:spPr>
          <a:solidFill>
            <a:schemeClr val="accent3">
              <a:alpha val="90000"/>
            </a:schemeClr>
          </a:solidFill>
          <a:ln w="19050">
            <a:solidFill>
              <a:schemeClr val="accent3">
                <a:lumMod val="75000"/>
              </a:schemeClr>
            </a:solidFill>
          </a:ln>
          <a:effectLst>
            <a:innerShdw blurRad="114300">
              <a:schemeClr val="accent3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3">
                <a:lumMod val="75000"/>
              </a:schemeClr>
            </a:contourClr>
          </a:sp3d>
        </c:spPr>
        <c:dLbl>
          <c:idx val="0"/>
          <c:spPr>
            <a:solidFill>
              <a:schemeClr val="lt1">
                <a:alpha val="90000"/>
              </a:schemeClr>
            </a:solidFill>
            <a:ln w="12700" cap="flat" cmpd="sng" algn="ctr">
              <a:solidFill>
                <a:schemeClr val="accent1"/>
              </a:solidFill>
              <a:round/>
            </a:ln>
            <a:effectLst>
              <a:outerShdw blurRad="50800" dist="38100" dir="2700000" algn="tl" rotWithShape="0">
                <a:schemeClr val="accent1">
                  <a:lumMod val="75000"/>
                  <a:alpha val="40000"/>
                </a:scheme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8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chemeClr val="lt1">
                <a:alpha val="90000"/>
              </a:schemeClr>
            </a:solidFill>
            <a:ln w="12700" cap="flat" cmpd="sng" algn="ctr">
              <a:solidFill>
                <a:schemeClr val="accent1"/>
              </a:solidFill>
              <a:round/>
            </a:ln>
            <a:effectLst>
              <a:outerShdw blurRad="50800" dist="38100" dir="2700000" algn="tl" rotWithShape="0">
                <a:schemeClr val="accent1">
                  <a:lumMod val="75000"/>
                  <a:alpha val="40000"/>
                </a:scheme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dLbl>
          <c:idx val="0"/>
          <c:layout/>
          <c:spPr>
            <a:solidFill>
              <a:schemeClr val="lt1">
                <a:alpha val="90000"/>
              </a:schemeClr>
            </a:solidFill>
            <a:ln w="12700" cap="flat" cmpd="sng" algn="ctr">
              <a:solidFill>
                <a:schemeClr val="accent1"/>
              </a:solidFill>
              <a:round/>
            </a:ln>
            <a:effectLst>
              <a:outerShdw blurRad="50800" dist="38100" dir="2700000" algn="tl" rotWithShape="0">
                <a:schemeClr val="accent1">
                  <a:lumMod val="75000"/>
                  <a:alpha val="40000"/>
                </a:scheme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0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dLbl>
          <c:idx val="0"/>
          <c:layout/>
          <c:spPr>
            <a:solidFill>
              <a:schemeClr val="lt1">
                <a:alpha val="90000"/>
              </a:schemeClr>
            </a:solidFill>
            <a:ln w="12700" cap="flat" cmpd="sng" algn="ctr">
              <a:solidFill>
                <a:schemeClr val="accent1"/>
              </a:solidFill>
              <a:round/>
            </a:ln>
            <a:effectLst>
              <a:outerShdw blurRad="50800" dist="38100" dir="2700000" algn="tl" rotWithShape="0">
                <a:schemeClr val="accent1">
                  <a:lumMod val="75000"/>
                  <a:alpha val="40000"/>
                </a:scheme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1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dLbl>
          <c:idx val="0"/>
          <c:layout/>
          <c:spPr>
            <a:solidFill>
              <a:schemeClr val="lt1">
                <a:alpha val="90000"/>
              </a:schemeClr>
            </a:solidFill>
            <a:ln w="12700" cap="flat" cmpd="sng" algn="ctr">
              <a:solidFill>
                <a:schemeClr val="accent1"/>
              </a:solidFill>
              <a:round/>
            </a:ln>
            <a:effectLst>
              <a:outerShdw blurRad="50800" dist="38100" dir="2700000" algn="tl" rotWithShape="0">
                <a:schemeClr val="accent1">
                  <a:lumMod val="75000"/>
                  <a:alpha val="40000"/>
                </a:scheme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2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chemeClr val="lt1">
                <a:alpha val="90000"/>
              </a:schemeClr>
            </a:solidFill>
            <a:ln w="12700" cap="flat" cmpd="sng" algn="ctr">
              <a:solidFill>
                <a:schemeClr val="accent1"/>
              </a:solidFill>
              <a:round/>
            </a:ln>
            <a:effectLst>
              <a:outerShdw blurRad="50800" dist="38100" dir="2700000" algn="tl" rotWithShape="0">
                <a:schemeClr val="accent1">
                  <a:lumMod val="75000"/>
                  <a:alpha val="40000"/>
                </a:scheme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dLbl>
          <c:idx val="0"/>
          <c:spPr>
            <a:solidFill>
              <a:schemeClr val="lt1">
                <a:alpha val="90000"/>
              </a:schemeClr>
            </a:solidFill>
            <a:ln w="12700" cap="flat" cmpd="sng" algn="ctr">
              <a:solidFill>
                <a:schemeClr val="accent1"/>
              </a:solidFill>
              <a:round/>
            </a:ln>
            <a:effectLst>
              <a:outerShdw blurRad="50800" dist="38100" dir="2700000" algn="tl" rotWithShape="0">
                <a:schemeClr val="accent1">
                  <a:lumMod val="75000"/>
                  <a:alpha val="40000"/>
                </a:scheme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dLbl>
          <c:idx val="0"/>
          <c:spPr>
            <a:solidFill>
              <a:schemeClr val="lt1">
                <a:alpha val="90000"/>
              </a:schemeClr>
            </a:solidFill>
            <a:ln w="12700" cap="flat" cmpd="sng" algn="ctr">
              <a:solidFill>
                <a:schemeClr val="accent1"/>
              </a:solidFill>
              <a:round/>
            </a:ln>
            <a:effectLst>
              <a:outerShdw blurRad="50800" dist="38100" dir="2700000" algn="tl" rotWithShape="0">
                <a:schemeClr val="accent1">
                  <a:lumMod val="75000"/>
                  <a:alpha val="40000"/>
                </a:scheme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dLbl>
          <c:idx val="0"/>
          <c:spPr>
            <a:solidFill>
              <a:schemeClr val="lt1">
                <a:alpha val="90000"/>
              </a:schemeClr>
            </a:solidFill>
            <a:ln w="12700" cap="flat" cmpd="sng" algn="ctr">
              <a:solidFill>
                <a:schemeClr val="accent1"/>
              </a:solidFill>
              <a:round/>
            </a:ln>
            <a:effectLst>
              <a:outerShdw blurRad="50800" dist="38100" dir="2700000" algn="tl" rotWithShape="0">
                <a:schemeClr val="accent1">
                  <a:lumMod val="75000"/>
                  <a:alpha val="40000"/>
                </a:scheme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Pivot_summary_platform!$R$3</c:f>
              <c:strCache>
                <c:ptCount val="1"/>
                <c:pt idx="0">
                  <c:v>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alpha val="90000"/>
                </a:schemeClr>
              </a:solidFill>
              <a:ln w="19050">
                <a:solidFill>
                  <a:schemeClr val="accent1"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75000"/>
                  </a:schemeClr>
                </a:contourClr>
              </a:sp3d>
            </c:spPr>
          </c:dPt>
          <c:dPt>
            <c:idx val="1"/>
            <c:bubble3D val="0"/>
            <c:spPr>
              <a:solidFill>
                <a:schemeClr val="accent2">
                  <a:alpha val="90000"/>
                </a:schemeClr>
              </a:solidFill>
              <a:ln w="19050">
                <a:solidFill>
                  <a:schemeClr val="accent2"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75000"/>
                  </a:schemeClr>
                </a:contourClr>
              </a:sp3d>
            </c:spPr>
          </c:dPt>
          <c:dPt>
            <c:idx val="2"/>
            <c:bubble3D val="0"/>
            <c:spPr>
              <a:solidFill>
                <a:schemeClr val="accent3">
                  <a:alpha val="90000"/>
                </a:schemeClr>
              </a:solidFill>
              <a:ln w="19050">
                <a:solidFill>
                  <a:schemeClr val="accent3"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75000"/>
                  </a:schemeClr>
                </a:contourClr>
              </a:sp3d>
            </c:spPr>
          </c:dPt>
          <c:dLbls>
            <c:dLbl>
              <c:idx val="0"/>
              <c:layout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1"/>
                  </a:solidFill>
                  <a:round/>
                </a:ln>
                <a:effectLst>
                  <a:outerShdw blurRad="50800" dist="38100" dir="2700000" algn="tl" rotWithShape="0">
                    <a:schemeClr val="accent1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dk1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2"/>
                  </a:solidFill>
                  <a:round/>
                </a:ln>
                <a:effectLst>
                  <a:outerShdw blurRad="50800" dist="38100" dir="2700000" algn="tl" rotWithShape="0">
                    <a:schemeClr val="accent2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dk1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3"/>
                  </a:solidFill>
                  <a:round/>
                </a:ln>
                <a:effectLst>
                  <a:outerShdw blurRad="50800" dist="38100" dir="2700000" algn="tl" rotWithShape="0">
                    <a:schemeClr val="accent3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dk1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/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Pivot_summary_platform!$Q$4:$Q$6</c:f>
              <c:strCache>
                <c:ptCount val="3"/>
                <c:pt idx="0">
                  <c:v>Cash on Delivery</c:v>
                </c:pt>
                <c:pt idx="1">
                  <c:v>Credit Card</c:v>
                </c:pt>
                <c:pt idx="2">
                  <c:v>Digital Wallet</c:v>
                </c:pt>
              </c:strCache>
            </c:strRef>
          </c:cat>
          <c:val>
            <c:numRef>
              <c:f>Pivot_summary_platform!$R$4:$R$6</c:f>
              <c:numCache>
                <c:formatCode>[$₹-439]#,##0</c:formatCode>
                <c:ptCount val="3"/>
                <c:pt idx="0">
                  <c:v>374669</c:v>
                </c:pt>
                <c:pt idx="1">
                  <c:v>361208</c:v>
                </c:pt>
                <c:pt idx="2">
                  <c:v>318092</c:v>
                </c:pt>
              </c:numCache>
            </c:numRef>
          </c:val>
        </c:ser>
        <c:ser>
          <c:idx val="1"/>
          <c:order val="1"/>
          <c:tx>
            <c:strRef>
              <c:f>Pivot_summary_platform!$S$3</c:f>
              <c:strCache>
                <c:ptCount val="1"/>
                <c:pt idx="0">
                  <c:v>Orders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alpha val="90000"/>
                </a:schemeClr>
              </a:solidFill>
              <a:ln w="19050">
                <a:solidFill>
                  <a:schemeClr val="accent1"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75000"/>
                  </a:schemeClr>
                </a:contourClr>
              </a:sp3d>
            </c:spPr>
          </c:dPt>
          <c:dPt>
            <c:idx val="1"/>
            <c:bubble3D val="0"/>
            <c:spPr>
              <a:solidFill>
                <a:schemeClr val="accent2">
                  <a:alpha val="90000"/>
                </a:schemeClr>
              </a:solidFill>
              <a:ln w="19050">
                <a:solidFill>
                  <a:schemeClr val="accent2"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75000"/>
                  </a:schemeClr>
                </a:contourClr>
              </a:sp3d>
            </c:spPr>
          </c:dPt>
          <c:dPt>
            <c:idx val="2"/>
            <c:bubble3D val="0"/>
            <c:spPr>
              <a:solidFill>
                <a:schemeClr val="accent3">
                  <a:alpha val="90000"/>
                </a:schemeClr>
              </a:solidFill>
              <a:ln w="19050">
                <a:solidFill>
                  <a:schemeClr val="accent3"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75000"/>
                  </a:schemeClr>
                </a:contourClr>
              </a:sp3d>
            </c:spPr>
          </c:dPt>
          <c:dLbls>
            <c:dLbl>
              <c:idx val="0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1"/>
                  </a:solidFill>
                  <a:round/>
                </a:ln>
                <a:effectLst>
                  <a:outerShdw blurRad="50800" dist="38100" dir="2700000" algn="tl" rotWithShape="0">
                    <a:schemeClr val="accent1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dk1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1"/>
              <c:showSerName val="0"/>
              <c:showPercent val="0"/>
              <c:showBubbleSize val="0"/>
            </c:dLbl>
            <c:dLbl>
              <c:idx val="1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2"/>
                  </a:solidFill>
                  <a:round/>
                </a:ln>
                <a:effectLst>
                  <a:outerShdw blurRad="50800" dist="38100" dir="2700000" algn="tl" rotWithShape="0">
                    <a:schemeClr val="accent2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dk1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1"/>
              <c:showSerName val="0"/>
              <c:showPercent val="0"/>
              <c:showBubbleSize val="0"/>
            </c:dLbl>
            <c:dLbl>
              <c:idx val="2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3"/>
                  </a:solidFill>
                  <a:round/>
                </a:ln>
                <a:effectLst>
                  <a:outerShdw blurRad="50800" dist="38100" dir="2700000" algn="tl" rotWithShape="0">
                    <a:schemeClr val="accent3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dk1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1"/>
              <c:showSerName val="0"/>
              <c:showPercent val="0"/>
              <c:showBubbleSize val="0"/>
            </c:dLbl>
            <c:spPr/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Pivot_summary_platform!$Q$4:$Q$6</c:f>
              <c:strCache>
                <c:ptCount val="3"/>
                <c:pt idx="0">
                  <c:v>Cash on Delivery</c:v>
                </c:pt>
                <c:pt idx="1">
                  <c:v>Credit Card</c:v>
                </c:pt>
                <c:pt idx="2">
                  <c:v>Digital Wallet</c:v>
                </c:pt>
              </c:strCache>
            </c:strRef>
          </c:cat>
          <c:val>
            <c:numRef>
              <c:f>Pivot_summary_platform!$S$4:$S$6</c:f>
              <c:numCache>
                <c:formatCode>General</c:formatCode>
                <c:ptCount val="3"/>
                <c:pt idx="0">
                  <c:v>357</c:v>
                </c:pt>
                <c:pt idx="1">
                  <c:v>337</c:v>
                </c:pt>
                <c:pt idx="2">
                  <c:v>306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>
        <a:lumMod val="85000"/>
      </a:schemeClr>
    </a:solidFill>
    <a:ln w="25400" cap="flat" cmpd="sng" algn="ctr">
      <a:solidFill>
        <a:schemeClr val="dk1"/>
      </a:solidFill>
      <a:prstDash val="solid"/>
      <a:round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[Platform_performance_analysis.xlsx]Pivot_summary_platform!PivotTable5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DISCOUNT/OFFER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ivotFmts>
      <c:pivotFmt>
        <c:idx val="0"/>
        <c:marker>
          <c:symbol val="none"/>
        </c:marker>
        <c:dLbl>
          <c:idx val="0"/>
          <c:layout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4F81BD"/>
              </a:solidFill>
              <a:round/>
            </a:ln>
            <a:effectLst>
              <a:outerShdw blurRad="50800" dist="38100" dir="2700000" algn="tl" rotWithShape="0">
                <a:srgbClr val="4F81BD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marker>
          <c:symbol val="none"/>
        </c:marker>
        <c:dLbl>
          <c:idx val="0"/>
          <c:layout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C0504D"/>
              </a:solidFill>
              <a:round/>
            </a:ln>
            <a:effectLst>
              <a:outerShdw blurRad="50800" dist="38100" dir="2700000" algn="tl" rotWithShape="0">
                <a:srgbClr val="C0504D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</c:pivotFmt>
      <c:pivotFmt>
        <c:idx val="3"/>
        <c:spPr>
          <a:solidFill>
            <a:schemeClr val="accent2">
              <a:alpha val="90000"/>
            </a:schemeClr>
          </a:solidFill>
          <a:ln w="19050">
            <a:solidFill>
              <a:schemeClr val="accent2">
                <a:lumMod val="75000"/>
              </a:schemeClr>
            </a:solidFill>
          </a:ln>
          <a:effectLst>
            <a:innerShdw blurRad="114300">
              <a:schemeClr val="accent2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2">
                <a:lumMod val="75000"/>
              </a:schemeClr>
            </a:contourClr>
          </a:sp3d>
        </c:spPr>
      </c:pivotFmt>
      <c:pivotFmt>
        <c:idx val="4"/>
        <c:spPr>
          <a:solidFill>
            <a:schemeClr val="accent3">
              <a:alpha val="90000"/>
            </a:schemeClr>
          </a:solidFill>
          <a:ln w="19050">
            <a:solidFill>
              <a:schemeClr val="accent3">
                <a:lumMod val="75000"/>
              </a:schemeClr>
            </a:solidFill>
          </a:ln>
          <a:effectLst>
            <a:innerShdw blurRad="114300">
              <a:schemeClr val="accent3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3">
                <a:lumMod val="75000"/>
              </a:schemeClr>
            </a:contourClr>
          </a:sp3d>
        </c:spPr>
      </c:pivotFmt>
      <c:pivotFmt>
        <c:idx val="5"/>
        <c:spPr>
          <a:solidFill>
            <a:schemeClr val="accent4">
              <a:alpha val="90000"/>
            </a:schemeClr>
          </a:solidFill>
          <a:ln w="19050">
            <a:solidFill>
              <a:schemeClr val="accent4">
                <a:lumMod val="75000"/>
              </a:schemeClr>
            </a:solidFill>
          </a:ln>
          <a:effectLst>
            <a:innerShdw blurRad="114300">
              <a:schemeClr val="accent4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4">
                <a:lumMod val="75000"/>
              </a:schemeClr>
            </a:contourClr>
          </a:sp3d>
        </c:spPr>
      </c:pivotFmt>
      <c:pivotFmt>
        <c:idx val="6"/>
        <c:spPr>
          <a:solidFill>
            <a:schemeClr val="accent5">
              <a:alpha val="90000"/>
            </a:schemeClr>
          </a:solidFill>
          <a:ln w="19050">
            <a:solidFill>
              <a:schemeClr val="accent5">
                <a:lumMod val="75000"/>
              </a:schemeClr>
            </a:solidFill>
          </a:ln>
          <a:effectLst>
            <a:innerShdw blurRad="114300">
              <a:schemeClr val="accent5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5">
                <a:lumMod val="75000"/>
              </a:schemeClr>
            </a:contourClr>
          </a:sp3d>
        </c:spPr>
      </c:pivotFmt>
      <c:pivotFmt>
        <c:idx val="7"/>
        <c:spPr>
          <a:effectLst>
            <a:innerShdw blurRad="114300">
              <a:schemeClr val="accent1">
                <a:lumMod val="75000"/>
              </a:schemeClr>
            </a:innerShdw>
          </a:effectLst>
        </c:spPr>
      </c:pivotFmt>
      <c:pivotFmt>
        <c:idx val="8"/>
        <c:spPr>
          <a:effectLst>
            <a:innerShdw blurRad="114300">
              <a:schemeClr val="accent2">
                <a:lumMod val="75000"/>
              </a:schemeClr>
            </a:innerShdw>
          </a:effectLst>
        </c:spPr>
      </c:pivotFmt>
      <c:pivotFmt>
        <c:idx val="9"/>
        <c:spPr>
          <a:effectLst>
            <a:innerShdw blurRad="114300">
              <a:schemeClr val="accent3">
                <a:lumMod val="75000"/>
              </a:schemeClr>
            </a:innerShdw>
          </a:effectLst>
        </c:spPr>
      </c:pivotFmt>
      <c:pivotFmt>
        <c:idx val="10"/>
        <c:spPr>
          <a:effectLst>
            <a:innerShdw blurRad="114300">
              <a:schemeClr val="accent4">
                <a:lumMod val="75000"/>
              </a:schemeClr>
            </a:innerShdw>
          </a:effectLst>
        </c:spPr>
      </c:pivotFmt>
      <c:pivotFmt>
        <c:idx val="11"/>
        <c:spPr>
          <a:effectLst>
            <a:innerShdw blurRad="114300">
              <a:schemeClr val="accent5">
                <a:lumMod val="75000"/>
              </a:schemeClr>
            </a:innerShdw>
          </a:effectLst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Pivot_summary_platform!$B$3</c:f>
              <c:strCache>
                <c:ptCount val="1"/>
                <c:pt idx="0">
                  <c:v>Revenue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>
                  <a:alpha val="90000"/>
                </a:schemeClr>
              </a:solidFill>
              <a:ln w="19050">
                <a:solidFill>
                  <a:schemeClr val="accent1"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75000"/>
                  </a:schemeClr>
                </a:contourClr>
              </a:sp3d>
            </c:spPr>
          </c:dPt>
          <c:dPt>
            <c:idx val="1"/>
            <c:invertIfNegative val="0"/>
            <c:bubble3D val="0"/>
            <c:spPr>
              <a:solidFill>
                <a:schemeClr val="accent2">
                  <a:alpha val="90000"/>
                </a:schemeClr>
              </a:solidFill>
              <a:ln w="19050">
                <a:solidFill>
                  <a:schemeClr val="accent2"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75000"/>
                  </a:schemeClr>
                </a:contourClr>
              </a:sp3d>
            </c:spPr>
          </c:dPt>
          <c:dPt>
            <c:idx val="2"/>
            <c:invertIfNegative val="0"/>
            <c:bubble3D val="0"/>
            <c:spPr>
              <a:solidFill>
                <a:schemeClr val="accent3">
                  <a:alpha val="90000"/>
                </a:schemeClr>
              </a:solidFill>
              <a:ln w="19050">
                <a:solidFill>
                  <a:schemeClr val="accent3"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75000"/>
                  </a:schemeClr>
                </a:contourClr>
              </a:sp3d>
            </c:spPr>
          </c:dPt>
          <c:dPt>
            <c:idx val="3"/>
            <c:invertIfNegative val="0"/>
            <c:bubble3D val="0"/>
            <c:spPr>
              <a:solidFill>
                <a:schemeClr val="accent4">
                  <a:alpha val="90000"/>
                </a:schemeClr>
              </a:solidFill>
              <a:ln w="19050">
                <a:solidFill>
                  <a:schemeClr val="accent4">
                    <a:lumMod val="75000"/>
                  </a:schemeClr>
                </a:solidFill>
              </a:ln>
              <a:effectLst>
                <a:innerShdw blurRad="114300">
                  <a:schemeClr val="accent4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4">
                    <a:lumMod val="75000"/>
                  </a:schemeClr>
                </a:contourClr>
              </a:sp3d>
            </c:spPr>
          </c:dPt>
          <c:dPt>
            <c:idx val="4"/>
            <c:invertIfNegative val="0"/>
            <c:bubble3D val="0"/>
            <c:spPr>
              <a:solidFill>
                <a:schemeClr val="accent5">
                  <a:alpha val="90000"/>
                </a:schemeClr>
              </a:solidFill>
              <a:ln w="19050">
                <a:solidFill>
                  <a:schemeClr val="accent5">
                    <a:lumMod val="75000"/>
                  </a:schemeClr>
                </a:solidFill>
              </a:ln>
              <a:effectLst>
                <a:innerShdw blurRad="114300">
                  <a:schemeClr val="accent5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5">
                    <a:lumMod val="75000"/>
                  </a:schemeClr>
                </a:contourClr>
              </a:sp3d>
            </c:spPr>
          </c:dPt>
          <c:dLbls>
            <c:spPr>
              <a:solidFill>
                <a:sysClr val="window" lastClr="FFFFFF">
                  <a:alpha val="90000"/>
                </a:sysClr>
              </a:solidFill>
              <a:ln w="12700" cap="flat" cmpd="sng" algn="ctr">
                <a:solidFill>
                  <a:srgbClr val="4F81BD"/>
                </a:solidFill>
                <a:round/>
              </a:ln>
              <a:effectLst>
                <a:outerShdw blurRad="50800" dist="38100" dir="2700000" algn="tl" rotWithShape="0">
                  <a:srgbClr val="4F81BD">
                    <a:lumMod val="75000"/>
                    <a:alpha val="40000"/>
                  </a:srgb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Pivot_summary_platform!$A$4:$A$8</c:f>
              <c:strCache>
                <c:ptCount val="5"/>
                <c:pt idx="0">
                  <c:v>10%</c:v>
                </c:pt>
                <c:pt idx="1">
                  <c:v>50 off Promo</c:v>
                </c:pt>
                <c:pt idx="2">
                  <c:v>15% New User</c:v>
                </c:pt>
                <c:pt idx="3">
                  <c:v>5% on App</c:v>
                </c:pt>
                <c:pt idx="4">
                  <c:v>None</c:v>
                </c:pt>
              </c:strCache>
            </c:strRef>
          </c:cat>
          <c:val>
            <c:numRef>
              <c:f>Pivot_summary_platform!$B$4:$B$8</c:f>
              <c:numCache>
                <c:formatCode>[$₹-439]#,##0</c:formatCode>
                <c:ptCount val="5"/>
                <c:pt idx="0">
                  <c:v>245525</c:v>
                </c:pt>
                <c:pt idx="1">
                  <c:v>220036</c:v>
                </c:pt>
                <c:pt idx="2">
                  <c:v>199598</c:v>
                </c:pt>
                <c:pt idx="3">
                  <c:v>194953</c:v>
                </c:pt>
                <c:pt idx="4">
                  <c:v>193857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501539288"/>
        <c:axId val="501541248"/>
      </c:barChart>
      <c:lineChart>
        <c:grouping val="standard"/>
        <c:varyColors val="0"/>
        <c:ser>
          <c:idx val="1"/>
          <c:order val="1"/>
          <c:tx>
            <c:strRef>
              <c:f>Pivot_summary_platform!$C$3</c:f>
              <c:strCache>
                <c:ptCount val="1"/>
                <c:pt idx="0">
                  <c:v>Orders</c:v>
                </c:pt>
              </c:strCache>
            </c:strRef>
          </c:tx>
          <c:marker>
            <c:symbol val="none"/>
          </c:marker>
          <c:dPt>
            <c:idx val="0"/>
            <c:bubble3D val="0"/>
            <c:spPr>
              <a:effectLst>
                <a:innerShdw blurRad="114300">
                  <a:schemeClr val="accent1">
                    <a:lumMod val="75000"/>
                  </a:schemeClr>
                </a:innerShdw>
              </a:effectLst>
            </c:spPr>
          </c:dPt>
          <c:dPt>
            <c:idx val="1"/>
            <c:bubble3D val="0"/>
            <c:spPr>
              <a:effectLst>
                <a:innerShdw blurRad="114300">
                  <a:schemeClr val="accent2">
                    <a:lumMod val="75000"/>
                  </a:schemeClr>
                </a:innerShdw>
              </a:effectLst>
            </c:spPr>
          </c:dPt>
          <c:dPt>
            <c:idx val="2"/>
            <c:bubble3D val="0"/>
            <c:spPr>
              <a:effectLst>
                <a:innerShdw blurRad="114300">
                  <a:schemeClr val="accent3">
                    <a:lumMod val="75000"/>
                  </a:schemeClr>
                </a:innerShdw>
              </a:effectLst>
            </c:spPr>
          </c:dPt>
          <c:dPt>
            <c:idx val="3"/>
            <c:bubble3D val="0"/>
            <c:spPr>
              <a:effectLst>
                <a:innerShdw blurRad="114300">
                  <a:schemeClr val="accent4">
                    <a:lumMod val="75000"/>
                  </a:schemeClr>
                </a:innerShdw>
              </a:effectLst>
            </c:spPr>
          </c:dPt>
          <c:dPt>
            <c:idx val="4"/>
            <c:bubble3D val="0"/>
            <c:spPr>
              <a:effectLst>
                <a:innerShdw blurRad="114300">
                  <a:schemeClr val="accent5">
                    <a:lumMod val="75000"/>
                  </a:schemeClr>
                </a:innerShdw>
              </a:effectLst>
            </c:spPr>
          </c:dPt>
          <c:dLbls>
            <c:spPr>
              <a:solidFill>
                <a:sysClr val="window" lastClr="FFFFFF">
                  <a:alpha val="90000"/>
                </a:sysClr>
              </a:solidFill>
              <a:ln w="12700" cap="flat" cmpd="sng" algn="ctr">
                <a:solidFill>
                  <a:srgbClr val="C0504D"/>
                </a:solidFill>
                <a:round/>
              </a:ln>
              <a:effectLst>
                <a:outerShdw blurRad="50800" dist="38100" dir="2700000" algn="tl" rotWithShape="0">
                  <a:srgbClr val="C0504D">
                    <a:lumMod val="75000"/>
                    <a:alpha val="40000"/>
                  </a:srgb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Pivot_summary_platform!$A$4:$A$8</c:f>
              <c:strCache>
                <c:ptCount val="5"/>
                <c:pt idx="0">
                  <c:v>10%</c:v>
                </c:pt>
                <c:pt idx="1">
                  <c:v>50 off Promo</c:v>
                </c:pt>
                <c:pt idx="2">
                  <c:v>15% New User</c:v>
                </c:pt>
                <c:pt idx="3">
                  <c:v>5% on App</c:v>
                </c:pt>
                <c:pt idx="4">
                  <c:v>None</c:v>
                </c:pt>
              </c:strCache>
            </c:strRef>
          </c:cat>
          <c:val>
            <c:numRef>
              <c:f>Pivot_summary_platform!$C$4:$C$8</c:f>
              <c:numCache>
                <c:formatCode>General</c:formatCode>
                <c:ptCount val="5"/>
                <c:pt idx="0">
                  <c:v>233</c:v>
                </c:pt>
                <c:pt idx="1">
                  <c:v>201</c:v>
                </c:pt>
                <c:pt idx="2">
                  <c:v>198</c:v>
                </c:pt>
                <c:pt idx="3">
                  <c:v>183</c:v>
                </c:pt>
                <c:pt idx="4">
                  <c:v>185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1543992"/>
        <c:axId val="501545168"/>
      </c:lineChart>
      <c:catAx>
        <c:axId val="501539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01541248"/>
        <c:crosses val="autoZero"/>
        <c:auto val="1"/>
        <c:lblAlgn val="ctr"/>
        <c:lblOffset val="100"/>
        <c:noMultiLvlLbl val="0"/>
      </c:catAx>
      <c:valAx>
        <c:axId val="501541248"/>
        <c:scaling>
          <c:orientation val="minMax"/>
        </c:scaling>
        <c:delete val="0"/>
        <c:axPos val="l"/>
        <c:majorGridlines/>
        <c:numFmt formatCode="[$₹-439]#,##0" sourceLinked="1"/>
        <c:majorTickMark val="out"/>
        <c:minorTickMark val="none"/>
        <c:tickLblPos val="nextTo"/>
        <c:crossAx val="501539288"/>
        <c:crosses val="autoZero"/>
        <c:crossBetween val="between"/>
      </c:valAx>
      <c:valAx>
        <c:axId val="50154516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501543992"/>
        <c:crosses val="max"/>
        <c:crossBetween val="between"/>
      </c:valAx>
      <c:catAx>
        <c:axId val="5015439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015451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  <a:sp3d/>
      </c:spPr>
    </c:plotArea>
    <c:legend>
      <c:legendPos val="b"/>
      <c:layout/>
      <c:overlay val="0"/>
    </c:legend>
    <c:plotVisOnly val="1"/>
    <c:dispBlanksAs val="gap"/>
    <c:showDLblsOverMax val="0"/>
  </c:chart>
  <c:spPr>
    <a:solidFill>
      <a:schemeClr val="bg1">
        <a:lumMod val="85000"/>
      </a:schemeClr>
    </a:solidFill>
    <a:ln w="25400" cap="flat" cmpd="sng" algn="ctr">
      <a:solidFill>
        <a:schemeClr val="dk1"/>
      </a:solidFill>
      <a:prstDash val="solid"/>
      <a:round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[Platform_performance_analysis.xlsx]Pivot_summary_platform!PivotTable1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dELIVERY fEE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chemeClr val="lt1">
                <a:alpha val="90000"/>
              </a:schemeClr>
            </a:solidFill>
            <a:ln w="12700" cap="flat" cmpd="sng" algn="ctr">
              <a:solidFill>
                <a:schemeClr val="accent1"/>
              </a:solidFill>
              <a:round/>
            </a:ln>
            <a:effectLst>
              <a:outerShdw blurRad="50800" dist="38100" dir="2700000" algn="tl" rotWithShape="0">
                <a:schemeClr val="accent1">
                  <a:lumMod val="75000"/>
                  <a:alpha val="40000"/>
                </a:scheme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chemeClr val="lt1">
                <a:alpha val="90000"/>
              </a:schemeClr>
            </a:solidFill>
            <a:ln w="12700" cap="flat" cmpd="sng" algn="ctr">
              <a:solidFill>
                <a:schemeClr val="accent1"/>
              </a:solidFill>
              <a:round/>
            </a:ln>
            <a:effectLst>
              <a:outerShdw blurRad="50800" dist="38100" dir="2700000" algn="tl" rotWithShape="0">
                <a:schemeClr val="accent1">
                  <a:lumMod val="75000"/>
                  <a:alpha val="40000"/>
                </a:scheme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dLbl>
          <c:idx val="0"/>
          <c:spPr>
            <a:solidFill>
              <a:schemeClr val="lt1">
                <a:alpha val="90000"/>
              </a:schemeClr>
            </a:solidFill>
            <a:ln w="12700" cap="flat" cmpd="sng" algn="ctr">
              <a:solidFill>
                <a:schemeClr val="accent1"/>
              </a:solidFill>
              <a:round/>
            </a:ln>
            <a:effectLst>
              <a:outerShdw blurRad="50800" dist="38100" dir="2700000" algn="tl" rotWithShape="0">
                <a:schemeClr val="accent1">
                  <a:lumMod val="75000"/>
                  <a:alpha val="40000"/>
                </a:scheme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3"/>
        <c:spPr>
          <a:solidFill>
            <a:schemeClr val="accent2">
              <a:alpha val="90000"/>
            </a:schemeClr>
          </a:solidFill>
          <a:ln w="19050">
            <a:solidFill>
              <a:schemeClr val="accent2">
                <a:lumMod val="75000"/>
              </a:schemeClr>
            </a:solidFill>
          </a:ln>
          <a:effectLst>
            <a:innerShdw blurRad="114300">
              <a:schemeClr val="accent2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2">
                <a:lumMod val="75000"/>
              </a:schemeClr>
            </a:contourClr>
          </a:sp3d>
        </c:spPr>
        <c:dLbl>
          <c:idx val="0"/>
          <c:spPr>
            <a:solidFill>
              <a:schemeClr val="lt1">
                <a:alpha val="90000"/>
              </a:schemeClr>
            </a:solidFill>
            <a:ln w="12700" cap="flat" cmpd="sng" algn="ctr">
              <a:solidFill>
                <a:schemeClr val="accent1"/>
              </a:solidFill>
              <a:round/>
            </a:ln>
            <a:effectLst>
              <a:outerShdw blurRad="50800" dist="38100" dir="2700000" algn="tl" rotWithShape="0">
                <a:schemeClr val="accent1">
                  <a:lumMod val="75000"/>
                  <a:alpha val="40000"/>
                </a:scheme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4"/>
        <c:spPr>
          <a:solidFill>
            <a:schemeClr val="accent3">
              <a:alpha val="90000"/>
            </a:schemeClr>
          </a:solidFill>
          <a:ln w="19050">
            <a:solidFill>
              <a:schemeClr val="accent3">
                <a:lumMod val="75000"/>
              </a:schemeClr>
            </a:solidFill>
          </a:ln>
          <a:effectLst>
            <a:innerShdw blurRad="114300">
              <a:schemeClr val="accent3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3">
                <a:lumMod val="75000"/>
              </a:schemeClr>
            </a:contourClr>
          </a:sp3d>
        </c:spPr>
        <c:dLbl>
          <c:idx val="0"/>
          <c:spPr>
            <a:solidFill>
              <a:schemeClr val="lt1">
                <a:alpha val="90000"/>
              </a:schemeClr>
            </a:solidFill>
            <a:ln w="12700" cap="flat" cmpd="sng" algn="ctr">
              <a:solidFill>
                <a:schemeClr val="accent1"/>
              </a:solidFill>
              <a:round/>
            </a:ln>
            <a:effectLst>
              <a:outerShdw blurRad="50800" dist="38100" dir="2700000" algn="tl" rotWithShape="0">
                <a:schemeClr val="accent1">
                  <a:lumMod val="75000"/>
                  <a:alpha val="40000"/>
                </a:scheme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5"/>
        <c:spPr>
          <a:solidFill>
            <a:schemeClr val="accent4">
              <a:alpha val="90000"/>
            </a:schemeClr>
          </a:solidFill>
          <a:ln w="19050">
            <a:solidFill>
              <a:schemeClr val="accent4">
                <a:lumMod val="75000"/>
              </a:schemeClr>
            </a:solidFill>
          </a:ln>
          <a:effectLst>
            <a:innerShdw blurRad="114300">
              <a:schemeClr val="accent4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4">
                <a:lumMod val="75000"/>
              </a:schemeClr>
            </a:contourClr>
          </a:sp3d>
        </c:spPr>
        <c:dLbl>
          <c:idx val="0"/>
          <c:spPr>
            <a:solidFill>
              <a:schemeClr val="lt1">
                <a:alpha val="90000"/>
              </a:schemeClr>
            </a:solidFill>
            <a:ln w="12700" cap="flat" cmpd="sng" algn="ctr">
              <a:solidFill>
                <a:schemeClr val="accent1"/>
              </a:solidFill>
              <a:round/>
            </a:ln>
            <a:effectLst>
              <a:outerShdw blurRad="50800" dist="38100" dir="2700000" algn="tl" rotWithShape="0">
                <a:schemeClr val="accent1">
                  <a:lumMod val="75000"/>
                  <a:alpha val="40000"/>
                </a:scheme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6"/>
        <c:spPr>
          <a:solidFill>
            <a:schemeClr val="accent5">
              <a:alpha val="90000"/>
            </a:schemeClr>
          </a:solidFill>
          <a:ln w="19050">
            <a:solidFill>
              <a:schemeClr val="accent5">
                <a:lumMod val="75000"/>
              </a:schemeClr>
            </a:solidFill>
          </a:ln>
          <a:effectLst>
            <a:innerShdw blurRad="114300">
              <a:schemeClr val="accent5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5">
                <a:lumMod val="75000"/>
              </a:schemeClr>
            </a:contourClr>
          </a:sp3d>
        </c:spPr>
        <c:dLbl>
          <c:idx val="0"/>
          <c:spPr>
            <a:solidFill>
              <a:schemeClr val="lt1">
                <a:alpha val="90000"/>
              </a:schemeClr>
            </a:solidFill>
            <a:ln w="12700" cap="flat" cmpd="sng" algn="ctr">
              <a:solidFill>
                <a:schemeClr val="accent1"/>
              </a:solidFill>
              <a:round/>
            </a:ln>
            <a:effectLst>
              <a:outerShdw blurRad="50800" dist="38100" dir="2700000" algn="tl" rotWithShape="0">
                <a:schemeClr val="accent1">
                  <a:lumMod val="75000"/>
                  <a:alpha val="40000"/>
                </a:scheme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7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dLbl>
          <c:idx val="0"/>
          <c:spPr>
            <a:solidFill>
              <a:schemeClr val="lt1">
                <a:alpha val="90000"/>
              </a:schemeClr>
            </a:solidFill>
            <a:ln w="12700" cap="flat" cmpd="sng" algn="ctr">
              <a:solidFill>
                <a:schemeClr val="accent1"/>
              </a:solidFill>
              <a:round/>
            </a:ln>
            <a:effectLst>
              <a:outerShdw blurRad="50800" dist="38100" dir="2700000" algn="tl" rotWithShape="0">
                <a:schemeClr val="accent1">
                  <a:lumMod val="75000"/>
                  <a:alpha val="40000"/>
                </a:scheme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8"/>
        <c:spPr>
          <a:solidFill>
            <a:schemeClr val="accent2">
              <a:alpha val="90000"/>
            </a:schemeClr>
          </a:solidFill>
          <a:ln w="19050">
            <a:solidFill>
              <a:schemeClr val="accent2">
                <a:lumMod val="75000"/>
              </a:schemeClr>
            </a:solidFill>
          </a:ln>
          <a:effectLst>
            <a:innerShdw blurRad="114300">
              <a:schemeClr val="accent2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2">
                <a:lumMod val="75000"/>
              </a:schemeClr>
            </a:contourClr>
          </a:sp3d>
        </c:spPr>
        <c:dLbl>
          <c:idx val="0"/>
          <c:spPr>
            <a:solidFill>
              <a:schemeClr val="lt1">
                <a:alpha val="90000"/>
              </a:schemeClr>
            </a:solidFill>
            <a:ln w="12700" cap="flat" cmpd="sng" algn="ctr">
              <a:solidFill>
                <a:schemeClr val="accent1"/>
              </a:solidFill>
              <a:round/>
            </a:ln>
            <a:effectLst>
              <a:outerShdw blurRad="50800" dist="38100" dir="2700000" algn="tl" rotWithShape="0">
                <a:schemeClr val="accent1">
                  <a:lumMod val="75000"/>
                  <a:alpha val="40000"/>
                </a:scheme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9"/>
        <c:spPr>
          <a:solidFill>
            <a:schemeClr val="accent3">
              <a:alpha val="90000"/>
            </a:schemeClr>
          </a:solidFill>
          <a:ln w="19050">
            <a:solidFill>
              <a:schemeClr val="accent3">
                <a:lumMod val="75000"/>
              </a:schemeClr>
            </a:solidFill>
          </a:ln>
          <a:effectLst>
            <a:innerShdw blurRad="114300">
              <a:schemeClr val="accent3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3">
                <a:lumMod val="75000"/>
              </a:schemeClr>
            </a:contourClr>
          </a:sp3d>
        </c:spPr>
        <c:dLbl>
          <c:idx val="0"/>
          <c:spPr>
            <a:solidFill>
              <a:schemeClr val="lt1">
                <a:alpha val="90000"/>
              </a:schemeClr>
            </a:solidFill>
            <a:ln w="12700" cap="flat" cmpd="sng" algn="ctr">
              <a:solidFill>
                <a:schemeClr val="accent1"/>
              </a:solidFill>
              <a:round/>
            </a:ln>
            <a:effectLst>
              <a:outerShdw blurRad="50800" dist="38100" dir="2700000" algn="tl" rotWithShape="0">
                <a:schemeClr val="accent1">
                  <a:lumMod val="75000"/>
                  <a:alpha val="40000"/>
                </a:scheme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0"/>
        <c:spPr>
          <a:solidFill>
            <a:schemeClr val="accent4">
              <a:alpha val="90000"/>
            </a:schemeClr>
          </a:solidFill>
          <a:ln w="19050">
            <a:solidFill>
              <a:schemeClr val="accent4">
                <a:lumMod val="75000"/>
              </a:schemeClr>
            </a:solidFill>
          </a:ln>
          <a:effectLst>
            <a:innerShdw blurRad="114300">
              <a:schemeClr val="accent4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4">
                <a:lumMod val="75000"/>
              </a:schemeClr>
            </a:contourClr>
          </a:sp3d>
        </c:spPr>
        <c:dLbl>
          <c:idx val="0"/>
          <c:spPr>
            <a:solidFill>
              <a:schemeClr val="lt1">
                <a:alpha val="90000"/>
              </a:schemeClr>
            </a:solidFill>
            <a:ln w="12700" cap="flat" cmpd="sng" algn="ctr">
              <a:solidFill>
                <a:schemeClr val="accent1"/>
              </a:solidFill>
              <a:round/>
            </a:ln>
            <a:effectLst>
              <a:outerShdw blurRad="50800" dist="38100" dir="2700000" algn="tl" rotWithShape="0">
                <a:schemeClr val="accent1">
                  <a:lumMod val="75000"/>
                  <a:alpha val="40000"/>
                </a:scheme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1"/>
        <c:spPr>
          <a:solidFill>
            <a:schemeClr val="accent5">
              <a:alpha val="90000"/>
            </a:schemeClr>
          </a:solidFill>
          <a:ln w="19050">
            <a:solidFill>
              <a:schemeClr val="accent5">
                <a:lumMod val="75000"/>
              </a:schemeClr>
            </a:solidFill>
          </a:ln>
          <a:effectLst>
            <a:innerShdw blurRad="114300">
              <a:schemeClr val="accent5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5">
                <a:lumMod val="75000"/>
              </a:schemeClr>
            </a:contourClr>
          </a:sp3d>
        </c:spPr>
        <c:dLbl>
          <c:idx val="0"/>
          <c:spPr>
            <a:solidFill>
              <a:schemeClr val="lt1">
                <a:alpha val="90000"/>
              </a:schemeClr>
            </a:solidFill>
            <a:ln w="12700" cap="flat" cmpd="sng" algn="ctr">
              <a:solidFill>
                <a:schemeClr val="accent1"/>
              </a:solidFill>
              <a:round/>
            </a:ln>
            <a:effectLst>
              <a:outerShdw blurRad="50800" dist="38100" dir="2700000" algn="tl" rotWithShape="0">
                <a:schemeClr val="accent1">
                  <a:lumMod val="75000"/>
                  <a:alpha val="40000"/>
                </a:scheme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2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lt1">
                <a:alpha val="90000"/>
              </a:schemeClr>
            </a:solidFill>
            <a:ln w="12700" cap="flat" cmpd="sng" algn="ctr">
              <a:solidFill>
                <a:schemeClr val="accent1"/>
              </a:solidFill>
              <a:round/>
            </a:ln>
            <a:effectLst>
              <a:outerShdw blurRad="50800" dist="38100" dir="2700000" algn="tl" rotWithShape="0">
                <a:schemeClr val="accent1">
                  <a:lumMod val="75000"/>
                  <a:alpha val="40000"/>
                </a:scheme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dLbl>
          <c:idx val="0"/>
          <c:layout/>
          <c:spPr>
            <a:solidFill>
              <a:schemeClr val="lt1">
                <a:alpha val="90000"/>
              </a:schemeClr>
            </a:solidFill>
            <a:ln w="12700" cap="flat" cmpd="sng" algn="ctr">
              <a:solidFill>
                <a:schemeClr val="accent1"/>
              </a:solidFill>
              <a:round/>
            </a:ln>
            <a:effectLst>
              <a:outerShdw blurRad="50800" dist="38100" dir="2700000" algn="tl" rotWithShape="0">
                <a:schemeClr val="accent1">
                  <a:lumMod val="75000"/>
                  <a:alpha val="40000"/>
                </a:scheme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4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dLbl>
          <c:idx val="0"/>
          <c:layout/>
          <c:spPr>
            <a:solidFill>
              <a:schemeClr val="lt1">
                <a:alpha val="90000"/>
              </a:schemeClr>
            </a:solidFill>
            <a:ln w="12700" cap="flat" cmpd="sng" algn="ctr">
              <a:solidFill>
                <a:schemeClr val="accent1"/>
              </a:solidFill>
              <a:round/>
            </a:ln>
            <a:effectLst>
              <a:outerShdw blurRad="50800" dist="38100" dir="2700000" algn="tl" rotWithShape="0">
                <a:schemeClr val="accent1">
                  <a:lumMod val="75000"/>
                  <a:alpha val="40000"/>
                </a:scheme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5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dLbl>
          <c:idx val="0"/>
          <c:layout/>
          <c:spPr>
            <a:solidFill>
              <a:schemeClr val="lt1">
                <a:alpha val="90000"/>
              </a:schemeClr>
            </a:solidFill>
            <a:ln w="12700" cap="flat" cmpd="sng" algn="ctr">
              <a:solidFill>
                <a:schemeClr val="accent1"/>
              </a:solidFill>
              <a:round/>
            </a:ln>
            <a:effectLst>
              <a:outerShdw blurRad="50800" dist="38100" dir="2700000" algn="tl" rotWithShape="0">
                <a:schemeClr val="accent1">
                  <a:lumMod val="75000"/>
                  <a:alpha val="40000"/>
                </a:scheme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6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dLbl>
          <c:idx val="0"/>
          <c:layout/>
          <c:spPr>
            <a:solidFill>
              <a:schemeClr val="lt1">
                <a:alpha val="90000"/>
              </a:schemeClr>
            </a:solidFill>
            <a:ln w="12700" cap="flat" cmpd="sng" algn="ctr">
              <a:solidFill>
                <a:schemeClr val="accent1"/>
              </a:solidFill>
              <a:round/>
            </a:ln>
            <a:effectLst>
              <a:outerShdw blurRad="50800" dist="38100" dir="2700000" algn="tl" rotWithShape="0">
                <a:schemeClr val="accent1">
                  <a:lumMod val="75000"/>
                  <a:alpha val="40000"/>
                </a:scheme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7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dLbl>
          <c:idx val="0"/>
          <c:layout/>
          <c:spPr>
            <a:solidFill>
              <a:schemeClr val="lt1">
                <a:alpha val="90000"/>
              </a:schemeClr>
            </a:solidFill>
            <a:ln w="12700" cap="flat" cmpd="sng" algn="ctr">
              <a:solidFill>
                <a:schemeClr val="accent1"/>
              </a:solidFill>
              <a:round/>
            </a:ln>
            <a:effectLst>
              <a:outerShdw blurRad="50800" dist="38100" dir="2700000" algn="tl" rotWithShape="0">
                <a:schemeClr val="accent1">
                  <a:lumMod val="75000"/>
                  <a:alpha val="40000"/>
                </a:scheme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8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19"/>
        <c:spPr>
          <a:solidFill>
            <a:schemeClr val="accent2">
              <a:alpha val="70000"/>
            </a:schemeClr>
          </a:solidFill>
          <a:ln>
            <a:noFill/>
          </a:ln>
          <a:effectLst/>
        </c:spPr>
      </c:pivotFmt>
      <c:pivotFmt>
        <c:idx val="20"/>
        <c:spPr>
          <a:solidFill>
            <a:schemeClr val="accent2">
              <a:alpha val="70000"/>
            </a:schemeClr>
          </a:solidFill>
          <a:ln>
            <a:noFill/>
          </a:ln>
          <a:effectLst/>
        </c:spPr>
      </c:pivotFmt>
      <c:pivotFmt>
        <c:idx val="21"/>
        <c:spPr>
          <a:solidFill>
            <a:schemeClr val="accent2">
              <a:alpha val="70000"/>
            </a:schemeClr>
          </a:solidFill>
          <a:ln>
            <a:noFill/>
          </a:ln>
          <a:effectLst/>
        </c:spPr>
      </c:pivotFmt>
      <c:pivotFmt>
        <c:idx val="22"/>
        <c:spPr>
          <a:solidFill>
            <a:schemeClr val="accent2">
              <a:alpha val="70000"/>
            </a:schemeClr>
          </a:solidFill>
          <a:ln>
            <a:noFill/>
          </a:ln>
          <a:effectLst/>
        </c:spPr>
      </c:pivotFmt>
      <c:pivotFmt>
        <c:idx val="23"/>
        <c:spPr>
          <a:solidFill>
            <a:schemeClr val="accent2">
              <a:alpha val="70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Pivot_summary_platform!$F$3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alpha val="70000"/>
                </a:schemeClr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accent1">
                  <a:alpha val="70000"/>
                </a:schemeClr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chemeClr val="accent1">
                  <a:alpha val="70000"/>
                </a:schemeClr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chemeClr val="accent1">
                  <a:alpha val="70000"/>
                </a:schemeClr>
              </a:solidFill>
              <a:ln>
                <a:noFill/>
              </a:ln>
              <a:effectLst/>
            </c:spPr>
          </c:dPt>
          <c:dPt>
            <c:idx val="4"/>
            <c:invertIfNegative val="0"/>
            <c:bubble3D val="0"/>
            <c:spPr>
              <a:solidFill>
                <a:schemeClr val="accent1">
                  <a:alpha val="70000"/>
                </a:schemeClr>
              </a:solidFill>
              <a:ln>
                <a:noFill/>
              </a:ln>
              <a:effectLst/>
            </c:spPr>
          </c:dPt>
          <c:dLbls>
            <c:dLbl>
              <c:idx val="0"/>
              <c:layout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solidFill>
                <a:schemeClr val="lt1">
                  <a:alpha val="90000"/>
                </a:schemeClr>
              </a:solidFill>
              <a:ln w="12700" cap="flat" cmpd="sng" algn="ctr">
                <a:solidFill>
                  <a:schemeClr val="accent1"/>
                </a:solidFill>
                <a:round/>
              </a:ln>
              <a:effectLst>
                <a:outerShdw blurRad="50800" dist="38100" dir="2700000" algn="tl" rotWithShape="0">
                  <a:schemeClr val="accent1">
                    <a:lumMod val="75000"/>
                    <a:alpha val="40000"/>
                  </a:scheme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Pivot_summary_platform!$E$4:$E$8</c:f>
              <c:strCache>
                <c:ptCount val="5"/>
                <c:pt idx="0">
                  <c:v>₹30</c:v>
                </c:pt>
                <c:pt idx="1">
                  <c:v>₹40</c:v>
                </c:pt>
                <c:pt idx="2">
                  <c:v>₹20</c:v>
                </c:pt>
                <c:pt idx="3">
                  <c:v>₹50</c:v>
                </c:pt>
                <c:pt idx="4">
                  <c:v>₹0</c:v>
                </c:pt>
              </c:strCache>
            </c:strRef>
          </c:cat>
          <c:val>
            <c:numRef>
              <c:f>Pivot_summary_platform!$F$4:$F$8</c:f>
              <c:numCache>
                <c:formatCode>[$₹-439]#,##0</c:formatCode>
                <c:ptCount val="5"/>
                <c:pt idx="0">
                  <c:v>231128</c:v>
                </c:pt>
                <c:pt idx="1">
                  <c:v>225962</c:v>
                </c:pt>
                <c:pt idx="2">
                  <c:v>204626</c:v>
                </c:pt>
                <c:pt idx="3">
                  <c:v>201443</c:v>
                </c:pt>
                <c:pt idx="4">
                  <c:v>190810</c:v>
                </c:pt>
              </c:numCache>
            </c:numRef>
          </c:val>
        </c:ser>
        <c:ser>
          <c:idx val="1"/>
          <c:order val="1"/>
          <c:tx>
            <c:strRef>
              <c:f>Pivot_summary_platform!$G$3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alpha val="70000"/>
                </a:schemeClr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accent2">
                  <a:alpha val="70000"/>
                </a:schemeClr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chemeClr val="accent2">
                  <a:alpha val="70000"/>
                </a:schemeClr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chemeClr val="accent2">
                  <a:alpha val="70000"/>
                </a:schemeClr>
              </a:solidFill>
              <a:ln>
                <a:noFill/>
              </a:ln>
              <a:effectLst/>
            </c:spPr>
          </c:dPt>
          <c:dPt>
            <c:idx val="4"/>
            <c:invertIfNegative val="0"/>
            <c:bubble3D val="0"/>
            <c:spPr>
              <a:solidFill>
                <a:schemeClr val="accent2">
                  <a:alpha val="70000"/>
                </a:schemeClr>
              </a:solidFill>
              <a:ln>
                <a:noFill/>
              </a:ln>
              <a:effectLst/>
            </c:spPr>
          </c:dPt>
          <c:cat>
            <c:strRef>
              <c:f>Pivot_summary_platform!$E$4:$E$8</c:f>
              <c:strCache>
                <c:ptCount val="5"/>
                <c:pt idx="0">
                  <c:v>₹30</c:v>
                </c:pt>
                <c:pt idx="1">
                  <c:v>₹40</c:v>
                </c:pt>
                <c:pt idx="2">
                  <c:v>₹20</c:v>
                </c:pt>
                <c:pt idx="3">
                  <c:v>₹50</c:v>
                </c:pt>
                <c:pt idx="4">
                  <c:v>₹0</c:v>
                </c:pt>
              </c:strCache>
            </c:strRef>
          </c:cat>
          <c:val>
            <c:numRef>
              <c:f>Pivot_summary_platform!$G$4:$G$8</c:f>
              <c:numCache>
                <c:formatCode>General</c:formatCode>
                <c:ptCount val="5"/>
                <c:pt idx="0">
                  <c:v>208</c:v>
                </c:pt>
                <c:pt idx="1">
                  <c:v>207</c:v>
                </c:pt>
                <c:pt idx="2">
                  <c:v>195</c:v>
                </c:pt>
                <c:pt idx="3">
                  <c:v>204</c:v>
                </c:pt>
                <c:pt idx="4">
                  <c:v>186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501540464"/>
        <c:axId val="501540072"/>
      </c:barChart>
      <c:valAx>
        <c:axId val="501540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[$₹-439]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540464"/>
        <c:crosses val="autoZero"/>
        <c:crossBetween val="between"/>
      </c:valAx>
      <c:catAx>
        <c:axId val="50154046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54007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>
        <a:lumMod val="85000"/>
      </a:schemeClr>
    </a:solidFill>
    <a:ln w="25400" cap="flat" cmpd="sng" algn="ctr">
      <a:solidFill>
        <a:schemeClr val="dk1"/>
      </a:solidFill>
      <a:prstDash val="solid"/>
      <a:round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3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8100" tIns="19050" rIns="38100" bIns="19050" anchor="ctr" anchorCtr="1">
      <a:spAutoFit/>
    </cs:bodyPr>
  </cs:dataLabel>
  <cs:dataLabelCallout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tx1"/>
    </cs:fontRef>
    <cs:spPr>
      <a:solidFill>
        <a:schemeClr val="phClr">
          <a:alpha val="90000"/>
        </a:schemeClr>
      </a:solidFill>
      <a:ln w="19050">
        <a:solidFill>
          <a:schemeClr val="phClr">
            <a:lumMod val="75000"/>
          </a:schemeClr>
        </a:solidFill>
      </a:ln>
      <a:effectLst>
        <a:innerShdw blurRad="114300">
          <a:schemeClr val="phClr">
            <a:lumMod val="75000"/>
          </a:schemeClr>
        </a:innerShdw>
      </a:effectLst>
      <a:scene3d>
        <a:camera prst="orthographicFront"/>
        <a:lightRig rig="threePt" dir="t"/>
      </a:scene3d>
      <a:sp3d contourW="19050" prstMaterial="flat">
        <a:contourClr>
          <a:schemeClr val="accent4">
            <a:lumMod val="75000"/>
          </a:schemeClr>
        </a:contourClr>
      </a:sp3d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3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8100" tIns="19050" rIns="38100" bIns="19050" anchor="ctr" anchorCtr="1">
      <a:spAutoFit/>
    </cs:bodyPr>
  </cs:dataLabel>
  <cs:dataLabelCallout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tx1"/>
    </cs:fontRef>
    <cs:spPr>
      <a:solidFill>
        <a:schemeClr val="phClr">
          <a:alpha val="90000"/>
        </a:schemeClr>
      </a:solidFill>
      <a:ln w="19050">
        <a:solidFill>
          <a:schemeClr val="phClr">
            <a:lumMod val="75000"/>
          </a:schemeClr>
        </a:solidFill>
      </a:ln>
      <a:effectLst>
        <a:innerShdw blurRad="114300">
          <a:schemeClr val="phClr">
            <a:lumMod val="75000"/>
          </a:schemeClr>
        </a:innerShdw>
      </a:effectLst>
      <a:scene3d>
        <a:camera prst="orthographicFront"/>
        <a:lightRig rig="threePt" dir="t"/>
      </a:scene3d>
      <a:sp3d contourW="19050" prstMaterial="flat">
        <a:contourClr>
          <a:schemeClr val="accent4">
            <a:lumMod val="75000"/>
          </a:schemeClr>
        </a:contourClr>
      </a:sp3d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38099</xdr:colOff>
      <xdr:row>12</xdr:row>
      <xdr:rowOff>42862</xdr:rowOff>
    </xdr:from>
    <xdr:to>
      <xdr:col>11</xdr:col>
      <xdr:colOff>586739</xdr:colOff>
      <xdr:row>22</xdr:row>
      <xdr:rowOff>117157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28575</xdr:colOff>
      <xdr:row>12</xdr:row>
      <xdr:rowOff>42862</xdr:rowOff>
    </xdr:from>
    <xdr:to>
      <xdr:col>19</xdr:col>
      <xdr:colOff>577215</xdr:colOff>
      <xdr:row>22</xdr:row>
      <xdr:rowOff>117157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28575</xdr:colOff>
      <xdr:row>12</xdr:row>
      <xdr:rowOff>42860</xdr:rowOff>
    </xdr:from>
    <xdr:to>
      <xdr:col>27</xdr:col>
      <xdr:colOff>577215</xdr:colOff>
      <xdr:row>22</xdr:row>
      <xdr:rowOff>117155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NAME%20LATER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hor" refreshedDate="46032.328214351852" createdVersion="5" refreshedVersion="5" minRefreshableVersion="3" recordCount="1000">
  <cacheSource type="worksheet">
    <worksheetSource name="Data_prep_table" r:id="rId2"/>
  </cacheSource>
  <cacheFields count="20">
    <cacheField name="Order_ID" numFmtId="0">
      <sharedItems containsSemiMixedTypes="0" containsString="0" containsNumber="1" containsInteger="1" minValue="1" maxValue="1000"/>
    </cacheField>
    <cacheField name="Customer_ID" numFmtId="0">
      <sharedItems count="947">
        <s v="C8270"/>
        <s v="C1860"/>
        <s v="C6390"/>
        <s v="C6191"/>
        <s v="C6734"/>
        <s v="C7265"/>
        <s v="C1466"/>
        <s v="C5426"/>
        <s v="C6578"/>
        <s v="C9322"/>
        <s v="C2685"/>
        <s v="C1769"/>
        <s v="C7949"/>
        <s v="C3433"/>
        <s v="C6311"/>
        <s v="C6051"/>
        <s v="C7420"/>
        <s v="C2184"/>
        <s v="C5555"/>
        <s v="C4385"/>
        <s v="C7396"/>
        <s v="C9666"/>
        <s v="C3558"/>
        <s v="C8849"/>
        <s v="C3047"/>
        <s v="C3747"/>
        <s v="C1189"/>
        <s v="C3734"/>
        <s v="C4005"/>
        <s v="C5658"/>
        <s v="C2899"/>
        <s v="C8734"/>
        <s v="C2267"/>
        <s v="C2528"/>
        <s v="C4556"/>
        <s v="C4890"/>
        <s v="C9838"/>
        <s v="C6393"/>
        <s v="C9792"/>
        <s v="C9433"/>
        <s v="C8513"/>
        <s v="C3612"/>
        <s v="C8041"/>
        <s v="C7235"/>
        <s v="C6486"/>
        <s v="C8099"/>
        <s v="C1775"/>
        <s v="C9226"/>
        <s v="C4152"/>
        <s v="C2585"/>
        <s v="C4943"/>
        <s v="C8555"/>
        <s v="C4073"/>
        <s v="C2021"/>
        <s v="C4843"/>
        <s v="C8989"/>
        <s v="C7873"/>
        <s v="C6675"/>
        <s v="C1161"/>
        <s v="C5297"/>
        <s v="C1995"/>
        <s v="C8629"/>
        <s v="C2016"/>
        <s v="C8869"/>
        <s v="C7439"/>
        <s v="C8892"/>
        <s v="C7863"/>
        <s v="C8916"/>
        <s v="C9529"/>
        <s v="C1878"/>
        <s v="C5887"/>
        <s v="C5859"/>
        <s v="C7331"/>
        <s v="C9571"/>
        <s v="C9684"/>
        <s v="C8208"/>
        <s v="C6276"/>
        <s v="C3062"/>
        <s v="C1064"/>
        <s v="C9006"/>
        <s v="C3568"/>
        <s v="C6463"/>
        <s v="C3027"/>
        <s v="C3695"/>
        <s v="C6258"/>
        <s v="C6618"/>
        <s v="C7736"/>
        <s v="C1391"/>
        <s v="C6892"/>
        <s v="C4561"/>
        <s v="C7184"/>
        <s v="C4099"/>
        <s v="C7278"/>
        <s v="C9392"/>
        <s v="C4104"/>
        <s v="C8215"/>
        <s v="C3454"/>
        <s v="C9996"/>
        <s v="C3731"/>
        <s v="C9154"/>
        <s v="C6056"/>
        <s v="C9110"/>
        <s v="C4840"/>
        <s v="C2028"/>
        <s v="C8385"/>
        <s v="C1502"/>
        <s v="C7910"/>
        <s v="C7938"/>
        <s v="C5488"/>
        <s v="C1206"/>
        <s v="C6134"/>
        <s v="C6977"/>
        <s v="C8721"/>
        <s v="C8035"/>
        <s v="C2484"/>
        <s v="C8858"/>
        <s v="C1863"/>
        <s v="C3790"/>
        <s v="C8408"/>
        <s v="C9755"/>
        <s v="C6116"/>
        <s v="C7019"/>
        <s v="C2757"/>
        <s v="C8574"/>
        <s v="C7374"/>
        <s v="C7892"/>
        <s v="C2678"/>
        <s v="C4242"/>
        <s v="C5636"/>
        <s v="C2059"/>
        <s v="C7668"/>
        <s v="C4157"/>
        <s v="C6915"/>
        <s v="C3693"/>
        <s v="C4627"/>
        <s v="C6450"/>
        <s v="C2663"/>
        <s v="C6592"/>
        <s v="C8392"/>
        <s v="C2306"/>
        <s v="C7776"/>
        <s v="C6864"/>
        <s v="C8526"/>
        <s v="C9901"/>
        <s v="C6575"/>
        <s v="C6530"/>
        <s v="C5413"/>
        <s v="C4748"/>
        <s v="C1663"/>
        <s v="C2998"/>
        <s v="C8994"/>
        <s v="C2495"/>
        <s v="C4304"/>
        <s v="C4763"/>
        <s v="C6232"/>
        <s v="C2853"/>
        <s v="C7585"/>
        <s v="C2291"/>
        <s v="C4581"/>
        <s v="C8554"/>
        <s v="C8280"/>
        <s v="C2636"/>
        <s v="C4696"/>
        <s v="C1698"/>
        <s v="C5737"/>
        <s v="C1854"/>
        <s v="C9164"/>
        <s v="C6855"/>
        <s v="C7528"/>
        <s v="C6249"/>
        <s v="C6172"/>
        <s v="C2707"/>
        <s v="C6791"/>
        <s v="C6535"/>
        <s v="C5931"/>
        <s v="C4510"/>
        <s v="C1202"/>
        <s v="C5218"/>
        <s v="C9958"/>
        <s v="C5389"/>
        <s v="C3327"/>
        <s v="C9004"/>
        <s v="C3931"/>
        <s v="C8777"/>
        <s v="C1197"/>
        <s v="C8125"/>
        <s v="C2930"/>
        <s v="C7287"/>
        <s v="C9800"/>
        <s v="C5282"/>
        <s v="C3511"/>
        <s v="C1659"/>
        <s v="C3811"/>
        <s v="C8098"/>
        <s v="C7546"/>
        <s v="C2986"/>
        <s v="C9338"/>
        <s v="C3911"/>
        <s v="C2734"/>
        <s v="C2843"/>
        <s v="C9680"/>
        <s v="C3976"/>
        <s v="C2959"/>
        <s v="C6759"/>
        <s v="C7694"/>
        <s v="C3385"/>
        <s v="C5736"/>
        <s v="C2802"/>
        <s v="C9155"/>
        <s v="C9120"/>
        <s v="C7616"/>
        <s v="C6534"/>
        <s v="C5061"/>
        <s v="C1262"/>
        <s v="C9815"/>
        <s v="C3049"/>
        <s v="C6423"/>
        <s v="C5548"/>
        <s v="C4108"/>
        <s v="C8158"/>
        <s v="C8400"/>
        <s v="C4170"/>
        <s v="C3255"/>
        <s v="C2154"/>
        <s v="C5499"/>
        <s v="C7295"/>
        <s v="C7197"/>
        <s v="C2648"/>
        <s v="C6539"/>
        <s v="C5199"/>
        <s v="C9445"/>
        <s v="C3557"/>
        <s v="C1098"/>
        <s v="C3200"/>
        <s v="C3961"/>
        <s v="C5973"/>
        <s v="C5433"/>
        <s v="C3869"/>
        <s v="C1956"/>
        <s v="C9352"/>
        <s v="C6699"/>
        <s v="C7944"/>
        <s v="C5493"/>
        <s v="C5911"/>
        <s v="C4987"/>
        <s v="C7015"/>
        <s v="C2218"/>
        <s v="C5496"/>
        <s v="C5735"/>
        <s v="C9050"/>
        <s v="C4446"/>
        <s v="C2045"/>
        <s v="C7893"/>
        <s v="C2693"/>
        <s v="C4436"/>
        <s v="C9754"/>
        <s v="C6895"/>
        <s v="C4354"/>
        <s v="C1225"/>
        <s v="C5893"/>
        <s v="C8022"/>
        <s v="C6600"/>
        <s v="C8996"/>
        <s v="C8683"/>
        <s v="C5642"/>
        <s v="C8679"/>
        <s v="C9208"/>
        <s v="C8339"/>
        <s v="C3205"/>
        <s v="C2069"/>
        <s v="C4444"/>
        <s v="C2060"/>
        <s v="C4420"/>
        <s v="C1301"/>
        <s v="C1606"/>
        <s v="C1699"/>
        <s v="C6088"/>
        <s v="C1190"/>
        <s v="C1980"/>
        <s v="C3975"/>
        <s v="C7102"/>
        <s v="C4327"/>
        <s v="C4394"/>
        <s v="C9319"/>
        <s v="C2816"/>
        <s v="C6854"/>
        <s v="C7709"/>
        <s v="C1569"/>
        <s v="C6442"/>
        <s v="C2895"/>
        <s v="C3733"/>
        <s v="C4863"/>
        <s v="C8455"/>
        <s v="C5014"/>
        <s v="C2686"/>
        <s v="C4009"/>
        <s v="C8806"/>
        <s v="C1154"/>
        <s v="C2409"/>
        <s v="C1784"/>
        <s v="C9096"/>
        <s v="C8560"/>
        <s v="C8343"/>
        <s v="C8206"/>
        <s v="C6596"/>
        <s v="C6801"/>
        <s v="C3806"/>
        <s v="C1537"/>
        <s v="C6986"/>
        <s v="C2841"/>
        <s v="C9716"/>
        <s v="C7971"/>
        <s v="C6625"/>
        <s v="C3950"/>
        <s v="C8992"/>
        <s v="C5780"/>
        <s v="C3368"/>
        <s v="C7655"/>
        <s v="C9173"/>
        <s v="C5495"/>
        <s v="C7002"/>
        <s v="C7614"/>
        <s v="C6919"/>
        <s v="C1853"/>
        <s v="C5146"/>
        <s v="C4769"/>
        <s v="C1574"/>
        <s v="C2148"/>
        <s v="C7293"/>
        <s v="C7457"/>
        <s v="C8509"/>
        <s v="C5777"/>
        <s v="C4854"/>
        <s v="C3491"/>
        <s v="C4124"/>
        <s v="C6691"/>
        <s v="C4051"/>
        <s v="C1004"/>
        <s v="C6222"/>
        <s v="C6315"/>
        <s v="C5869"/>
        <s v="C1876"/>
        <s v="C8027"/>
        <s v="C5142"/>
        <s v="C7966"/>
        <s v="C8079"/>
        <s v="C8987"/>
        <s v="C7799"/>
        <s v="C5465"/>
        <s v="C1635"/>
        <s v="C5752"/>
        <s v="C9311"/>
        <s v="C1830"/>
        <s v="C6177"/>
        <s v="C9932"/>
        <s v="C9308"/>
        <s v="C6949"/>
        <s v="C3838"/>
        <s v="C2150"/>
        <s v="C2931"/>
        <s v="C2664"/>
        <s v="C2081"/>
        <s v="C1512"/>
        <s v="C8805"/>
        <s v="C6237"/>
        <s v="C1559"/>
        <s v="C4672"/>
        <s v="C8404"/>
        <s v="C4343"/>
        <s v="C5070"/>
        <s v="C1580"/>
        <s v="C8004"/>
        <s v="C9130"/>
        <s v="C4147"/>
        <s v="C5249"/>
        <s v="C2679"/>
        <s v="C4506"/>
        <s v="C8253"/>
        <s v="C3744"/>
        <s v="C6188"/>
        <s v="C3141"/>
        <s v="C7617"/>
        <s v="C3479"/>
        <s v="C7484"/>
        <s v="C8421"/>
        <s v="C5452"/>
        <s v="C6881"/>
        <s v="C7665"/>
        <s v="C3849"/>
        <s v="C8390"/>
        <s v="C7905"/>
        <s v="C3489"/>
        <s v="C5611"/>
        <s v="C3839"/>
        <s v="C9527"/>
        <s v="C6878"/>
        <s v="C7303"/>
        <s v="C1851"/>
        <s v="C2687"/>
        <s v="C7833"/>
        <s v="C3427"/>
        <s v="C5000"/>
        <s v="C6052"/>
        <s v="C3738"/>
        <s v="C6732"/>
        <s v="C6387"/>
        <s v="C9002"/>
        <s v="C6536"/>
        <s v="C4913"/>
        <s v="C2066"/>
        <s v="C8723"/>
        <s v="C5380"/>
        <s v="C5107"/>
        <s v="C6726"/>
        <s v="C4373"/>
        <s v="C9945"/>
        <s v="C3082"/>
        <s v="C9967"/>
        <s v="C7748"/>
        <s v="C1417"/>
        <s v="C9306"/>
        <s v="C9808"/>
        <s v="C4974"/>
        <s v="C4267"/>
        <s v="C1825"/>
        <s v="C8668"/>
        <s v="C6745"/>
        <s v="C1412"/>
        <s v="C8543"/>
        <s v="C8587"/>
        <s v="C1728"/>
        <s v="C8164"/>
        <s v="C9867"/>
        <s v="C6988"/>
        <s v="C3504"/>
        <s v="C3967"/>
        <s v="C3786"/>
        <s v="C2122"/>
        <s v="C5079"/>
        <s v="C2571"/>
        <s v="C6073"/>
        <s v="C6104"/>
        <s v="C3143"/>
        <s v="C7806"/>
        <s v="C8357"/>
        <s v="C4440"/>
        <s v="C4766"/>
        <s v="C6644"/>
        <s v="C3914"/>
        <s v="C5968"/>
        <s v="C6917"/>
        <s v="C9787"/>
        <s v="C2365"/>
        <s v="C5492"/>
        <s v="C8186"/>
        <s v="C1395"/>
        <s v="C9082"/>
        <s v="C5171"/>
        <s v="C5360"/>
        <s v="C3502"/>
        <s v="C1717"/>
        <s v="C3782"/>
        <s v="C5946"/>
        <s v="C9335"/>
        <s v="C5980"/>
        <s v="C8266"/>
        <s v="C5491"/>
        <s v="C8192"/>
        <s v="C6588"/>
        <s v="C8651"/>
        <s v="C4636"/>
        <s v="C2167"/>
        <s v="C2062"/>
        <s v="C3156"/>
        <s v="C8860"/>
        <s v="C6161"/>
        <s v="C6305"/>
        <s v="C7541"/>
        <s v="C5729"/>
        <s v="C8330"/>
        <s v="C6334"/>
        <s v="C9924"/>
        <s v="C5330"/>
        <s v="C9010"/>
        <s v="C7801"/>
        <s v="C5846"/>
        <s v="C7731"/>
        <s v="C8241"/>
        <s v="C1953"/>
        <s v="C3539"/>
        <s v="C8056"/>
        <s v="C2542"/>
        <s v="C6293"/>
        <s v="C2191"/>
        <s v="C7313"/>
        <s v="C3681"/>
        <s v="C2540"/>
        <s v="C7172"/>
        <s v="C6541"/>
        <s v="C9691"/>
        <s v="C9702"/>
        <s v="C8494"/>
        <s v="C5312"/>
        <s v="C2324"/>
        <s v="C4141"/>
        <s v="C8419"/>
        <s v="C4486"/>
        <s v="C2810"/>
        <s v="C7588"/>
        <s v="C3923"/>
        <s v="C6301"/>
        <s v="C5186"/>
        <s v="C9905"/>
        <s v="C5268"/>
        <s v="C5748"/>
        <s v="C5849"/>
        <s v="C4709"/>
        <s v="C7619"/>
        <s v="C9647"/>
        <s v="C4072"/>
        <s v="C7530"/>
        <s v="C1504"/>
        <s v="C2214"/>
        <s v="C2531"/>
        <s v="C8576"/>
        <s v="C1823"/>
        <s v="C1928"/>
        <s v="C6029"/>
        <s v="C1133"/>
        <s v="C3105"/>
        <s v="C7316"/>
        <s v="C2852"/>
        <s v="C5910"/>
        <s v="C5175"/>
        <s v="C6348"/>
        <s v="C7190"/>
        <s v="C2256"/>
        <s v="C4376"/>
        <s v="C6645"/>
        <s v="C4584"/>
        <s v="C9053"/>
        <s v="C4330"/>
        <s v="C3703"/>
        <s v="C9662"/>
        <s v="C8114"/>
        <s v="C2353"/>
        <s v="C6063"/>
        <s v="C9549"/>
        <s v="C8575"/>
        <s v="C1667"/>
        <s v="C5468"/>
        <s v="C7819"/>
        <s v="C4719"/>
        <s v="C3745"/>
        <s v="C8483"/>
        <s v="C1539"/>
        <s v="C5964"/>
        <s v="C5835"/>
        <s v="C4775"/>
        <s v="C7042"/>
        <s v="C8102"/>
        <s v="C8312"/>
        <s v="C6320"/>
        <s v="C7132"/>
        <s v="C8891"/>
        <s v="C3779"/>
        <s v="C1924"/>
        <s v="C2581"/>
        <s v="C8714"/>
        <s v="C4324"/>
        <s v="C6713"/>
        <s v="C8026"/>
        <s v="C1255"/>
        <s v="C5804"/>
        <s v="C2838"/>
        <s v="C1009"/>
        <s v="C3871"/>
        <s v="C9989"/>
        <s v="C8409"/>
        <s v="C8418"/>
        <s v="C6124"/>
        <s v="C2015"/>
        <s v="C3193"/>
        <s v="C9415"/>
        <s v="C8449"/>
        <s v="C5158"/>
        <s v="C4925"/>
        <s v="C7970"/>
        <s v="C5784"/>
        <s v="C2633"/>
        <s v="C1384"/>
        <s v="C1404"/>
        <s v="C9175"/>
        <s v="C3000"/>
        <s v="C6989"/>
        <s v="C2460"/>
        <s v="C8190"/>
        <s v="C8140"/>
        <s v="C5809"/>
        <s v="C5178"/>
        <s v="C8245"/>
        <s v="C7600"/>
        <s v="C6997"/>
        <s v="C3048"/>
        <s v="C1716"/>
        <s v="C8939"/>
        <s v="C6565"/>
        <s v="C5544"/>
        <s v="C5976"/>
        <s v="C4419"/>
        <s v="C8239"/>
        <s v="C1249"/>
        <s v="C9865"/>
        <s v="C1770"/>
        <s v="C5363"/>
        <s v="C2077"/>
        <s v="C9427"/>
        <s v="C9580"/>
        <s v="C8901"/>
        <s v="C5858"/>
        <s v="C7544"/>
        <s v="C5719"/>
        <s v="C3814"/>
        <s v="C4374"/>
        <s v="C2252"/>
        <s v="C7996"/>
        <s v="C5673"/>
        <s v="C5530"/>
        <s v="C7881"/>
        <s v="C7241"/>
        <s v="C9017"/>
        <s v="C7941"/>
        <s v="C8002"/>
        <s v="C2331"/>
        <s v="C5261"/>
        <s v="C8648"/>
        <s v="C6115"/>
        <s v="C5637"/>
        <s v="C5854"/>
        <s v="C4177"/>
        <s v="C8730"/>
        <s v="C3180"/>
        <s v="C5892"/>
        <s v="C8043"/>
        <s v="C1137"/>
        <s v="C7327"/>
        <s v="C4472"/>
        <s v="C6449"/>
        <s v="C3832"/>
        <s v="C4579"/>
        <s v="C6971"/>
        <s v="C5164"/>
        <s v="C8941"/>
        <s v="C6569"/>
        <s v="C5300"/>
        <s v="C7269"/>
        <s v="C4818"/>
        <s v="C2906"/>
        <s v="C7254"/>
        <s v="C1760"/>
        <s v="C8830"/>
        <s v="C8350"/>
        <s v="C7238"/>
        <s v="C7090"/>
        <s v="C7031"/>
        <s v="C8687"/>
        <s v="C9472"/>
        <s v="C2887"/>
        <s v="C4266"/>
        <s v="C1666"/>
        <s v="C5188"/>
        <s v="C1671"/>
        <s v="C7777"/>
        <s v="C8570"/>
        <s v="C8956"/>
        <s v="C6585"/>
        <s v="C4900"/>
        <s v="C7677"/>
        <s v="C7981"/>
        <s v="C7376"/>
        <s v="C1523"/>
        <s v="C3393"/>
        <s v="C3593"/>
        <s v="C8240"/>
        <s v="C7937"/>
        <s v="C6240"/>
        <s v="C7493"/>
        <s v="C3878"/>
        <s v="C5143"/>
        <s v="C4644"/>
        <s v="C5432"/>
        <s v="C2276"/>
        <s v="C6811"/>
        <s v="C1302"/>
        <s v="C1638"/>
        <s v="C1055"/>
        <s v="C9717"/>
        <s v="C9150"/>
        <s v="C3125"/>
        <s v="C1364"/>
        <s v="C7809"/>
        <s v="C5621"/>
        <s v="C6126"/>
        <s v="C6122"/>
        <s v="C2646"/>
        <s v="C1918"/>
        <s v="C3797"/>
        <s v="C7506"/>
        <s v="C6870"/>
        <s v="C9172"/>
        <s v="C4345"/>
        <s v="C8673"/>
        <s v="C7882"/>
        <s v="C4086"/>
        <s v="C9152"/>
        <s v="C6750"/>
        <s v="C2976"/>
        <s v="C2296"/>
        <s v="C7229"/>
        <s v="C8641"/>
        <s v="C1125"/>
        <s v="C5632"/>
        <s v="C7288"/>
        <s v="C4596"/>
        <s v="C7168"/>
        <s v="C8561"/>
        <s v="C9258"/>
        <s v="C1232"/>
        <s v="C7371"/>
        <s v="C5206"/>
        <s v="C8943"/>
        <s v="C7891"/>
        <s v="C7738"/>
        <s v="C3472"/>
        <s v="C3739"/>
        <s v="C6401"/>
        <s v="C2761"/>
        <s v="C4812"/>
        <s v="C2733"/>
        <s v="C2605"/>
        <s v="C6622"/>
        <s v="C7767"/>
        <s v="C7986"/>
        <s v="C4517"/>
        <s v="C4735"/>
        <s v="C9434"/>
        <s v="C3590"/>
        <s v="C2063"/>
        <s v="C5324"/>
        <s v="C6342"/>
        <s v="C1005"/>
        <s v="C8489"/>
        <s v="C9659"/>
        <s v="C9195"/>
        <s v="C6966"/>
        <s v="C9837"/>
        <s v="C1117"/>
        <s v="C3551"/>
        <s v="C6560"/>
        <s v="C5289"/>
        <s v="C1846"/>
        <s v="C7469"/>
        <s v="C9915"/>
        <s v="C1224"/>
        <s v="C5208"/>
        <s v="C7283"/>
        <s v="C7233"/>
        <s v="C2828"/>
        <s v="C2917"/>
        <s v="C5234"/>
        <s v="C7988"/>
        <s v="C3026"/>
        <s v="C4744"/>
        <s v="C1260"/>
        <s v="C7038"/>
        <s v="C3219"/>
        <s v="C3060"/>
        <s v="C6287"/>
        <s v="C2619"/>
        <s v="C9512"/>
        <s v="C2342"/>
        <s v="C3824"/>
        <s v="C2994"/>
        <s v="C4490"/>
        <s v="C8984"/>
        <s v="C2604"/>
        <s v="C1235"/>
        <s v="C2908"/>
        <s v="C9567"/>
        <s v="C4530"/>
        <s v="C6256"/>
        <s v="C3635"/>
        <s v="C9162"/>
        <s v="C3560"/>
        <s v="C6415"/>
        <s v="C4391"/>
        <s v="C6951"/>
        <s v="C6468"/>
        <s v="C9007"/>
        <s v="C7413"/>
        <s v="C5820"/>
        <s v="C3898"/>
        <s v="C8546"/>
        <s v="C1077"/>
        <s v="C8577"/>
        <s v="C5227"/>
        <s v="C1600"/>
        <s v="C2065"/>
        <s v="C3136"/>
        <s v="C7943"/>
        <s v="C8804"/>
        <s v="C7565"/>
        <s v="C6984"/>
        <s v="C6142"/>
        <s v="C5670"/>
        <s v="C3190"/>
        <s v="C3712"/>
        <s v="C3192"/>
        <s v="C2248"/>
        <s v="C5033"/>
        <s v="C2997"/>
        <s v="C4687"/>
        <s v="C5018"/>
        <s v="C2970"/>
        <s v="C9389"/>
        <s v="C6765"/>
        <s v="C2202"/>
        <s v="C9135"/>
        <s v="C6567"/>
        <s v="C8667"/>
        <s v="C6742"/>
        <s v="C6788"/>
        <s v="C6408"/>
        <s v="C9669"/>
        <s v="C1922"/>
        <s v="C1419"/>
        <s v="C3204"/>
        <s v="C2120"/>
        <s v="C1950"/>
        <s v="C3336"/>
        <s v="C6373"/>
        <s v="C3243"/>
        <s v="C3645"/>
        <s v="C5612"/>
        <s v="C2865"/>
        <s v="C7028"/>
        <s v="C8326"/>
        <s v="C7359"/>
        <s v="C8863"/>
        <s v="C4228"/>
        <s v="C3371"/>
        <s v="C3891"/>
        <s v="C4756"/>
        <s v="C5225"/>
        <s v="C1094"/>
        <s v="C3674"/>
        <s v="C7898"/>
        <s v="C1793"/>
        <s v="C3116"/>
        <s v="C6779"/>
        <s v="C7166"/>
        <s v="C1814"/>
        <s v="C1345"/>
        <s v="C9554"/>
        <s v="C3443"/>
        <s v="C8783"/>
        <s v="C1984"/>
        <s v="C8790"/>
        <s v="C1827"/>
        <s v="C4531"/>
        <s v="C8147"/>
        <s v="C5451"/>
        <s v="C4876"/>
        <s v="C6959"/>
        <s v="C1126"/>
        <s v="C9795"/>
        <s v="C7024"/>
        <s v="C6109"/>
        <s v="C8196"/>
        <s v="C4368"/>
        <s v="C4797"/>
        <s v="C2792"/>
        <s v="C4476"/>
        <s v="C4417"/>
        <s v="C2645"/>
        <s v="C4030"/>
        <s v="C3872"/>
        <s v="C2854"/>
        <s v="C5021"/>
        <s v="C5662"/>
        <s v="C7514"/>
        <s v="C6031"/>
        <s v="C3708"/>
        <s v="C8112"/>
        <s v="C9393"/>
        <s v="C4507"/>
        <s v="C7456"/>
        <s v="C5212"/>
        <s v="C8970"/>
        <s v="C9766"/>
        <s v="C1536"/>
        <s v="C2625"/>
        <s v="C8973"/>
        <s v="C9577"/>
        <s v="C9070"/>
        <s v="C9609"/>
        <s v="C7490"/>
        <s v="C4600"/>
        <s v="C7783"/>
        <s v="C5971"/>
        <s v="C2205"/>
        <s v="C2990"/>
        <s v="C6299"/>
        <s v="C4572"/>
        <s v="C6975"/>
        <s v="C7320"/>
        <s v="C5757"/>
        <s v="C3713"/>
        <s v="C1966"/>
        <s v="C5944"/>
        <s v="C4432"/>
        <s v="C1688"/>
        <s v="C5243"/>
        <s v="C4701"/>
        <s v="C9533"/>
        <s v="C6182"/>
        <s v="C7704"/>
        <s v="C5422"/>
        <s v="C2759"/>
        <s v="C3482"/>
        <s v="C9058"/>
        <s v="C1951"/>
        <s v="C9914"/>
        <s v="C3079"/>
        <s v="C3717"/>
        <s v="C5524"/>
        <s v="C9477"/>
        <s v="C8311"/>
        <s v="C3065"/>
        <s v="C1768"/>
        <s v="C6490"/>
        <s v="C7645"/>
        <s v="C6083"/>
        <s v="C6797"/>
        <s v="C5926"/>
        <s v="C7016"/>
        <s v="C4335"/>
      </sharedItems>
    </cacheField>
    <cacheField name="Restaurant_ID" numFmtId="0">
      <sharedItems count="621">
        <s v="R2924"/>
        <s v="R2054"/>
        <s v="R2870"/>
        <s v="R2642"/>
        <s v="R2799"/>
        <s v="R2777"/>
        <s v="R2457"/>
        <s v="R2978"/>
        <s v="R2877"/>
        <s v="R2161"/>
        <s v="R2379"/>
        <s v="R2992"/>
        <s v="R2086"/>
        <s v="R2475"/>
        <s v="R2177"/>
        <s v="R2390"/>
        <s v="R2348"/>
        <s v="R2007"/>
        <s v="R2832"/>
        <s v="R2312"/>
        <s v="R2758"/>
        <s v="R2834"/>
        <s v="R2983"/>
        <s v="R2982"/>
        <s v="R2442"/>
        <s v="R2766"/>
        <s v="R2327"/>
        <s v="R2053"/>
        <s v="R2760"/>
        <s v="R2238"/>
        <s v="R2228"/>
        <s v="R2578"/>
        <s v="R2050"/>
        <s v="R2608"/>
        <s v="R2603"/>
        <s v="R2263"/>
        <s v="R2417"/>
        <s v="R2802"/>
        <s v="R2095"/>
        <s v="R2087"/>
        <s v="R2077"/>
        <s v="R2287"/>
        <s v="R2119"/>
        <s v="R2813"/>
        <s v="R2490"/>
        <s v="R2911"/>
        <s v="R2451"/>
        <s v="R2499"/>
        <s v="R2164"/>
        <s v="R2181"/>
        <s v="R2468"/>
        <s v="R2909"/>
        <s v="R2734"/>
        <s v="R2822"/>
        <s v="R2943"/>
        <s v="R2977"/>
        <s v="R2006"/>
        <s v="R2329"/>
        <s v="R2774"/>
        <s v="R2672"/>
        <s v="R2150"/>
        <s v="R2084"/>
        <s v="R2146"/>
        <s v="R2623"/>
        <s v="R2380"/>
        <s v="R2914"/>
        <s v="R2547"/>
        <s v="R2284"/>
        <s v="R2699"/>
        <s v="R2081"/>
        <s v="R2513"/>
        <s v="R2896"/>
        <s v="R2814"/>
        <s v="R2708"/>
        <s v="R2915"/>
        <s v="R2522"/>
        <s v="R2745"/>
        <s v="R2385"/>
        <s v="R2706"/>
        <s v="R2470"/>
        <s v="R2118"/>
        <s v="R2395"/>
        <s v="R2531"/>
        <s v="R2260"/>
        <s v="R2804"/>
        <s v="R2933"/>
        <s v="R2255"/>
        <s v="R2733"/>
        <s v="R2904"/>
        <s v="R2225"/>
        <s v="R2052"/>
        <s v="R2939"/>
        <s v="R2866"/>
        <s v="R2505"/>
        <s v="R2853"/>
        <s v="R2363"/>
        <s v="R2279"/>
        <s v="R2592"/>
        <s v="R2713"/>
        <s v="R2157"/>
        <s v="R2631"/>
        <s v="R2058"/>
        <s v="R2726"/>
        <s v="R2127"/>
        <s v="R2735"/>
        <s v="R2720"/>
        <s v="R2881"/>
        <s v="R2114"/>
        <s v="R2208"/>
        <s v="R2525"/>
        <s v="R2520"/>
        <s v="R2551"/>
        <s v="R2961"/>
        <s v="R2236"/>
        <s v="R2280"/>
        <s v="R2358"/>
        <s v="R2200"/>
        <s v="R2757"/>
        <s v="R2277"/>
        <s v="R2234"/>
        <s v="R2493"/>
        <s v="R2003"/>
        <s v="R2665"/>
        <s v="R2441"/>
        <s v="R2028"/>
        <s v="R2108"/>
        <s v="R2609"/>
        <s v="R2074"/>
        <s v="R2837"/>
        <s v="R2145"/>
        <s v="R2852"/>
        <s v="R2041"/>
        <s v="R2355"/>
        <s v="R2040"/>
        <s v="R2033"/>
        <s v="R2016"/>
        <s v="R2676"/>
        <s v="R2152"/>
        <s v="R2997"/>
        <s v="R2377"/>
        <s v="R2587"/>
        <s v="R2598"/>
        <s v="R2628"/>
        <s v="R2873"/>
        <s v="R2341"/>
        <s v="R2980"/>
        <s v="R2026"/>
        <s v="R2824"/>
        <s v="R2286"/>
        <s v="R2645"/>
        <s v="R2730"/>
        <s v="R2167"/>
        <s v="R2267"/>
        <s v="R2748"/>
        <s v="R2820"/>
        <s v="R2454"/>
        <s v="R2905"/>
        <s v="R2684"/>
        <s v="R2400"/>
        <s v="R2921"/>
        <s v="R2701"/>
        <s v="R2633"/>
        <s v="R2557"/>
        <s v="R2575"/>
        <s v="R2129"/>
        <s v="R2821"/>
        <s v="R2362"/>
        <s v="R2704"/>
        <s v="R2818"/>
        <s v="R2692"/>
        <s v="R2291"/>
        <s v="R2370"/>
        <s v="R2793"/>
        <s v="R2148"/>
        <s v="R2778"/>
        <s v="R2295"/>
        <s v="R2010"/>
        <s v="R2511"/>
        <s v="R2675"/>
        <s v="R2112"/>
        <s v="R2186"/>
        <s v="R2806"/>
        <s v="R2743"/>
        <s v="R2226"/>
        <s v="R2309"/>
        <s v="R2097"/>
        <s v="R2622"/>
        <s v="R2663"/>
        <s v="R2405"/>
        <s v="R2068"/>
        <s v="R2311"/>
        <s v="R2288"/>
        <s v="R2761"/>
        <s v="R2750"/>
        <s v="R2147"/>
        <s v="R2466"/>
        <s v="R2738"/>
        <s v="R2243"/>
        <s v="R2848"/>
        <s v="R2957"/>
        <s v="R2506"/>
        <s v="R2364"/>
        <s v="R2481"/>
        <s v="R2153"/>
        <s v="R2449"/>
        <s v="R2500"/>
        <s v="R2072"/>
        <s v="R2712"/>
        <s v="R2640"/>
        <s v="R2216"/>
        <s v="R2060"/>
        <s v="R2938"/>
        <s v="R2615"/>
        <s v="R2024"/>
        <s v="R2038"/>
        <s v="R2130"/>
        <s v="R2497"/>
        <s v="R2107"/>
        <s v="R2171"/>
        <s v="R2434"/>
        <s v="R2477"/>
        <s v="R2101"/>
        <s v="R2865"/>
        <s v="R2523"/>
        <s v="R2274"/>
        <s v="R2612"/>
        <s v="R2043"/>
        <s v="R2954"/>
        <s v="R2816"/>
        <s v="R2956"/>
        <s v="R2568"/>
        <s v="R2496"/>
        <s v="R2011"/>
        <s v="R2317"/>
        <s v="R2591"/>
        <s v="R2215"/>
        <s v="R2338"/>
        <s v="R2775"/>
        <s v="R2990"/>
        <s v="R2660"/>
        <s v="R2080"/>
        <s v="R2484"/>
        <s v="R2373"/>
        <s v="R2975"/>
        <s v="R2709"/>
        <s v="R2199"/>
        <s v="R2536"/>
        <s v="R2465"/>
        <s v="R2088"/>
        <s v="R2654"/>
        <s v="R2570"/>
        <s v="R2488"/>
        <s v="R2876"/>
        <s v="R2537"/>
        <s v="R2046"/>
        <s v="R2015"/>
        <s v="R2710"/>
        <s v="R2918"/>
        <s v="R2085"/>
        <s v="R2249"/>
        <s v="R2781"/>
        <s v="R2334"/>
        <s v="R2518"/>
        <s v="R2136"/>
        <s v="R2882"/>
        <s v="R2687"/>
        <s v="R2839"/>
        <s v="R2826"/>
        <s v="R2476"/>
        <s v="R2593"/>
        <s v="R2222"/>
        <s v="R2989"/>
        <s v="R2371"/>
        <s v="R2934"/>
        <s v="R2994"/>
        <s v="R2401"/>
        <s v="R2489"/>
        <s v="R2614"/>
        <s v="R2272"/>
        <s v="R2158"/>
        <s v="R2151"/>
        <s v="R2619"/>
        <s v="R2187"/>
        <s v="R2812"/>
        <s v="R2170"/>
        <s v="R2935"/>
        <s v="R2985"/>
        <s v="R2182"/>
        <s v="R2526"/>
        <s v="R2887"/>
        <s v="R2515"/>
        <s v="R2981"/>
        <s v="R2920"/>
        <s v="R2396"/>
        <s v="R2721"/>
        <s v="R2160"/>
        <s v="R2492"/>
        <s v="R2425"/>
        <s v="R2893"/>
        <s v="R2310"/>
        <s v="R2169"/>
        <s v="R2545"/>
        <s v="R2413"/>
        <s v="R2250"/>
        <s v="R2780"/>
        <s v="R2140"/>
        <s v="R2273"/>
        <s v="R2415"/>
        <s v="R2607"/>
        <s v="R2890"/>
        <s v="R2244"/>
        <s v="R2747"/>
        <s v="R2696"/>
        <s v="R2271"/>
        <s v="R2439"/>
        <s v="R2376"/>
        <s v="R2265"/>
        <s v="R2925"/>
        <s v="R2339"/>
        <s v="R2388"/>
        <s v="R2576"/>
        <s v="R2688"/>
        <s v="R2002"/>
        <s v="R2428"/>
        <s v="R2141"/>
        <s v="R2375"/>
        <s v="R2669"/>
        <s v="R2323"/>
        <s v="R2292"/>
        <s v="R2664"/>
        <s v="R2431"/>
        <s v="R2948"/>
        <s v="R2974"/>
        <s v="R2584"/>
        <s v="R2398"/>
        <s v="R2888"/>
        <s v="R2343"/>
        <s v="R2963"/>
        <s v="R2139"/>
        <s v="R2996"/>
        <s v="R2318"/>
        <s v="R2301"/>
        <s v="R2061"/>
        <s v="R2844"/>
        <s v="R2563"/>
        <s v="R2771"/>
        <s v="R2583"/>
        <s v="R2659"/>
        <s v="R2860"/>
        <s v="R2574"/>
        <s v="R2884"/>
        <s v="R2242"/>
        <s v="R2365"/>
        <s v="R2106"/>
        <s v="R2217"/>
        <s v="R2936"/>
        <s v="R2752"/>
        <s v="R2258"/>
        <s v="R2773"/>
        <s v="R2516"/>
        <s v="R2772"/>
        <s v="R2098"/>
        <s v="R2019"/>
        <s v="R2889"/>
        <s v="R2572"/>
        <s v="R2418"/>
        <s v="R2689"/>
        <s v="R2849"/>
        <s v="R2144"/>
        <s v="R2159"/>
        <s v="R2892"/>
        <s v="R2328"/>
        <s v="R2579"/>
        <s v="R2356"/>
        <s v="R2266"/>
        <s v="R2616"/>
        <s v="R2951"/>
        <s v="R2322"/>
        <s v="R2634"/>
        <s v="R2987"/>
        <s v="R2540"/>
        <s v="R2648"/>
        <s v="R2194"/>
        <s v="R2737"/>
        <s v="R2331"/>
        <s v="R2462"/>
        <s v="R2039"/>
        <s v="R2394"/>
        <s v="R2123"/>
        <s v="R2037"/>
        <s v="R2900"/>
        <s v="R2175"/>
        <s v="R2601"/>
        <s v="R2913"/>
        <s v="R2453"/>
        <s v="R2036"/>
        <s v="R2315"/>
        <s v="R2972"/>
        <s v="R2795"/>
        <s v="R2964"/>
        <s v="R2113"/>
        <s v="R2300"/>
        <s v="R2223"/>
        <s v="R2697"/>
        <s v="R2567"/>
        <s v="R2858"/>
        <s v="R2261"/>
        <s v="R2335"/>
        <s v="R2091"/>
        <s v="R2352"/>
        <s v="R2815"/>
        <s v="R2680"/>
        <s v="R2556"/>
        <s v="R2344"/>
        <s v="R2190"/>
        <s v="R2666"/>
        <s v="R2421"/>
        <s v="R2132"/>
        <s v="R2746"/>
        <s v="R2825"/>
        <s v="R2030"/>
        <s v="R2534"/>
        <s v="R2393"/>
        <s v="R2671"/>
        <s v="R2436"/>
        <s v="R2550"/>
        <s v="R2926"/>
        <s v="R2257"/>
        <s v="R2717"/>
        <s v="R2588"/>
        <s v="R2988"/>
        <s v="R2294"/>
        <s v="R2524"/>
        <s v="R2045"/>
        <s v="R2232"/>
        <s v="R2359"/>
        <s v="R2447"/>
        <s v="R2855"/>
        <s v="R2674"/>
        <s v="R2325"/>
        <s v="R2585"/>
        <s v="R2993"/>
        <s v="R2830"/>
        <s v="R2411"/>
        <s v="R2571"/>
        <s v="R2221"/>
        <s v="R2195"/>
        <s v="R2863"/>
        <s v="R2483"/>
        <s v="R2241"/>
        <s v="R2191"/>
        <s v="R2917"/>
        <s v="R2885"/>
        <s v="R2021"/>
        <s v="R2473"/>
        <s v="R2209"/>
        <s v="R2305"/>
        <s v="R2269"/>
        <s v="R2703"/>
        <s v="R2686"/>
        <s v="R2715"/>
        <s v="R2762"/>
        <s v="R2947"/>
        <s v="R2459"/>
        <s v="R2906"/>
        <s v="R2032"/>
        <s v="R2878"/>
        <s v="R2078"/>
        <s v="R2927"/>
        <s v="R2946"/>
        <s v="R2458"/>
        <s v="R2569"/>
        <s v="R2429"/>
        <s v="R2976"/>
        <s v="R2270"/>
        <s v="R2886"/>
        <s v="R2796"/>
        <s v="R2156"/>
        <s v="R2883"/>
        <s v="R2973"/>
        <s v="R2083"/>
        <s v="R2538"/>
        <s v="R2381"/>
        <s v="R2020"/>
        <s v="R2302"/>
        <s v="R2868"/>
        <s v="R2658"/>
        <s v="R2952"/>
        <s v="R2452"/>
        <s v="R2386"/>
        <s v="R2256"/>
        <s v="R2891"/>
        <s v="R2162"/>
        <s v="R2831"/>
        <s v="R2792"/>
        <s v="R2791"/>
        <s v="R2785"/>
        <s v="R2491"/>
        <s v="R2207"/>
        <s v="R2059"/>
        <s v="R2984"/>
        <s v="R2656"/>
        <s v="R2604"/>
        <s v="R2308"/>
        <s v="R2519"/>
        <s v="R2590"/>
        <s v="R2685"/>
        <s v="R2561"/>
        <s v="R2198"/>
        <s v="R2959"/>
        <s v="R2535"/>
        <s v="R2827"/>
        <s v="R2898"/>
        <s v="R2205"/>
        <s v="R2235"/>
        <s v="R2851"/>
        <s v="R2739"/>
        <s v="R2677"/>
        <s v="R2955"/>
        <s v="R2725"/>
        <s v="R2116"/>
        <s v="R2063"/>
        <s v="R2716"/>
        <s v="R2071"/>
        <s v="R2788"/>
        <s v="R2319"/>
        <s v="R2337"/>
        <s v="R2494"/>
        <s v="R2606"/>
        <s v="R2165"/>
        <s v="R2543"/>
        <s v="R2728"/>
        <s v="R2800"/>
        <s v="R2424"/>
        <s v="R2391"/>
        <s v="R2213"/>
        <s v="R2690"/>
        <s v="R2552"/>
        <s v="R2864"/>
        <s v="R2001"/>
        <s v="R2224"/>
        <s v="R2744"/>
        <s v="R2928"/>
        <s v="R2115"/>
        <s v="R2102"/>
        <s v="R2193"/>
        <s v="R2089"/>
        <s v="R2121"/>
        <s v="R2142"/>
        <s v="R2105"/>
        <s v="R2427"/>
        <s v="R2304"/>
        <s v="R2871"/>
        <s v="R2970"/>
        <s v="R2316"/>
        <s v="R2962"/>
        <s v="R2901"/>
        <s v="R2008"/>
        <s v="R2369"/>
        <s v="R2859"/>
        <s v="R2110"/>
        <s v="R2382"/>
        <s v="R2899"/>
        <s v="R2389"/>
        <s v="R2313"/>
        <s v="R2409"/>
        <s v="R2894"/>
        <s v="R2514"/>
        <s v="R2126"/>
        <s v="R2808"/>
        <s v="R2013"/>
        <s v="R2908"/>
        <s v="R2566"/>
        <s v="R2749"/>
        <s v="R2903"/>
        <s v="R2732"/>
        <s v="R2630"/>
        <s v="R2694"/>
        <s v="R2306"/>
        <s v="R2811"/>
        <s v="R2965"/>
        <s v="R2722"/>
        <s v="R2661"/>
        <s v="R2548"/>
        <s v="R2351"/>
        <s v="R2872"/>
        <s v="R2923"/>
        <s v="R2754"/>
        <s v="R2034"/>
        <s v="R2444"/>
        <s v="R2092"/>
        <s v="R2949"/>
        <s v="R2958"/>
        <s v="R2206"/>
        <s v="R2902"/>
        <s v="R2861"/>
        <s v="R2724"/>
        <s v="R2953"/>
        <s v="R2023"/>
        <s v="R2403"/>
        <s v="R2731"/>
        <s v="R2419"/>
        <s v="R2577"/>
        <s v="R2931"/>
        <s v="R2937"/>
        <s v="R2185"/>
        <s v="R2245"/>
        <s v="R2636"/>
        <s v="R2529"/>
        <s v="R2910"/>
        <s v="R2736"/>
        <s v="R2099"/>
        <s v="R2751"/>
        <s v="R2297"/>
        <s v="R2333"/>
        <s v="R2374"/>
        <s v="R2836"/>
        <s v="R2501"/>
        <s v="R2503"/>
        <s v="R2230"/>
        <s v="R2742"/>
      </sharedItems>
    </cacheField>
    <cacheField name="Order_date" numFmtId="164">
      <sharedItems containsSemiMixedTypes="0" containsNonDate="0" containsDate="1" containsString="0" minDate="2024-01-01T02:12:47" maxDate="2024-02-07T23:56:12"/>
    </cacheField>
    <cacheField name="Delivery_date" numFmtId="164">
      <sharedItems containsSemiMixedTypes="0" containsNonDate="0" containsDate="1" containsString="0" minDate="2024-01-01T03:59:47" maxDate="2024-02-08T01:45:12"/>
    </cacheField>
    <cacheField name="Delivery_time" numFmtId="165">
      <sharedItems containsSemiMixedTypes="0" containsNonDate="0" containsDate="1" containsString="0" minDate="1899-12-30T00:30:00" maxDate="1899-12-30T01:59:00" count="90">
        <d v="1899-12-30T01:28:00"/>
        <d v="1899-12-30T00:35:00"/>
        <d v="1899-12-30T00:58:00"/>
        <d v="1899-12-30T00:46:00"/>
        <d v="1899-12-30T01:29:00"/>
        <d v="1899-12-30T00:51:00"/>
        <d v="1899-12-30T00:53:00"/>
        <d v="1899-12-30T01:50:00"/>
        <d v="1899-12-30T01:54:00"/>
        <d v="1899-12-30T01:20:00"/>
        <d v="1899-12-30T01:19:00"/>
        <d v="1899-12-30T00:40:00"/>
        <d v="1899-12-30T01:25:00"/>
        <d v="1899-12-30T01:40:00"/>
        <d v="1899-12-30T01:11:00"/>
        <d v="1899-12-30T01:08:00"/>
        <d v="1899-12-30T01:38:00"/>
        <d v="1899-12-30T01:17:00"/>
        <d v="1899-12-30T01:26:00"/>
        <d v="1899-12-30T00:50:00"/>
        <d v="1899-12-30T01:51:00"/>
        <d v="1899-12-30T00:49:00"/>
        <d v="1899-12-30T00:44:00"/>
        <d v="1899-12-30T01:46:00"/>
        <d v="1899-12-30T01:45:00"/>
        <d v="1899-12-30T01:31:00"/>
        <d v="1899-12-30T01:06:00"/>
        <d v="1899-12-30T00:55:00"/>
        <d v="1899-12-30T00:37:00"/>
        <d v="1899-12-30T01:42:00"/>
        <d v="1899-12-30T00:33:00"/>
        <d v="1899-12-30T01:00:00"/>
        <d v="1899-12-30T00:54:00"/>
        <d v="1899-12-30T01:04:00"/>
        <d v="1899-12-30T01:18:00"/>
        <d v="1899-12-30T01:12:00"/>
        <d v="1899-12-30T01:10:00"/>
        <d v="1899-12-30T01:16:00"/>
        <d v="1899-12-30T01:30:00"/>
        <d v="1899-12-30T00:43:00"/>
        <d v="1899-12-30T01:37:00"/>
        <d v="1899-12-30T01:22:00"/>
        <d v="1899-12-30T01:53:00"/>
        <d v="1899-12-30T01:03:00"/>
        <d v="1899-12-30T00:59:00"/>
        <d v="1899-12-30T01:57:00"/>
        <d v="1899-12-30T00:36:00"/>
        <d v="1899-12-30T01:05:00"/>
        <d v="1899-12-30T01:07:00"/>
        <d v="1899-12-30T01:49:00"/>
        <d v="1899-12-30T01:21:00"/>
        <d v="1899-12-30T01:15:00"/>
        <d v="1899-12-30T00:52:00"/>
        <d v="1899-12-30T00:41:00"/>
        <d v="1899-12-30T01:13:00"/>
        <d v="1899-12-30T01:32:00"/>
        <d v="1899-12-30T00:56:00"/>
        <d v="1899-12-30T01:56:00"/>
        <d v="1899-12-30T00:34:00"/>
        <d v="1899-12-30T01:44:00"/>
        <d v="1899-12-30T00:31:00"/>
        <d v="1899-12-30T01:36:00"/>
        <d v="1899-12-30T01:39:00"/>
        <d v="1899-12-30T00:38:00"/>
        <d v="1899-12-30T00:57:00"/>
        <d v="1899-12-30T01:52:00"/>
        <d v="1899-12-30T00:32:00"/>
        <d v="1899-12-30T01:24:00"/>
        <d v="1899-12-30T01:14:00"/>
        <d v="1899-12-30T01:34:00"/>
        <d v="1899-12-30T00:39:00"/>
        <d v="1899-12-30T01:41:00"/>
        <d v="1899-12-30T01:58:00"/>
        <d v="1899-12-30T01:33:00"/>
        <d v="1899-12-30T01:43:00"/>
        <d v="1899-12-30T00:30:00"/>
        <d v="1899-12-30T01:27:00"/>
        <d v="1899-12-30T00:48:00"/>
        <d v="1899-12-30T01:47:00"/>
        <d v="1899-12-30T00:47:00"/>
        <d v="1899-12-30T01:02:00"/>
        <d v="1899-12-30T01:59:00"/>
        <d v="1899-12-30T00:42:00"/>
        <d v="1899-12-30T00:45:00"/>
        <d v="1899-12-30T01:35:00"/>
        <d v="1899-12-30T01:23:00"/>
        <d v="1899-12-30T01:55:00"/>
        <d v="1899-12-30T01:09:00"/>
        <d v="1899-12-30T01:48:00"/>
        <d v="1899-12-30T01:01:00"/>
      </sharedItems>
    </cacheField>
    <cacheField name="Order_value" numFmtId="167">
      <sharedItems containsSemiMixedTypes="0" containsString="0" containsNumber="1" containsInteger="1" minValue="104" maxValue="1995" count="769">
        <n v="1914"/>
        <n v="986"/>
        <n v="937"/>
        <n v="1463"/>
        <n v="1992"/>
        <n v="439"/>
        <n v="303"/>
        <n v="260"/>
        <n v="1663"/>
        <n v="491"/>
        <n v="868"/>
        <n v="1800"/>
        <n v="674"/>
        <n v="633"/>
        <n v="1193"/>
        <n v="992"/>
        <n v="504"/>
        <n v="707"/>
        <n v="1798"/>
        <n v="1714"/>
        <n v="1640"/>
        <n v="927"/>
        <n v="1243"/>
        <n v="1937"/>
        <n v="789"/>
        <n v="1811"/>
        <n v="1001"/>
        <n v="1340"/>
        <n v="155"/>
        <n v="465"/>
        <n v="1822"/>
        <n v="1627"/>
        <n v="1867"/>
        <n v="1890"/>
        <n v="554"/>
        <n v="203"/>
        <n v="176"/>
        <n v="329"/>
        <n v="1381"/>
        <n v="1387"/>
        <n v="430"/>
        <n v="1305"/>
        <n v="1891"/>
        <n v="1673"/>
        <n v="787"/>
        <n v="126"/>
        <n v="1399"/>
        <n v="1775"/>
        <n v="398"/>
        <n v="1056"/>
        <n v="898"/>
        <n v="1214"/>
        <n v="579"/>
        <n v="672"/>
        <n v="557"/>
        <n v="1574"/>
        <n v="464"/>
        <n v="958"/>
        <n v="450"/>
        <n v="1778"/>
        <n v="1523"/>
        <n v="352"/>
        <n v="880"/>
        <n v="902"/>
        <n v="1111"/>
        <n v="558"/>
        <n v="1016"/>
        <n v="598"/>
        <n v="1049"/>
        <n v="607"/>
        <n v="1427"/>
        <n v="600"/>
        <n v="697"/>
        <n v="265"/>
        <n v="1538"/>
        <n v="561"/>
        <n v="1019"/>
        <n v="213"/>
        <n v="1556"/>
        <n v="1091"/>
        <n v="1479"/>
        <n v="1818"/>
        <n v="306"/>
        <n v="1358"/>
        <n v="1565"/>
        <n v="1478"/>
        <n v="614"/>
        <n v="1331"/>
        <n v="808"/>
        <n v="1976"/>
        <n v="1248"/>
        <n v="237"/>
        <n v="438"/>
        <n v="636"/>
        <n v="167"/>
        <n v="1696"/>
        <n v="1664"/>
        <n v="482"/>
        <n v="118"/>
        <n v="782"/>
        <n v="1573"/>
        <n v="173"/>
        <n v="1038"/>
        <n v="1788"/>
        <n v="1171"/>
        <n v="310"/>
        <n v="954"/>
        <n v="750"/>
        <n v="1745"/>
        <n v="1093"/>
        <n v="794"/>
        <n v="639"/>
        <n v="1832"/>
        <n v="1314"/>
        <n v="1438"/>
        <n v="1000"/>
        <n v="1686"/>
        <n v="1784"/>
        <n v="879"/>
        <n v="1685"/>
        <n v="1881"/>
        <n v="1236"/>
        <n v="269"/>
        <n v="1591"/>
        <n v="1801"/>
        <n v="1137"/>
        <n v="1838"/>
        <n v="387"/>
        <n v="288"/>
        <n v="1013"/>
        <n v="1278"/>
        <n v="1690"/>
        <n v="793"/>
        <n v="1845"/>
        <n v="987"/>
        <n v="570"/>
        <n v="1198"/>
        <n v="376"/>
        <n v="1039"/>
        <n v="1768"/>
        <n v="1466"/>
        <n v="1548"/>
        <n v="670"/>
        <n v="1634"/>
        <n v="956"/>
        <n v="1100"/>
        <n v="1017"/>
        <n v="1974"/>
        <n v="932"/>
        <n v="1187"/>
        <n v="938"/>
        <n v="1383"/>
        <n v="292"/>
        <n v="715"/>
        <n v="505"/>
        <n v="1849"/>
        <n v="1877"/>
        <n v="1042"/>
        <n v="820"/>
        <n v="192"/>
        <n v="529"/>
        <n v="753"/>
        <n v="1557"/>
        <n v="1527"/>
        <n v="533"/>
        <n v="1235"/>
        <n v="474"/>
        <n v="1182"/>
        <n v="1166"/>
        <n v="1419"/>
        <n v="1241"/>
        <n v="631"/>
        <n v="1345"/>
        <n v="742"/>
        <n v="1279"/>
        <n v="1307"/>
        <n v="189"/>
        <n v="1217"/>
        <n v="112"/>
        <n v="1072"/>
        <n v="1957"/>
        <n v="904"/>
        <n v="1044"/>
        <n v="841"/>
        <n v="1927"/>
        <n v="1561"/>
        <n v="1661"/>
        <n v="1710"/>
        <n v="975"/>
        <n v="1934"/>
        <n v="1273"/>
        <n v="759"/>
        <n v="1131"/>
        <n v="1152"/>
        <n v="395"/>
        <n v="1085"/>
        <n v="1025"/>
        <n v="1844"/>
        <n v="739"/>
        <n v="727"/>
        <n v="538"/>
        <n v="1267"/>
        <n v="1041"/>
        <n v="929"/>
        <n v="1870"/>
        <n v="618"/>
        <n v="1075"/>
        <n v="1168"/>
        <n v="1054"/>
        <n v="1362"/>
        <n v="1051"/>
        <n v="1043"/>
        <n v="254"/>
        <n v="1304"/>
        <n v="1338"/>
        <n v="187"/>
        <n v="1379"/>
        <n v="1196"/>
        <n v="1030"/>
        <n v="278"/>
        <n v="311"/>
        <n v="1928"/>
        <n v="1357"/>
        <n v="564"/>
        <n v="1874"/>
        <n v="1346"/>
        <n v="730"/>
        <n v="924"/>
        <n v="1330"/>
        <n v="706"/>
        <n v="984"/>
        <n v="1857"/>
        <n v="375"/>
        <n v="479"/>
        <n v="1866"/>
        <n v="1432"/>
        <n v="1754"/>
        <n v="1391"/>
        <n v="1908"/>
        <n v="909"/>
        <n v="1473"/>
        <n v="1024"/>
        <n v="593"/>
        <n v="1646"/>
        <n v="1221"/>
        <n v="1194"/>
        <n v="463"/>
        <n v="669"/>
        <n v="1925"/>
        <n v="862"/>
        <n v="149"/>
        <n v="1481"/>
        <n v="827"/>
        <n v="1005"/>
        <n v="1027"/>
        <n v="663"/>
        <n v="882"/>
        <n v="584"/>
        <n v="1207"/>
        <n v="1761"/>
        <n v="1931"/>
        <n v="683"/>
        <n v="335"/>
        <n v="459"/>
        <n v="209"/>
        <n v="291"/>
        <n v="1003"/>
        <n v="1216"/>
        <n v="961"/>
        <n v="667"/>
        <n v="1183"/>
        <n v="749"/>
        <n v="138"/>
        <n v="1172"/>
        <n v="1543"/>
        <n v="736"/>
        <n v="1136"/>
        <n v="135"/>
        <n v="200"/>
        <n v="1917"/>
        <n v="1209"/>
        <n v="1639"/>
        <n v="1461"/>
        <n v="1979"/>
        <n v="1499"/>
        <n v="1594"/>
        <n v="889"/>
        <n v="1765"/>
        <n v="130"/>
        <n v="1498"/>
        <n v="110"/>
        <n v="1425"/>
        <n v="195"/>
        <n v="1313"/>
        <n v="552"/>
        <n v="585"/>
        <n v="1389"/>
        <n v="1547"/>
        <n v="1251"/>
        <n v="337"/>
        <n v="1951"/>
        <n v="1569"/>
        <n v="1268"/>
        <n v="1188"/>
        <n v="1370"/>
        <n v="834"/>
        <n v="1090"/>
        <n v="1613"/>
        <n v="1562"/>
        <n v="205"/>
        <n v="280"/>
        <n v="283"/>
        <n v="325"/>
        <n v="876"/>
        <n v="1212"/>
        <n v="629"/>
        <n v="1494"/>
        <n v="1071"/>
        <n v="1035"/>
        <n v="1522"/>
        <n v="1394"/>
        <n v="930"/>
        <n v="1626"/>
        <n v="778"/>
        <n v="1648"/>
        <n v="948"/>
        <n v="1155"/>
        <n v="492"/>
        <n v="139"/>
        <n v="1341"/>
        <n v="1854"/>
        <n v="1080"/>
        <n v="1205"/>
        <n v="944"/>
        <n v="1843"/>
        <n v="300"/>
        <n v="546"/>
        <n v="1967"/>
        <n v="1551"/>
        <n v="1161"/>
        <n v="1334"/>
        <n v="543"/>
        <n v="1450"/>
        <n v="860"/>
        <n v="326"/>
        <n v="147"/>
        <n v="1141"/>
        <n v="1011"/>
        <n v="1930"/>
        <n v="1831"/>
        <n v="286"/>
        <n v="444"/>
        <n v="323"/>
        <n v="587"/>
        <n v="976"/>
        <n v="1352"/>
        <n v="1513"/>
        <n v="1078"/>
        <n v="1712"/>
        <n v="1116"/>
        <n v="287"/>
        <n v="1981"/>
        <n v="369"/>
        <n v="1730"/>
        <n v="409"/>
        <n v="1255"/>
        <n v="1674"/>
        <n v="1195"/>
        <n v="1916"/>
        <n v="1795"/>
        <n v="1310"/>
        <n v="1545"/>
        <n v="219"/>
        <n v="319"/>
        <n v="152"/>
        <n v="1535"/>
        <n v="1766"/>
        <n v="1360"/>
        <n v="857"/>
        <n v="837"/>
        <n v="819"/>
        <n v="1120"/>
        <n v="521"/>
        <n v="811"/>
        <n v="346"/>
        <n v="171"/>
        <n v="1953"/>
        <n v="284"/>
        <n v="105"/>
        <n v="1329"/>
        <n v="1667"/>
        <n v="1734"/>
        <n v="486"/>
        <n v="798"/>
        <n v="1199"/>
        <n v="1300"/>
        <n v="926"/>
        <n v="1922"/>
        <n v="448"/>
        <n v="1378"/>
        <n v="1960"/>
        <n v="1825"/>
        <n v="407"/>
        <n v="1468"/>
        <n v="1250"/>
        <n v="386"/>
        <n v="865"/>
        <n v="824"/>
        <n v="861"/>
        <n v="1719"/>
        <n v="1610"/>
        <n v="1529"/>
        <n v="487"/>
        <n v="624"/>
        <n v="1680"/>
        <n v="738"/>
        <n v="1037"/>
        <n v="1749"/>
        <n v="599"/>
        <n v="816"/>
        <n v="436"/>
        <n v="1031"/>
        <n v="580"/>
        <n v="1010"/>
        <n v="1396"/>
        <n v="1181"/>
        <n v="1451"/>
        <n v="208"/>
        <n v="1402"/>
        <n v="1809"/>
        <n v="427"/>
        <n v="1899"/>
        <n v="414"/>
        <n v="1597"/>
        <n v="1234"/>
        <n v="1620"/>
        <n v="255"/>
        <n v="1596"/>
        <n v="1824"/>
        <n v="1395"/>
        <n v="1125"/>
        <n v="821"/>
        <n v="1012"/>
        <n v="1409"/>
        <n v="970"/>
        <n v="597"/>
        <n v="1856"/>
        <n v="1294"/>
        <n v="705"/>
        <n v="760"/>
        <n v="1747"/>
        <n v="1590"/>
        <n v="242"/>
        <n v="1324"/>
        <n v="1303"/>
        <n v="813"/>
        <n v="1487"/>
        <n v="578"/>
        <n v="664"/>
        <n v="483"/>
        <n v="1815"/>
        <n v="516"/>
        <n v="1948"/>
        <n v="748"/>
        <n v="1817"/>
        <n v="1490"/>
        <n v="1124"/>
        <n v="1167"/>
        <n v="838"/>
        <n v="1966"/>
        <n v="1388"/>
        <n v="1923"/>
        <n v="1906"/>
        <n v="239"/>
        <n v="1604"/>
        <n v="1073"/>
        <n v="1052"/>
        <n v="1790"/>
        <n v="1444"/>
        <n v="206"/>
        <n v="1355"/>
        <n v="1165"/>
        <n v="982"/>
        <n v="238"/>
        <n v="714"/>
        <n v="1806"/>
        <n v="962"/>
        <n v="372"/>
        <n v="515"/>
        <n v="605"/>
        <n v="832"/>
        <n v="1848"/>
        <n v="523"/>
        <n v="1530"/>
        <n v="1691"/>
        <n v="489"/>
        <n v="441"/>
        <n v="1045"/>
        <n v="713"/>
        <n v="592"/>
        <n v="921"/>
        <n v="1835"/>
        <n v="1356"/>
        <n v="955"/>
        <n v="916"/>
        <n v="1272"/>
        <n v="1238"/>
        <n v="1186"/>
        <n v="767"/>
        <n v="1129"/>
        <n v="1270"/>
        <n v="1151"/>
        <n v="1242"/>
        <n v="392"/>
        <n v="1367"/>
        <n v="1703"/>
        <n v="276"/>
        <n v="1422"/>
        <n v="1799"/>
        <n v="157"/>
        <n v="1392"/>
        <n v="1693"/>
        <n v="1411"/>
        <n v="1076"/>
        <n v="1228"/>
        <n v="1351"/>
        <n v="799"/>
        <n v="1617"/>
        <n v="182"/>
        <n v="1309"/>
        <n v="351"/>
        <n v="1873"/>
        <n v="1995"/>
        <n v="1819"/>
        <n v="895"/>
        <n v="996"/>
        <n v="309"/>
        <n v="915"/>
        <n v="708"/>
        <n v="559"/>
        <n v="1067"/>
        <n v="571"/>
        <n v="469"/>
        <n v="999"/>
        <n v="1615"/>
        <n v="1022"/>
        <n v="236"/>
        <n v="466"/>
        <n v="1711"/>
        <n v="1410"/>
        <n v="848"/>
        <n v="901"/>
        <n v="1702"/>
        <n v="1373"/>
        <n v="609"/>
        <n v="729"/>
        <n v="1101"/>
        <n v="1405"/>
        <n v="1015"/>
        <n v="1483"/>
        <n v="1133"/>
        <n v="1958"/>
        <n v="251"/>
        <n v="1128"/>
        <n v="1318"/>
        <n v="1406"/>
        <n v="563"/>
        <n v="370"/>
        <n v="1286"/>
        <n v="204"/>
        <n v="1816"/>
        <n v="1679"/>
        <n v="1810"/>
        <n v="261"/>
        <n v="951"/>
        <n v="186"/>
        <n v="282"/>
        <n v="467"/>
        <n v="228"/>
        <n v="1369"/>
        <n v="1724"/>
        <n v="1701"/>
        <n v="769"/>
        <n v="1501"/>
        <n v="248"/>
        <n v="1084"/>
        <n v="1592"/>
        <n v="545"/>
        <n v="983"/>
        <n v="393"/>
        <n v="1888"/>
        <n v="1266"/>
        <n v="349"/>
        <n v="977"/>
        <n v="1047"/>
        <n v="1074"/>
        <n v="1148"/>
        <n v="888"/>
        <n v="1083"/>
        <n v="988"/>
        <n v="989"/>
        <n v="169"/>
        <n v="724"/>
        <n v="974"/>
        <n v="1426"/>
        <n v="190"/>
        <n v="825"/>
        <n v="971"/>
        <n v="1786"/>
        <n v="1675"/>
        <n v="1365"/>
        <n v="1108"/>
        <n v="602"/>
        <n v="302"/>
        <n v="104"/>
        <n v="410"/>
        <n v="648"/>
        <n v="542"/>
        <n v="969"/>
        <n v="1984"/>
        <n v="1320"/>
        <n v="684"/>
        <n v="1694"/>
        <n v="851"/>
        <n v="1637"/>
        <n v="1572"/>
        <n v="1823"/>
        <n v="918"/>
        <n v="129"/>
        <n v="1902"/>
        <n v="207"/>
        <n v="943"/>
        <n v="1725"/>
        <n v="990"/>
        <n v="1059"/>
        <n v="1568"/>
        <n v="831"/>
        <n v="556"/>
        <n v="1858"/>
        <n v="797"/>
        <n v="1618"/>
        <n v="773"/>
        <n v="642"/>
        <n v="1687"/>
        <n v="377"/>
        <n v="651"/>
        <n v="1736"/>
        <n v="210"/>
        <n v="484"/>
        <n v="1956"/>
        <n v="1549"/>
        <n v="1458"/>
        <n v="1332"/>
        <n v="121"/>
        <n v="777"/>
        <n v="710"/>
        <n v="107"/>
        <n v="801"/>
        <n v="628"/>
        <n v="701"/>
        <n v="1776"/>
        <n v="756"/>
        <n v="595"/>
        <n v="689"/>
        <n v="528"/>
        <n v="873"/>
        <n v="262"/>
        <n v="1649"/>
        <n v="754"/>
        <n v="1945"/>
        <n v="1632"/>
        <n v="1918"/>
        <n v="368"/>
        <n v="1876"/>
        <n v="514"/>
        <n v="1368"/>
        <n v="1115"/>
        <n v="774"/>
        <n v="1081"/>
        <n v="1940"/>
        <n v="506"/>
        <n v="125"/>
        <n v="1938"/>
        <n v="1655"/>
        <n v="809"/>
        <n v="1571"/>
        <n v="853"/>
        <n v="245"/>
        <n v="1511"/>
        <n v="884"/>
        <n v="1372"/>
        <n v="625"/>
        <n v="1585"/>
        <n v="1002"/>
        <n v="655"/>
        <n v="1614"/>
        <n v="850"/>
        <n v="1103"/>
        <n v="518"/>
        <n v="1460"/>
        <n v="1735"/>
        <n v="221"/>
        <n v="531"/>
        <n v="143"/>
        <n v="1440"/>
        <n v="480"/>
        <n v="244"/>
        <n v="462"/>
        <n v="1173"/>
        <n v="454"/>
        <n v="899"/>
        <n v="1287"/>
        <n v="1264"/>
        <n v="925"/>
        <n v="497"/>
        <n v="979"/>
        <n v="562"/>
        <n v="1959"/>
        <n v="907"/>
        <n v="957"/>
        <n v="1407"/>
        <n v="1987"/>
        <n v="336"/>
        <n v="1317"/>
        <n v="870"/>
        <n v="235"/>
        <n v="891"/>
        <n v="270"/>
        <n v="258"/>
        <n v="1061"/>
        <n v="682"/>
        <n v="470"/>
        <n v="202"/>
        <n v="1436"/>
        <n v="897"/>
        <n v="1581"/>
        <n v="1353"/>
        <n v="757"/>
        <n v="981"/>
        <n v="522"/>
        <n v="671"/>
        <n v="1733"/>
        <n v="1505"/>
        <n v="272"/>
        <n v="762"/>
        <n v="449"/>
        <n v="1757"/>
        <n v="719"/>
        <n v="1127"/>
        <n v="1018"/>
        <n v="1741"/>
        <n v="1269"/>
        <n v="1864"/>
        <n v="1325"/>
        <n v="1335"/>
        <n v="723"/>
        <n v="475"/>
        <n v="934"/>
        <n v="1229"/>
        <n v="1774"/>
        <n v="910"/>
        <n v="1524"/>
        <n v="1219"/>
        <n v="1058"/>
        <n v="1575"/>
        <n v="908"/>
        <n v="553"/>
        <n v="1414"/>
        <n v="1657"/>
      </sharedItems>
    </cacheField>
    <cacheField name="Delivery_fee" numFmtId="167">
      <sharedItems containsSemiMixedTypes="0" containsString="0" containsNumber="1" containsInteger="1" minValue="0" maxValue="50" count="5">
        <n v="0"/>
        <n v="40"/>
        <n v="30"/>
        <n v="50"/>
        <n v="20"/>
      </sharedItems>
    </cacheField>
    <cacheField name="Payment_method" numFmtId="0">
      <sharedItems count="3">
        <s v="Credit Card"/>
        <s v="Digital Wallet"/>
        <s v="Cash on Delivery"/>
      </sharedItems>
    </cacheField>
    <cacheField name="Discounts_and_offers" numFmtId="0">
      <sharedItems count="5">
        <s v="5% on App"/>
        <s v="10%"/>
        <s v="15% New User"/>
        <s v="None"/>
        <s v="50 off Promo"/>
      </sharedItems>
    </cacheField>
    <cacheField name="Commission_fee" numFmtId="167">
      <sharedItems containsSemiMixedTypes="0" containsString="0" containsNumber="1" containsInteger="1" minValue="50" maxValue="200"/>
    </cacheField>
    <cacheField name="Payment_processing_fee" numFmtId="167">
      <sharedItems containsSemiMixedTypes="0" containsString="0" containsNumber="1" containsInteger="1" minValue="10" maxValue="50"/>
    </cacheField>
    <cacheField name="Refunds/chargebacks" numFmtId="167">
      <sharedItems containsSemiMixedTypes="0" containsString="0" containsNumber="1" containsInteger="1" minValue="0" maxValue="150"/>
    </cacheField>
    <cacheField name="Restaurant_profit" numFmtId="167">
      <sharedItems containsSemiMixedTypes="0" containsString="0" containsNumber="1" containsInteger="1" minValue="-113" maxValue="1931"/>
    </cacheField>
    <cacheField name="Platform_profit" numFmtId="167">
      <sharedItems containsSemiMixedTypes="0" containsString="0" containsNumber="1" containsInteger="1" minValue="-86" maxValue="250"/>
    </cacheField>
    <cacheField name="Customer_cost" numFmtId="167">
      <sharedItems containsSemiMixedTypes="0" containsString="0" containsNumber="1" containsInteger="1" minValue="104" maxValue="2025"/>
    </cacheField>
    <cacheField name="Orders_count_customer" numFmtId="0">
      <sharedItems containsSemiMixedTypes="0" containsString="0" containsNumber="1" containsInteger="1" minValue="1" maxValue="3" count="3">
        <n v="1"/>
        <n v="3"/>
        <n v="2"/>
      </sharedItems>
    </cacheField>
    <cacheField name="Orders_count_restaurant" numFmtId="0">
      <sharedItems containsSemiMixedTypes="0" containsString="0" containsNumber="1" containsInteger="1" minValue="1" maxValue="6" count="6">
        <n v="1"/>
        <n v="3"/>
        <n v="2"/>
        <n v="4"/>
        <n v="5"/>
        <n v="6"/>
      </sharedItems>
    </cacheField>
    <cacheField name="Cost_P" numFmtId="0" formula="Commission_fee+Payment_processing_fee" databaseField="0"/>
    <cacheField name="Rate_P" numFmtId="0" formula="Cost_P/Order_value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n v="1"/>
    <x v="0"/>
    <x v="0"/>
    <d v="2024-02-01T01:11:52"/>
    <d v="2024-02-01T02:39:52"/>
    <x v="0"/>
    <x v="0"/>
    <x v="0"/>
    <x v="0"/>
    <x v="0"/>
    <n v="150"/>
    <n v="47"/>
    <n v="0"/>
    <n v="1717"/>
    <n v="197"/>
    <n v="1914"/>
    <x v="0"/>
    <x v="0"/>
  </r>
  <r>
    <n v="2"/>
    <x v="1"/>
    <x v="1"/>
    <d v="2024-02-02T22:11:04"/>
    <d v="2024-02-02T22:46:04"/>
    <x v="1"/>
    <x v="1"/>
    <x v="1"/>
    <x v="1"/>
    <x v="1"/>
    <n v="198"/>
    <n v="23"/>
    <n v="0"/>
    <n v="765"/>
    <n v="221"/>
    <n v="1026"/>
    <x v="0"/>
    <x v="1"/>
  </r>
  <r>
    <n v="3"/>
    <x v="2"/>
    <x v="2"/>
    <d v="2024-01-31T05:54:35"/>
    <d v="2024-01-31T06:52:35"/>
    <x v="2"/>
    <x v="2"/>
    <x v="2"/>
    <x v="2"/>
    <x v="2"/>
    <n v="195"/>
    <n v="45"/>
    <n v="0"/>
    <n v="697"/>
    <n v="240"/>
    <n v="967"/>
    <x v="0"/>
    <x v="2"/>
  </r>
  <r>
    <n v="4"/>
    <x v="3"/>
    <x v="3"/>
    <d v="2024-01-16T22:52:49"/>
    <d v="2024-01-16T23:38:49"/>
    <x v="3"/>
    <x v="3"/>
    <x v="3"/>
    <x v="2"/>
    <x v="3"/>
    <n v="146"/>
    <n v="27"/>
    <n v="0"/>
    <n v="1290"/>
    <n v="173"/>
    <n v="1513"/>
    <x v="0"/>
    <x v="1"/>
  </r>
  <r>
    <n v="5"/>
    <x v="4"/>
    <x v="4"/>
    <d v="2024-01-29T01:19:30"/>
    <d v="2024-01-29T02:48:30"/>
    <x v="4"/>
    <x v="4"/>
    <x v="2"/>
    <x v="2"/>
    <x v="4"/>
    <n v="130"/>
    <n v="50"/>
    <n v="0"/>
    <n v="1812"/>
    <n v="180"/>
    <n v="2022"/>
    <x v="0"/>
    <x v="1"/>
  </r>
  <r>
    <n v="6"/>
    <x v="5"/>
    <x v="5"/>
    <d v="2024-01-25T04:36:52"/>
    <d v="2024-01-25T05:27:52"/>
    <x v="5"/>
    <x v="5"/>
    <x v="4"/>
    <x v="2"/>
    <x v="1"/>
    <n v="92"/>
    <n v="27"/>
    <n v="150"/>
    <n v="320"/>
    <n v="-31"/>
    <n v="459"/>
    <x v="0"/>
    <x v="2"/>
  </r>
  <r>
    <n v="7"/>
    <x v="6"/>
    <x v="6"/>
    <d v="2024-01-12T23:55:48"/>
    <d v="2024-01-13T00:48:48"/>
    <x v="6"/>
    <x v="6"/>
    <x v="2"/>
    <x v="1"/>
    <x v="0"/>
    <n v="144"/>
    <n v="12"/>
    <n v="50"/>
    <n v="147"/>
    <n v="106"/>
    <n v="333"/>
    <x v="0"/>
    <x v="0"/>
  </r>
  <r>
    <n v="8"/>
    <x v="7"/>
    <x v="7"/>
    <d v="2024-01-26T22:46:24"/>
    <d v="2024-01-27T00:36:24"/>
    <x v="7"/>
    <x v="7"/>
    <x v="0"/>
    <x v="0"/>
    <x v="1"/>
    <n v="55"/>
    <n v="19"/>
    <n v="0"/>
    <n v="186"/>
    <n v="74"/>
    <n v="260"/>
    <x v="0"/>
    <x v="0"/>
  </r>
  <r>
    <n v="9"/>
    <x v="8"/>
    <x v="8"/>
    <d v="2024-01-02T18:29:59"/>
    <d v="2024-01-02T20:23:59"/>
    <x v="8"/>
    <x v="8"/>
    <x v="1"/>
    <x v="2"/>
    <x v="0"/>
    <n v="116"/>
    <n v="48"/>
    <n v="0"/>
    <n v="1499"/>
    <n v="164"/>
    <n v="1703"/>
    <x v="0"/>
    <x v="0"/>
  </r>
  <r>
    <n v="10"/>
    <x v="9"/>
    <x v="9"/>
    <d v="2024-01-05T00:50:19"/>
    <d v="2024-01-05T02:10:19"/>
    <x v="9"/>
    <x v="9"/>
    <x v="1"/>
    <x v="1"/>
    <x v="1"/>
    <n v="189"/>
    <n v="10"/>
    <n v="0"/>
    <n v="292"/>
    <n v="199"/>
    <n v="531"/>
    <x v="0"/>
    <x v="2"/>
  </r>
  <r>
    <n v="11"/>
    <x v="10"/>
    <x v="10"/>
    <d v="2024-01-01T17:02:47"/>
    <d v="2024-01-01T18:21:47"/>
    <x v="10"/>
    <x v="10"/>
    <x v="0"/>
    <x v="2"/>
    <x v="0"/>
    <n v="149"/>
    <n v="36"/>
    <n v="0"/>
    <n v="683"/>
    <n v="185"/>
    <n v="868"/>
    <x v="0"/>
    <x v="2"/>
  </r>
  <r>
    <n v="12"/>
    <x v="11"/>
    <x v="11"/>
    <d v="2024-01-09T17:15:15"/>
    <d v="2024-01-09T17:55:15"/>
    <x v="11"/>
    <x v="11"/>
    <x v="4"/>
    <x v="0"/>
    <x v="2"/>
    <n v="61"/>
    <n v="36"/>
    <n v="0"/>
    <n v="1703"/>
    <n v="97"/>
    <n v="1820"/>
    <x v="0"/>
    <x v="0"/>
  </r>
  <r>
    <n v="13"/>
    <x v="12"/>
    <x v="12"/>
    <d v="2024-01-05T16:43:24"/>
    <d v="2024-01-05T18:08:24"/>
    <x v="12"/>
    <x v="12"/>
    <x v="0"/>
    <x v="2"/>
    <x v="3"/>
    <n v="115"/>
    <n v="20"/>
    <n v="0"/>
    <n v="539"/>
    <n v="135"/>
    <n v="674"/>
    <x v="1"/>
    <x v="2"/>
  </r>
  <r>
    <n v="14"/>
    <x v="13"/>
    <x v="1"/>
    <d v="2024-02-04T18:48:54"/>
    <d v="2024-02-04T20:28:54"/>
    <x v="13"/>
    <x v="13"/>
    <x v="2"/>
    <x v="1"/>
    <x v="2"/>
    <n v="51"/>
    <n v="14"/>
    <n v="50"/>
    <n v="568"/>
    <n v="15"/>
    <n v="663"/>
    <x v="0"/>
    <x v="1"/>
  </r>
  <r>
    <n v="15"/>
    <x v="14"/>
    <x v="13"/>
    <d v="2024-02-03T00:49:50"/>
    <d v="2024-02-03T02:00:50"/>
    <x v="14"/>
    <x v="14"/>
    <x v="0"/>
    <x v="0"/>
    <x v="3"/>
    <n v="192"/>
    <n v="16"/>
    <n v="0"/>
    <n v="985"/>
    <n v="208"/>
    <n v="1193"/>
    <x v="0"/>
    <x v="2"/>
  </r>
  <r>
    <n v="16"/>
    <x v="15"/>
    <x v="4"/>
    <d v="2024-01-15T20:46:22"/>
    <d v="2024-01-15T21:54:22"/>
    <x v="15"/>
    <x v="15"/>
    <x v="0"/>
    <x v="1"/>
    <x v="2"/>
    <n v="200"/>
    <n v="28"/>
    <n v="0"/>
    <n v="764"/>
    <n v="228"/>
    <n v="992"/>
    <x v="0"/>
    <x v="1"/>
  </r>
  <r>
    <n v="17"/>
    <x v="16"/>
    <x v="14"/>
    <d v="2024-02-04T17:48:58"/>
    <d v="2024-02-04T19:26:58"/>
    <x v="16"/>
    <x v="16"/>
    <x v="4"/>
    <x v="0"/>
    <x v="2"/>
    <n v="130"/>
    <n v="38"/>
    <n v="0"/>
    <n v="336"/>
    <n v="168"/>
    <n v="524"/>
    <x v="0"/>
    <x v="0"/>
  </r>
  <r>
    <n v="18"/>
    <x v="17"/>
    <x v="15"/>
    <d v="2024-01-13T15:41:54"/>
    <d v="2024-01-13T16:58:54"/>
    <x v="17"/>
    <x v="17"/>
    <x v="2"/>
    <x v="0"/>
    <x v="1"/>
    <n v="184"/>
    <n v="24"/>
    <n v="0"/>
    <n v="499"/>
    <n v="208"/>
    <n v="737"/>
    <x v="2"/>
    <x v="2"/>
  </r>
  <r>
    <n v="19"/>
    <x v="18"/>
    <x v="16"/>
    <d v="2024-01-31T17:27:17"/>
    <d v="2024-01-31T18:53:17"/>
    <x v="18"/>
    <x v="18"/>
    <x v="3"/>
    <x v="0"/>
    <x v="4"/>
    <n v="191"/>
    <n v="44"/>
    <n v="0"/>
    <n v="1563"/>
    <n v="235"/>
    <n v="1848"/>
    <x v="2"/>
    <x v="3"/>
  </r>
  <r>
    <n v="20"/>
    <x v="19"/>
    <x v="17"/>
    <d v="2024-01-13T01:32:57"/>
    <d v="2024-01-13T02:22:57"/>
    <x v="19"/>
    <x v="19"/>
    <x v="3"/>
    <x v="2"/>
    <x v="0"/>
    <n v="119"/>
    <n v="46"/>
    <n v="100"/>
    <n v="1549"/>
    <n v="65"/>
    <n v="1764"/>
    <x v="0"/>
    <x v="0"/>
  </r>
  <r>
    <n v="21"/>
    <x v="20"/>
    <x v="18"/>
    <d v="2024-01-27T14:44:44"/>
    <d v="2024-01-27T16:35:44"/>
    <x v="20"/>
    <x v="20"/>
    <x v="1"/>
    <x v="1"/>
    <x v="0"/>
    <n v="164"/>
    <n v="21"/>
    <n v="0"/>
    <n v="1455"/>
    <n v="185"/>
    <n v="1680"/>
    <x v="0"/>
    <x v="0"/>
  </r>
  <r>
    <n v="22"/>
    <x v="21"/>
    <x v="19"/>
    <d v="2024-01-05T10:18:49"/>
    <d v="2024-01-05T11:07:49"/>
    <x v="21"/>
    <x v="21"/>
    <x v="0"/>
    <x v="1"/>
    <x v="0"/>
    <n v="137"/>
    <n v="39"/>
    <n v="0"/>
    <n v="751"/>
    <n v="176"/>
    <n v="927"/>
    <x v="2"/>
    <x v="0"/>
  </r>
  <r>
    <n v="23"/>
    <x v="22"/>
    <x v="20"/>
    <d v="2024-01-23T03:00:27"/>
    <d v="2024-01-23T03:44:27"/>
    <x v="22"/>
    <x v="22"/>
    <x v="1"/>
    <x v="1"/>
    <x v="3"/>
    <n v="55"/>
    <n v="29"/>
    <n v="100"/>
    <n v="1159"/>
    <n v="-16"/>
    <n v="1283"/>
    <x v="0"/>
    <x v="2"/>
  </r>
  <r>
    <n v="24"/>
    <x v="23"/>
    <x v="21"/>
    <d v="2024-02-07T16:46:21"/>
    <d v="2024-02-07T18:24:21"/>
    <x v="16"/>
    <x v="23"/>
    <x v="4"/>
    <x v="0"/>
    <x v="0"/>
    <n v="76"/>
    <n v="46"/>
    <n v="0"/>
    <n v="1815"/>
    <n v="122"/>
    <n v="1957"/>
    <x v="0"/>
    <x v="0"/>
  </r>
  <r>
    <n v="25"/>
    <x v="24"/>
    <x v="22"/>
    <d v="2024-01-13T08:46:32"/>
    <d v="2024-01-13T10:32:32"/>
    <x v="23"/>
    <x v="24"/>
    <x v="3"/>
    <x v="2"/>
    <x v="0"/>
    <n v="131"/>
    <n v="12"/>
    <n v="0"/>
    <n v="646"/>
    <n v="143"/>
    <n v="839"/>
    <x v="0"/>
    <x v="2"/>
  </r>
  <r>
    <n v="26"/>
    <x v="25"/>
    <x v="23"/>
    <d v="2024-01-12T02:35:44"/>
    <d v="2024-01-12T03:55:44"/>
    <x v="9"/>
    <x v="25"/>
    <x v="0"/>
    <x v="0"/>
    <x v="1"/>
    <n v="137"/>
    <n v="18"/>
    <n v="0"/>
    <n v="1656"/>
    <n v="155"/>
    <n v="1811"/>
    <x v="0"/>
    <x v="1"/>
  </r>
  <r>
    <n v="27"/>
    <x v="26"/>
    <x v="24"/>
    <d v="2024-01-11T16:36:20"/>
    <d v="2024-01-11T18:21:20"/>
    <x v="24"/>
    <x v="26"/>
    <x v="4"/>
    <x v="1"/>
    <x v="2"/>
    <n v="169"/>
    <n v="50"/>
    <n v="0"/>
    <n v="782"/>
    <n v="219"/>
    <n v="1021"/>
    <x v="0"/>
    <x v="2"/>
  </r>
  <r>
    <n v="28"/>
    <x v="27"/>
    <x v="25"/>
    <d v="2024-02-03T04:14:11"/>
    <d v="2024-02-03T05:45:11"/>
    <x v="25"/>
    <x v="27"/>
    <x v="4"/>
    <x v="2"/>
    <x v="0"/>
    <n v="73"/>
    <n v="48"/>
    <n v="100"/>
    <n v="1219"/>
    <n v="21"/>
    <n v="1360"/>
    <x v="0"/>
    <x v="0"/>
  </r>
  <r>
    <n v="29"/>
    <x v="28"/>
    <x v="26"/>
    <d v="2024-01-17T23:01:31"/>
    <d v="2024-01-18T00:55:31"/>
    <x v="8"/>
    <x v="28"/>
    <x v="0"/>
    <x v="2"/>
    <x v="4"/>
    <n v="151"/>
    <n v="35"/>
    <n v="0"/>
    <n v="-31"/>
    <n v="186"/>
    <n v="155"/>
    <x v="0"/>
    <x v="2"/>
  </r>
  <r>
    <n v="30"/>
    <x v="29"/>
    <x v="27"/>
    <d v="2024-02-05T22:00:32"/>
    <d v="2024-02-05T23:06:32"/>
    <x v="26"/>
    <x v="29"/>
    <x v="4"/>
    <x v="2"/>
    <x v="0"/>
    <n v="83"/>
    <n v="11"/>
    <n v="0"/>
    <n v="371"/>
    <n v="94"/>
    <n v="485"/>
    <x v="0"/>
    <x v="2"/>
  </r>
  <r>
    <n v="31"/>
    <x v="30"/>
    <x v="28"/>
    <d v="2024-01-29T13:35:52"/>
    <d v="2024-01-29T14:10:52"/>
    <x v="1"/>
    <x v="30"/>
    <x v="0"/>
    <x v="1"/>
    <x v="3"/>
    <n v="96"/>
    <n v="32"/>
    <n v="0"/>
    <n v="1694"/>
    <n v="128"/>
    <n v="1822"/>
    <x v="0"/>
    <x v="2"/>
  </r>
  <r>
    <n v="32"/>
    <x v="31"/>
    <x v="29"/>
    <d v="2024-01-03T11:19:27"/>
    <d v="2024-01-03T12:59:27"/>
    <x v="13"/>
    <x v="31"/>
    <x v="0"/>
    <x v="2"/>
    <x v="3"/>
    <n v="73"/>
    <n v="32"/>
    <n v="0"/>
    <n v="1522"/>
    <n v="105"/>
    <n v="1627"/>
    <x v="0"/>
    <x v="2"/>
  </r>
  <r>
    <n v="33"/>
    <x v="32"/>
    <x v="30"/>
    <d v="2024-02-01T04:04:35"/>
    <d v="2024-02-01T04:59:35"/>
    <x v="27"/>
    <x v="32"/>
    <x v="2"/>
    <x v="2"/>
    <x v="3"/>
    <n v="114"/>
    <n v="30"/>
    <n v="50"/>
    <n v="1723"/>
    <n v="94"/>
    <n v="1897"/>
    <x v="0"/>
    <x v="2"/>
  </r>
  <r>
    <n v="34"/>
    <x v="33"/>
    <x v="31"/>
    <d v="2024-01-23T11:40:11"/>
    <d v="2024-01-23T12:17:11"/>
    <x v="28"/>
    <x v="33"/>
    <x v="1"/>
    <x v="0"/>
    <x v="0"/>
    <n v="67"/>
    <n v="25"/>
    <n v="0"/>
    <n v="1798"/>
    <n v="92"/>
    <n v="1930"/>
    <x v="0"/>
    <x v="0"/>
  </r>
  <r>
    <n v="35"/>
    <x v="34"/>
    <x v="32"/>
    <d v="2024-01-27T18:35:36"/>
    <d v="2024-01-27T20:17:36"/>
    <x v="29"/>
    <x v="34"/>
    <x v="4"/>
    <x v="0"/>
    <x v="1"/>
    <n v="93"/>
    <n v="18"/>
    <n v="0"/>
    <n v="443"/>
    <n v="111"/>
    <n v="574"/>
    <x v="0"/>
    <x v="0"/>
  </r>
  <r>
    <n v="36"/>
    <x v="35"/>
    <x v="33"/>
    <d v="2024-01-04T10:48:10"/>
    <d v="2024-01-04T11:21:10"/>
    <x v="30"/>
    <x v="35"/>
    <x v="4"/>
    <x v="2"/>
    <x v="4"/>
    <n v="125"/>
    <n v="22"/>
    <n v="0"/>
    <n v="56"/>
    <n v="147"/>
    <n v="223"/>
    <x v="0"/>
    <x v="0"/>
  </r>
  <r>
    <n v="37"/>
    <x v="36"/>
    <x v="34"/>
    <d v="2024-01-04T16:09:08"/>
    <d v="2024-01-04T16:59:08"/>
    <x v="19"/>
    <x v="36"/>
    <x v="2"/>
    <x v="2"/>
    <x v="0"/>
    <n v="106"/>
    <n v="37"/>
    <n v="0"/>
    <n v="33"/>
    <n v="143"/>
    <n v="206"/>
    <x v="0"/>
    <x v="2"/>
  </r>
  <r>
    <n v="38"/>
    <x v="37"/>
    <x v="35"/>
    <d v="2024-01-15T06:05:34"/>
    <d v="2024-01-15T07:05:34"/>
    <x v="31"/>
    <x v="37"/>
    <x v="2"/>
    <x v="0"/>
    <x v="1"/>
    <n v="156"/>
    <n v="36"/>
    <n v="0"/>
    <n v="137"/>
    <n v="192"/>
    <n v="359"/>
    <x v="0"/>
    <x v="2"/>
  </r>
  <r>
    <n v="39"/>
    <x v="38"/>
    <x v="36"/>
    <d v="2024-02-05T17:18:28"/>
    <d v="2024-02-05T18:08:28"/>
    <x v="19"/>
    <x v="38"/>
    <x v="2"/>
    <x v="0"/>
    <x v="1"/>
    <n v="173"/>
    <n v="26"/>
    <n v="0"/>
    <n v="1182"/>
    <n v="199"/>
    <n v="1411"/>
    <x v="0"/>
    <x v="2"/>
  </r>
  <r>
    <n v="40"/>
    <x v="39"/>
    <x v="37"/>
    <d v="2024-01-16T08:24:43"/>
    <d v="2024-01-16T09:18:43"/>
    <x v="32"/>
    <x v="39"/>
    <x v="3"/>
    <x v="0"/>
    <x v="0"/>
    <n v="200"/>
    <n v="47"/>
    <n v="0"/>
    <n v="1140"/>
    <n v="247"/>
    <n v="1437"/>
    <x v="0"/>
    <x v="2"/>
  </r>
  <r>
    <n v="41"/>
    <x v="40"/>
    <x v="38"/>
    <d v="2024-01-02T01:38:44"/>
    <d v="2024-01-02T02:22:44"/>
    <x v="22"/>
    <x v="40"/>
    <x v="3"/>
    <x v="1"/>
    <x v="0"/>
    <n v="188"/>
    <n v="45"/>
    <n v="150"/>
    <n v="197"/>
    <n v="83"/>
    <n v="480"/>
    <x v="0"/>
    <x v="0"/>
  </r>
  <r>
    <n v="42"/>
    <x v="41"/>
    <x v="39"/>
    <d v="2024-01-27T20:38:08"/>
    <d v="2024-01-27T21:42:08"/>
    <x v="33"/>
    <x v="41"/>
    <x v="3"/>
    <x v="1"/>
    <x v="1"/>
    <n v="165"/>
    <n v="10"/>
    <n v="0"/>
    <n v="1130"/>
    <n v="175"/>
    <n v="1355"/>
    <x v="0"/>
    <x v="2"/>
  </r>
  <r>
    <n v="43"/>
    <x v="42"/>
    <x v="40"/>
    <d v="2024-01-21T21:36:48"/>
    <d v="2024-01-21T22:54:48"/>
    <x v="34"/>
    <x v="15"/>
    <x v="0"/>
    <x v="0"/>
    <x v="1"/>
    <n v="142"/>
    <n v="27"/>
    <n v="0"/>
    <n v="823"/>
    <n v="169"/>
    <n v="992"/>
    <x v="2"/>
    <x v="0"/>
  </r>
  <r>
    <n v="44"/>
    <x v="43"/>
    <x v="41"/>
    <d v="2024-01-16T06:49:27"/>
    <d v="2024-01-16T08:01:27"/>
    <x v="35"/>
    <x v="42"/>
    <x v="4"/>
    <x v="2"/>
    <x v="1"/>
    <n v="91"/>
    <n v="18"/>
    <n v="0"/>
    <n v="1782"/>
    <n v="109"/>
    <n v="1911"/>
    <x v="0"/>
    <x v="1"/>
  </r>
  <r>
    <n v="45"/>
    <x v="44"/>
    <x v="42"/>
    <d v="2024-01-01T07:15:55"/>
    <d v="2024-01-01T08:25:55"/>
    <x v="36"/>
    <x v="43"/>
    <x v="1"/>
    <x v="0"/>
    <x v="0"/>
    <n v="77"/>
    <n v="22"/>
    <n v="100"/>
    <n v="1574"/>
    <n v="-1"/>
    <n v="1713"/>
    <x v="2"/>
    <x v="1"/>
  </r>
  <r>
    <n v="46"/>
    <x v="45"/>
    <x v="43"/>
    <d v="2024-01-04T22:56:55"/>
    <d v="2024-01-05T00:02:55"/>
    <x v="26"/>
    <x v="44"/>
    <x v="0"/>
    <x v="1"/>
    <x v="1"/>
    <n v="172"/>
    <n v="49"/>
    <n v="0"/>
    <n v="566"/>
    <n v="221"/>
    <n v="787"/>
    <x v="0"/>
    <x v="2"/>
  </r>
  <r>
    <n v="47"/>
    <x v="46"/>
    <x v="44"/>
    <d v="2024-01-20T13:22:35"/>
    <d v="2024-01-20T14:48:35"/>
    <x v="18"/>
    <x v="45"/>
    <x v="4"/>
    <x v="2"/>
    <x v="3"/>
    <n v="73"/>
    <n v="24"/>
    <n v="150"/>
    <n v="29"/>
    <n v="-53"/>
    <n v="146"/>
    <x v="0"/>
    <x v="2"/>
  </r>
  <r>
    <n v="48"/>
    <x v="47"/>
    <x v="45"/>
    <d v="2024-01-06T07:54:54"/>
    <d v="2024-01-06T09:05:54"/>
    <x v="14"/>
    <x v="46"/>
    <x v="4"/>
    <x v="1"/>
    <x v="0"/>
    <n v="185"/>
    <n v="13"/>
    <n v="0"/>
    <n v="1201"/>
    <n v="198"/>
    <n v="1419"/>
    <x v="0"/>
    <x v="0"/>
  </r>
  <r>
    <n v="49"/>
    <x v="48"/>
    <x v="46"/>
    <d v="2024-01-27T00:02:13"/>
    <d v="2024-01-27T01:18:13"/>
    <x v="37"/>
    <x v="47"/>
    <x v="2"/>
    <x v="2"/>
    <x v="3"/>
    <n v="155"/>
    <n v="42"/>
    <n v="50"/>
    <n v="1578"/>
    <n v="147"/>
    <n v="1805"/>
    <x v="0"/>
    <x v="0"/>
  </r>
  <r>
    <n v="50"/>
    <x v="49"/>
    <x v="47"/>
    <d v="2024-02-07T22:23:39"/>
    <d v="2024-02-07T23:53:39"/>
    <x v="38"/>
    <x v="48"/>
    <x v="2"/>
    <x v="1"/>
    <x v="2"/>
    <n v="167"/>
    <n v="33"/>
    <n v="0"/>
    <n v="198"/>
    <n v="200"/>
    <n v="428"/>
    <x v="0"/>
    <x v="2"/>
  </r>
  <r>
    <n v="51"/>
    <x v="50"/>
    <x v="48"/>
    <d v="2024-01-30T09:41:16"/>
    <d v="2024-01-30T10:24:16"/>
    <x v="39"/>
    <x v="49"/>
    <x v="0"/>
    <x v="2"/>
    <x v="0"/>
    <n v="102"/>
    <n v="45"/>
    <n v="0"/>
    <n v="909"/>
    <n v="147"/>
    <n v="1056"/>
    <x v="0"/>
    <x v="0"/>
  </r>
  <r>
    <n v="52"/>
    <x v="51"/>
    <x v="49"/>
    <d v="2024-01-01T09:38:27"/>
    <d v="2024-01-01T11:15:27"/>
    <x v="40"/>
    <x v="50"/>
    <x v="2"/>
    <x v="2"/>
    <x v="2"/>
    <n v="181"/>
    <n v="50"/>
    <n v="0"/>
    <n v="667"/>
    <n v="231"/>
    <n v="928"/>
    <x v="0"/>
    <x v="0"/>
  </r>
  <r>
    <n v="53"/>
    <x v="52"/>
    <x v="50"/>
    <d v="2024-01-11T20:30:41"/>
    <d v="2024-01-11T21:52:41"/>
    <x v="41"/>
    <x v="51"/>
    <x v="4"/>
    <x v="2"/>
    <x v="1"/>
    <n v="149"/>
    <n v="19"/>
    <n v="0"/>
    <n v="1046"/>
    <n v="168"/>
    <n v="1234"/>
    <x v="0"/>
    <x v="0"/>
  </r>
  <r>
    <n v="54"/>
    <x v="53"/>
    <x v="51"/>
    <d v="2024-01-19T03:17:33"/>
    <d v="2024-01-19T05:10:33"/>
    <x v="42"/>
    <x v="52"/>
    <x v="2"/>
    <x v="2"/>
    <x v="1"/>
    <n v="54"/>
    <n v="45"/>
    <n v="50"/>
    <n v="480"/>
    <n v="49"/>
    <n v="609"/>
    <x v="0"/>
    <x v="2"/>
  </r>
  <r>
    <n v="55"/>
    <x v="54"/>
    <x v="52"/>
    <d v="2024-01-23T04:22:25"/>
    <d v="2024-01-23T05:25:25"/>
    <x v="43"/>
    <x v="53"/>
    <x v="3"/>
    <x v="1"/>
    <x v="4"/>
    <n v="98"/>
    <n v="29"/>
    <n v="0"/>
    <n v="545"/>
    <n v="127"/>
    <n v="722"/>
    <x v="0"/>
    <x v="0"/>
  </r>
  <r>
    <n v="56"/>
    <x v="55"/>
    <x v="53"/>
    <d v="2024-02-02T21:59:00"/>
    <d v="2024-02-02T23:44:00"/>
    <x v="24"/>
    <x v="54"/>
    <x v="2"/>
    <x v="1"/>
    <x v="1"/>
    <n v="147"/>
    <n v="50"/>
    <n v="0"/>
    <n v="360"/>
    <n v="197"/>
    <n v="587"/>
    <x v="0"/>
    <x v="2"/>
  </r>
  <r>
    <n v="57"/>
    <x v="56"/>
    <x v="54"/>
    <d v="2024-01-05T02:08:19"/>
    <d v="2024-01-05T03:01:19"/>
    <x v="6"/>
    <x v="55"/>
    <x v="4"/>
    <x v="2"/>
    <x v="2"/>
    <n v="79"/>
    <n v="20"/>
    <n v="0"/>
    <n v="1475"/>
    <n v="99"/>
    <n v="1594"/>
    <x v="0"/>
    <x v="2"/>
  </r>
  <r>
    <n v="58"/>
    <x v="57"/>
    <x v="55"/>
    <d v="2024-01-14T23:17:48"/>
    <d v="2024-01-15T00:06:48"/>
    <x v="21"/>
    <x v="56"/>
    <x v="0"/>
    <x v="2"/>
    <x v="1"/>
    <n v="121"/>
    <n v="21"/>
    <n v="0"/>
    <n v="322"/>
    <n v="142"/>
    <n v="464"/>
    <x v="0"/>
    <x v="2"/>
  </r>
  <r>
    <n v="59"/>
    <x v="58"/>
    <x v="56"/>
    <d v="2024-01-18T14:58:08"/>
    <d v="2024-01-18T16:36:08"/>
    <x v="16"/>
    <x v="57"/>
    <x v="1"/>
    <x v="1"/>
    <x v="0"/>
    <n v="152"/>
    <n v="27"/>
    <n v="50"/>
    <n v="779"/>
    <n v="129"/>
    <n v="998"/>
    <x v="0"/>
    <x v="3"/>
  </r>
  <r>
    <n v="60"/>
    <x v="59"/>
    <x v="57"/>
    <d v="2024-01-02T23:15:02"/>
    <d v="2024-01-03T00:14:02"/>
    <x v="44"/>
    <x v="18"/>
    <x v="2"/>
    <x v="2"/>
    <x v="1"/>
    <n v="112"/>
    <n v="39"/>
    <n v="100"/>
    <n v="1647"/>
    <n v="51"/>
    <n v="1828"/>
    <x v="0"/>
    <x v="1"/>
  </r>
  <r>
    <n v="61"/>
    <x v="60"/>
    <x v="58"/>
    <d v="2024-01-05T13:31:14"/>
    <d v="2024-01-05T15:28:14"/>
    <x v="45"/>
    <x v="58"/>
    <x v="4"/>
    <x v="2"/>
    <x v="4"/>
    <n v="75"/>
    <n v="46"/>
    <n v="0"/>
    <n v="329"/>
    <n v="121"/>
    <n v="470"/>
    <x v="0"/>
    <x v="0"/>
  </r>
  <r>
    <n v="62"/>
    <x v="61"/>
    <x v="59"/>
    <d v="2024-01-03T12:21:25"/>
    <d v="2024-01-03T12:57:25"/>
    <x v="46"/>
    <x v="59"/>
    <x v="1"/>
    <x v="2"/>
    <x v="1"/>
    <n v="86"/>
    <n v="29"/>
    <n v="0"/>
    <n v="1663"/>
    <n v="115"/>
    <n v="1818"/>
    <x v="0"/>
    <x v="2"/>
  </r>
  <r>
    <n v="63"/>
    <x v="62"/>
    <x v="60"/>
    <d v="2024-01-17T01:16:20"/>
    <d v="2024-01-17T02:21:20"/>
    <x v="47"/>
    <x v="60"/>
    <x v="1"/>
    <x v="0"/>
    <x v="2"/>
    <n v="56"/>
    <n v="34"/>
    <n v="0"/>
    <n v="1433"/>
    <n v="90"/>
    <n v="1563"/>
    <x v="0"/>
    <x v="0"/>
  </r>
  <r>
    <n v="64"/>
    <x v="63"/>
    <x v="61"/>
    <d v="2024-01-14T23:34:12"/>
    <d v="2024-01-15T00:41:12"/>
    <x v="48"/>
    <x v="61"/>
    <x v="3"/>
    <x v="2"/>
    <x v="2"/>
    <n v="176"/>
    <n v="21"/>
    <n v="150"/>
    <n v="155"/>
    <n v="47"/>
    <n v="402"/>
    <x v="0"/>
    <x v="0"/>
  </r>
  <r>
    <n v="65"/>
    <x v="64"/>
    <x v="62"/>
    <d v="2024-02-03T01:19:54"/>
    <d v="2024-02-03T03:08:54"/>
    <x v="49"/>
    <x v="62"/>
    <x v="1"/>
    <x v="0"/>
    <x v="1"/>
    <n v="141"/>
    <n v="30"/>
    <n v="0"/>
    <n v="709"/>
    <n v="171"/>
    <n v="920"/>
    <x v="0"/>
    <x v="1"/>
  </r>
  <r>
    <n v="66"/>
    <x v="65"/>
    <x v="63"/>
    <d v="2024-02-06T02:39:00"/>
    <d v="2024-02-06T04:00:00"/>
    <x v="50"/>
    <x v="63"/>
    <x v="4"/>
    <x v="2"/>
    <x v="2"/>
    <n v="152"/>
    <n v="34"/>
    <n v="100"/>
    <n v="716"/>
    <n v="86"/>
    <n v="922"/>
    <x v="0"/>
    <x v="0"/>
  </r>
  <r>
    <n v="67"/>
    <x v="66"/>
    <x v="64"/>
    <d v="2024-01-20T19:52:16"/>
    <d v="2024-01-20T20:36:16"/>
    <x v="22"/>
    <x v="64"/>
    <x v="4"/>
    <x v="1"/>
    <x v="2"/>
    <n v="102"/>
    <n v="20"/>
    <n v="50"/>
    <n v="989"/>
    <n v="72"/>
    <n v="1131"/>
    <x v="0"/>
    <x v="1"/>
  </r>
  <r>
    <n v="68"/>
    <x v="67"/>
    <x v="65"/>
    <d v="2024-02-04T02:49:22"/>
    <d v="2024-02-04T04:04:22"/>
    <x v="51"/>
    <x v="65"/>
    <x v="2"/>
    <x v="0"/>
    <x v="4"/>
    <n v="181"/>
    <n v="18"/>
    <n v="0"/>
    <n v="359"/>
    <n v="199"/>
    <n v="588"/>
    <x v="0"/>
    <x v="0"/>
  </r>
  <r>
    <n v="69"/>
    <x v="68"/>
    <x v="66"/>
    <d v="2024-01-28T16:48:13"/>
    <d v="2024-01-28T17:40:13"/>
    <x v="52"/>
    <x v="30"/>
    <x v="2"/>
    <x v="0"/>
    <x v="0"/>
    <n v="157"/>
    <n v="34"/>
    <n v="0"/>
    <n v="1631"/>
    <n v="191"/>
    <n v="1852"/>
    <x v="0"/>
    <x v="2"/>
  </r>
  <r>
    <n v="70"/>
    <x v="69"/>
    <x v="67"/>
    <d v="2024-02-05T04:31:07"/>
    <d v="2024-02-05T05:12:07"/>
    <x v="53"/>
    <x v="66"/>
    <x v="2"/>
    <x v="2"/>
    <x v="4"/>
    <n v="161"/>
    <n v="44"/>
    <n v="0"/>
    <n v="811"/>
    <n v="205"/>
    <n v="1046"/>
    <x v="0"/>
    <x v="1"/>
  </r>
  <r>
    <n v="71"/>
    <x v="70"/>
    <x v="68"/>
    <d v="2024-01-16T00:17:56"/>
    <d v="2024-01-16T01:30:56"/>
    <x v="54"/>
    <x v="67"/>
    <x v="1"/>
    <x v="2"/>
    <x v="3"/>
    <n v="56"/>
    <n v="41"/>
    <n v="0"/>
    <n v="501"/>
    <n v="97"/>
    <n v="638"/>
    <x v="0"/>
    <x v="3"/>
  </r>
  <r>
    <n v="72"/>
    <x v="71"/>
    <x v="69"/>
    <d v="2024-01-21T03:03:13"/>
    <d v="2024-01-21T03:47:13"/>
    <x v="22"/>
    <x v="68"/>
    <x v="1"/>
    <x v="0"/>
    <x v="4"/>
    <n v="116"/>
    <n v="23"/>
    <n v="0"/>
    <n v="910"/>
    <n v="139"/>
    <n v="1089"/>
    <x v="0"/>
    <x v="2"/>
  </r>
  <r>
    <n v="73"/>
    <x v="72"/>
    <x v="70"/>
    <d v="2024-01-14T16:01:27"/>
    <d v="2024-01-14T17:19:27"/>
    <x v="34"/>
    <x v="69"/>
    <x v="3"/>
    <x v="1"/>
    <x v="1"/>
    <n v="157"/>
    <n v="10"/>
    <n v="50"/>
    <n v="440"/>
    <n v="117"/>
    <n v="657"/>
    <x v="0"/>
    <x v="0"/>
  </r>
  <r>
    <n v="74"/>
    <x v="73"/>
    <x v="71"/>
    <d v="2024-01-21T22:06:50"/>
    <d v="2024-01-21T22:56:50"/>
    <x v="19"/>
    <x v="70"/>
    <x v="2"/>
    <x v="1"/>
    <x v="0"/>
    <n v="160"/>
    <n v="26"/>
    <n v="0"/>
    <n v="1241"/>
    <n v="186"/>
    <n v="1457"/>
    <x v="0"/>
    <x v="0"/>
  </r>
  <r>
    <n v="75"/>
    <x v="74"/>
    <x v="72"/>
    <d v="2024-01-03T20:12:26"/>
    <d v="2024-01-03T20:56:26"/>
    <x v="22"/>
    <x v="71"/>
    <x v="0"/>
    <x v="2"/>
    <x v="1"/>
    <n v="197"/>
    <n v="34"/>
    <n v="0"/>
    <n v="369"/>
    <n v="231"/>
    <n v="600"/>
    <x v="0"/>
    <x v="2"/>
  </r>
  <r>
    <n v="76"/>
    <x v="75"/>
    <x v="73"/>
    <d v="2024-02-01T19:26:25"/>
    <d v="2024-02-01T20:09:25"/>
    <x v="39"/>
    <x v="63"/>
    <x v="3"/>
    <x v="1"/>
    <x v="3"/>
    <n v="132"/>
    <n v="17"/>
    <n v="150"/>
    <n v="753"/>
    <n v="-1"/>
    <n v="952"/>
    <x v="0"/>
    <x v="0"/>
  </r>
  <r>
    <n v="77"/>
    <x v="76"/>
    <x v="74"/>
    <d v="2024-01-23T06:33:21"/>
    <d v="2024-01-23T07:44:21"/>
    <x v="14"/>
    <x v="72"/>
    <x v="0"/>
    <x v="1"/>
    <x v="0"/>
    <n v="173"/>
    <n v="14"/>
    <n v="0"/>
    <n v="510"/>
    <n v="187"/>
    <n v="697"/>
    <x v="0"/>
    <x v="1"/>
  </r>
  <r>
    <n v="78"/>
    <x v="77"/>
    <x v="75"/>
    <d v="2024-01-22T22:43:40"/>
    <d v="2024-01-23T00:32:40"/>
    <x v="49"/>
    <x v="73"/>
    <x v="1"/>
    <x v="2"/>
    <x v="2"/>
    <n v="188"/>
    <n v="14"/>
    <n v="0"/>
    <n v="63"/>
    <n v="202"/>
    <n v="305"/>
    <x v="0"/>
    <x v="0"/>
  </r>
  <r>
    <n v="79"/>
    <x v="78"/>
    <x v="76"/>
    <d v="2024-02-06T07:52:24"/>
    <d v="2024-02-06T08:36:24"/>
    <x v="22"/>
    <x v="74"/>
    <x v="3"/>
    <x v="1"/>
    <x v="4"/>
    <n v="153"/>
    <n v="50"/>
    <n v="0"/>
    <n v="1335"/>
    <n v="203"/>
    <n v="1588"/>
    <x v="0"/>
    <x v="0"/>
  </r>
  <r>
    <n v="80"/>
    <x v="79"/>
    <x v="77"/>
    <d v="2024-01-02T16:41:10"/>
    <d v="2024-01-02T18:13:10"/>
    <x v="55"/>
    <x v="75"/>
    <x v="3"/>
    <x v="2"/>
    <x v="1"/>
    <n v="116"/>
    <n v="44"/>
    <n v="150"/>
    <n v="401"/>
    <n v="10"/>
    <n v="611"/>
    <x v="0"/>
    <x v="2"/>
  </r>
  <r>
    <n v="81"/>
    <x v="80"/>
    <x v="78"/>
    <d v="2024-02-01T17:31:10"/>
    <d v="2024-02-01T19:08:10"/>
    <x v="40"/>
    <x v="76"/>
    <x v="4"/>
    <x v="0"/>
    <x v="3"/>
    <n v="56"/>
    <n v="28"/>
    <n v="150"/>
    <n v="935"/>
    <n v="-66"/>
    <n v="1039"/>
    <x v="0"/>
    <x v="2"/>
  </r>
  <r>
    <n v="82"/>
    <x v="81"/>
    <x v="79"/>
    <d v="2024-01-16T19:47:03"/>
    <d v="2024-01-16T20:43:03"/>
    <x v="56"/>
    <x v="77"/>
    <x v="1"/>
    <x v="2"/>
    <x v="2"/>
    <n v="200"/>
    <n v="32"/>
    <n v="0"/>
    <n v="-19"/>
    <n v="232"/>
    <n v="253"/>
    <x v="0"/>
    <x v="0"/>
  </r>
  <r>
    <n v="83"/>
    <x v="82"/>
    <x v="80"/>
    <d v="2024-01-13T05:05:46"/>
    <d v="2024-01-13T07:01:46"/>
    <x v="57"/>
    <x v="78"/>
    <x v="1"/>
    <x v="0"/>
    <x v="4"/>
    <n v="159"/>
    <n v="18"/>
    <n v="0"/>
    <n v="1379"/>
    <n v="177"/>
    <n v="1596"/>
    <x v="0"/>
    <x v="0"/>
  </r>
  <r>
    <n v="84"/>
    <x v="83"/>
    <x v="81"/>
    <d v="2024-01-29T02:28:01"/>
    <d v="2024-01-29T03:50:01"/>
    <x v="41"/>
    <x v="79"/>
    <x v="3"/>
    <x v="0"/>
    <x v="2"/>
    <n v="83"/>
    <n v="39"/>
    <n v="0"/>
    <n v="969"/>
    <n v="122"/>
    <n v="1141"/>
    <x v="0"/>
    <x v="0"/>
  </r>
  <r>
    <n v="85"/>
    <x v="84"/>
    <x v="82"/>
    <d v="2024-01-01T21:59:01"/>
    <d v="2024-01-01T23:20:01"/>
    <x v="50"/>
    <x v="80"/>
    <x v="1"/>
    <x v="1"/>
    <x v="4"/>
    <n v="155"/>
    <n v="25"/>
    <n v="0"/>
    <n v="1299"/>
    <n v="180"/>
    <n v="1519"/>
    <x v="0"/>
    <x v="2"/>
  </r>
  <r>
    <n v="86"/>
    <x v="85"/>
    <x v="83"/>
    <d v="2024-01-01T03:21:55"/>
    <d v="2024-01-01T04:53:55"/>
    <x v="55"/>
    <x v="81"/>
    <x v="3"/>
    <x v="1"/>
    <x v="0"/>
    <n v="196"/>
    <n v="42"/>
    <n v="0"/>
    <n v="1580"/>
    <n v="238"/>
    <n v="1868"/>
    <x v="0"/>
    <x v="2"/>
  </r>
  <r>
    <n v="87"/>
    <x v="86"/>
    <x v="84"/>
    <d v="2024-02-06T20:39:50"/>
    <d v="2024-02-06T22:21:50"/>
    <x v="29"/>
    <x v="82"/>
    <x v="4"/>
    <x v="1"/>
    <x v="2"/>
    <n v="107"/>
    <n v="11"/>
    <n v="100"/>
    <n v="188"/>
    <n v="18"/>
    <n v="326"/>
    <x v="0"/>
    <x v="4"/>
  </r>
  <r>
    <n v="88"/>
    <x v="87"/>
    <x v="85"/>
    <d v="2024-02-03T15:21:35"/>
    <d v="2024-02-03T16:43:35"/>
    <x v="41"/>
    <x v="42"/>
    <x v="3"/>
    <x v="2"/>
    <x v="2"/>
    <n v="58"/>
    <n v="23"/>
    <n v="0"/>
    <n v="1810"/>
    <n v="81"/>
    <n v="1941"/>
    <x v="0"/>
    <x v="3"/>
  </r>
  <r>
    <n v="89"/>
    <x v="88"/>
    <x v="86"/>
    <d v="2024-01-16T13:07:56"/>
    <d v="2024-01-16T14:33:56"/>
    <x v="18"/>
    <x v="83"/>
    <x v="1"/>
    <x v="1"/>
    <x v="2"/>
    <n v="97"/>
    <n v="10"/>
    <n v="0"/>
    <n v="1251"/>
    <n v="107"/>
    <n v="1398"/>
    <x v="0"/>
    <x v="0"/>
  </r>
  <r>
    <n v="90"/>
    <x v="89"/>
    <x v="87"/>
    <d v="2024-01-29T19:00:31"/>
    <d v="2024-01-29T20:21:31"/>
    <x v="50"/>
    <x v="84"/>
    <x v="1"/>
    <x v="0"/>
    <x v="0"/>
    <n v="164"/>
    <n v="35"/>
    <n v="0"/>
    <n v="1366"/>
    <n v="199"/>
    <n v="1605"/>
    <x v="0"/>
    <x v="2"/>
  </r>
  <r>
    <n v="91"/>
    <x v="90"/>
    <x v="88"/>
    <d v="2024-01-19T05:27:13"/>
    <d v="2024-01-19T06:39:13"/>
    <x v="35"/>
    <x v="85"/>
    <x v="3"/>
    <x v="1"/>
    <x v="3"/>
    <n v="90"/>
    <n v="34"/>
    <n v="0"/>
    <n v="1354"/>
    <n v="124"/>
    <n v="1528"/>
    <x v="0"/>
    <x v="0"/>
  </r>
  <r>
    <n v="92"/>
    <x v="91"/>
    <x v="89"/>
    <d v="2024-02-03T21:08:57"/>
    <d v="2024-02-03T21:44:57"/>
    <x v="46"/>
    <x v="86"/>
    <x v="3"/>
    <x v="1"/>
    <x v="4"/>
    <n v="97"/>
    <n v="25"/>
    <n v="150"/>
    <n v="492"/>
    <n v="-28"/>
    <n v="664"/>
    <x v="0"/>
    <x v="3"/>
  </r>
  <r>
    <n v="93"/>
    <x v="92"/>
    <x v="90"/>
    <d v="2024-01-24T17:08:11"/>
    <d v="2024-01-24T18:19:11"/>
    <x v="14"/>
    <x v="87"/>
    <x v="3"/>
    <x v="2"/>
    <x v="2"/>
    <n v="74"/>
    <n v="24"/>
    <n v="50"/>
    <n v="1233"/>
    <n v="48"/>
    <n v="1381"/>
    <x v="0"/>
    <x v="0"/>
  </r>
  <r>
    <n v="94"/>
    <x v="93"/>
    <x v="91"/>
    <d v="2024-01-29T21:00:38"/>
    <d v="2024-01-29T21:33:38"/>
    <x v="30"/>
    <x v="88"/>
    <x v="2"/>
    <x v="2"/>
    <x v="0"/>
    <n v="165"/>
    <n v="35"/>
    <n v="0"/>
    <n v="608"/>
    <n v="200"/>
    <n v="838"/>
    <x v="0"/>
    <x v="1"/>
  </r>
  <r>
    <n v="95"/>
    <x v="94"/>
    <x v="92"/>
    <d v="2024-01-14T13:07:19"/>
    <d v="2024-01-14T14:45:19"/>
    <x v="16"/>
    <x v="89"/>
    <x v="1"/>
    <x v="0"/>
    <x v="3"/>
    <n v="127"/>
    <n v="25"/>
    <n v="50"/>
    <n v="1824"/>
    <n v="102"/>
    <n v="2016"/>
    <x v="0"/>
    <x v="2"/>
  </r>
  <r>
    <n v="96"/>
    <x v="95"/>
    <x v="47"/>
    <d v="2024-01-10T05:17:37"/>
    <d v="2024-01-10T05:51:37"/>
    <x v="58"/>
    <x v="90"/>
    <x v="1"/>
    <x v="2"/>
    <x v="4"/>
    <n v="157"/>
    <n v="23"/>
    <n v="0"/>
    <n v="1068"/>
    <n v="180"/>
    <n v="1288"/>
    <x v="0"/>
    <x v="2"/>
  </r>
  <r>
    <n v="97"/>
    <x v="96"/>
    <x v="93"/>
    <d v="2024-01-08T11:48:16"/>
    <d v="2024-01-08T13:32:16"/>
    <x v="59"/>
    <x v="91"/>
    <x v="2"/>
    <x v="1"/>
    <x v="0"/>
    <n v="74"/>
    <n v="38"/>
    <n v="0"/>
    <n v="125"/>
    <n v="112"/>
    <n v="267"/>
    <x v="0"/>
    <x v="2"/>
  </r>
  <r>
    <n v="98"/>
    <x v="97"/>
    <x v="94"/>
    <d v="2024-01-18T22:21:42"/>
    <d v="2024-01-19T00:10:42"/>
    <x v="49"/>
    <x v="92"/>
    <x v="3"/>
    <x v="2"/>
    <x v="4"/>
    <n v="196"/>
    <n v="33"/>
    <n v="0"/>
    <n v="209"/>
    <n v="229"/>
    <n v="488"/>
    <x v="0"/>
    <x v="0"/>
  </r>
  <r>
    <n v="99"/>
    <x v="98"/>
    <x v="95"/>
    <d v="2024-02-06T03:29:11"/>
    <d v="2024-02-06T04:39:11"/>
    <x v="36"/>
    <x v="93"/>
    <x v="4"/>
    <x v="0"/>
    <x v="2"/>
    <n v="88"/>
    <n v="24"/>
    <n v="0"/>
    <n v="524"/>
    <n v="112"/>
    <n v="656"/>
    <x v="0"/>
    <x v="1"/>
  </r>
  <r>
    <n v="100"/>
    <x v="99"/>
    <x v="96"/>
    <d v="2024-01-20T10:18:07"/>
    <d v="2024-01-20T10:51:07"/>
    <x v="30"/>
    <x v="94"/>
    <x v="3"/>
    <x v="1"/>
    <x v="3"/>
    <n v="168"/>
    <n v="28"/>
    <n v="0"/>
    <n v="-29"/>
    <n v="196"/>
    <n v="217"/>
    <x v="0"/>
    <x v="0"/>
  </r>
  <r>
    <n v="101"/>
    <x v="100"/>
    <x v="97"/>
    <d v="2024-01-10T06:15:01"/>
    <d v="2024-01-10T06:46:01"/>
    <x v="60"/>
    <x v="95"/>
    <x v="3"/>
    <x v="0"/>
    <x v="0"/>
    <n v="128"/>
    <n v="17"/>
    <n v="0"/>
    <n v="1551"/>
    <n v="145"/>
    <n v="1746"/>
    <x v="0"/>
    <x v="2"/>
  </r>
  <r>
    <n v="102"/>
    <x v="101"/>
    <x v="98"/>
    <d v="2024-01-23T16:16:46"/>
    <d v="2024-01-23T17:52:46"/>
    <x v="61"/>
    <x v="96"/>
    <x v="2"/>
    <x v="2"/>
    <x v="3"/>
    <n v="129"/>
    <n v="43"/>
    <n v="0"/>
    <n v="1492"/>
    <n v="172"/>
    <n v="1694"/>
    <x v="0"/>
    <x v="1"/>
  </r>
  <r>
    <n v="103"/>
    <x v="102"/>
    <x v="99"/>
    <d v="2024-01-20T11:39:01"/>
    <d v="2024-01-20T12:29:01"/>
    <x v="19"/>
    <x v="97"/>
    <x v="1"/>
    <x v="2"/>
    <x v="2"/>
    <n v="76"/>
    <n v="11"/>
    <n v="0"/>
    <n v="395"/>
    <n v="87"/>
    <n v="522"/>
    <x v="0"/>
    <x v="0"/>
  </r>
  <r>
    <n v="104"/>
    <x v="103"/>
    <x v="100"/>
    <d v="2024-01-22T01:30:22"/>
    <d v="2024-01-22T03:09:22"/>
    <x v="62"/>
    <x v="98"/>
    <x v="3"/>
    <x v="0"/>
    <x v="3"/>
    <n v="153"/>
    <n v="36"/>
    <n v="0"/>
    <n v="-71"/>
    <n v="189"/>
    <n v="168"/>
    <x v="0"/>
    <x v="0"/>
  </r>
  <r>
    <n v="105"/>
    <x v="104"/>
    <x v="101"/>
    <d v="2024-01-13T02:04:17"/>
    <d v="2024-01-13T03:16:17"/>
    <x v="35"/>
    <x v="99"/>
    <x v="1"/>
    <x v="1"/>
    <x v="3"/>
    <n v="123"/>
    <n v="19"/>
    <n v="0"/>
    <n v="640"/>
    <n v="142"/>
    <n v="822"/>
    <x v="0"/>
    <x v="2"/>
  </r>
  <r>
    <n v="106"/>
    <x v="105"/>
    <x v="102"/>
    <d v="2024-01-25T19:57:52"/>
    <d v="2024-01-25T21:48:52"/>
    <x v="20"/>
    <x v="100"/>
    <x v="0"/>
    <x v="2"/>
    <x v="1"/>
    <n v="117"/>
    <n v="44"/>
    <n v="0"/>
    <n v="1412"/>
    <n v="161"/>
    <n v="1573"/>
    <x v="0"/>
    <x v="4"/>
  </r>
  <r>
    <n v="107"/>
    <x v="106"/>
    <x v="103"/>
    <d v="2024-01-12T04:01:58"/>
    <d v="2024-01-12T05:39:58"/>
    <x v="16"/>
    <x v="101"/>
    <x v="1"/>
    <x v="2"/>
    <x v="3"/>
    <n v="196"/>
    <n v="32"/>
    <n v="50"/>
    <n v="-55"/>
    <n v="178"/>
    <n v="213"/>
    <x v="0"/>
    <x v="2"/>
  </r>
  <r>
    <n v="108"/>
    <x v="107"/>
    <x v="104"/>
    <d v="2024-01-06T17:59:18"/>
    <d v="2024-01-06T18:37:18"/>
    <x v="63"/>
    <x v="53"/>
    <x v="4"/>
    <x v="1"/>
    <x v="4"/>
    <n v="77"/>
    <n v="17"/>
    <n v="0"/>
    <n v="578"/>
    <n v="94"/>
    <n v="692"/>
    <x v="1"/>
    <x v="0"/>
  </r>
  <r>
    <n v="109"/>
    <x v="108"/>
    <x v="105"/>
    <d v="2024-01-14T20:00:25"/>
    <d v="2024-01-14T21:53:25"/>
    <x v="42"/>
    <x v="102"/>
    <x v="4"/>
    <x v="2"/>
    <x v="0"/>
    <n v="172"/>
    <n v="37"/>
    <n v="100"/>
    <n v="829"/>
    <n v="109"/>
    <n v="1058"/>
    <x v="0"/>
    <x v="2"/>
  </r>
  <r>
    <n v="110"/>
    <x v="109"/>
    <x v="106"/>
    <d v="2024-01-14T14:05:30"/>
    <d v="2024-01-14T15:02:30"/>
    <x v="64"/>
    <x v="103"/>
    <x v="3"/>
    <x v="0"/>
    <x v="1"/>
    <n v="187"/>
    <n v="32"/>
    <n v="0"/>
    <n v="1569"/>
    <n v="219"/>
    <n v="1838"/>
    <x v="0"/>
    <x v="0"/>
  </r>
  <r>
    <n v="111"/>
    <x v="110"/>
    <x v="107"/>
    <d v="2024-02-01T08:37:29"/>
    <d v="2024-02-01T09:32:29"/>
    <x v="27"/>
    <x v="46"/>
    <x v="1"/>
    <x v="2"/>
    <x v="0"/>
    <n v="132"/>
    <n v="13"/>
    <n v="150"/>
    <n v="1254"/>
    <n v="-5"/>
    <n v="1439"/>
    <x v="0"/>
    <x v="2"/>
  </r>
  <r>
    <n v="112"/>
    <x v="111"/>
    <x v="108"/>
    <d v="2024-01-06T04:37:05"/>
    <d v="2024-01-06T06:28:05"/>
    <x v="20"/>
    <x v="104"/>
    <x v="3"/>
    <x v="2"/>
    <x v="0"/>
    <n v="79"/>
    <n v="23"/>
    <n v="0"/>
    <n v="1069"/>
    <n v="102"/>
    <n v="1221"/>
    <x v="2"/>
    <x v="0"/>
  </r>
  <r>
    <n v="113"/>
    <x v="112"/>
    <x v="109"/>
    <d v="2024-01-01T07:57:05"/>
    <d v="2024-01-01T09:49:05"/>
    <x v="65"/>
    <x v="105"/>
    <x v="2"/>
    <x v="1"/>
    <x v="2"/>
    <n v="71"/>
    <n v="38"/>
    <n v="0"/>
    <n v="201"/>
    <n v="109"/>
    <n v="340"/>
    <x v="0"/>
    <x v="1"/>
  </r>
  <r>
    <n v="114"/>
    <x v="113"/>
    <x v="110"/>
    <d v="2024-02-02T19:05:52"/>
    <d v="2024-02-02T19:37:52"/>
    <x v="66"/>
    <x v="106"/>
    <x v="4"/>
    <x v="0"/>
    <x v="2"/>
    <n v="52"/>
    <n v="10"/>
    <n v="0"/>
    <n v="892"/>
    <n v="62"/>
    <n v="974"/>
    <x v="0"/>
    <x v="3"/>
  </r>
  <r>
    <n v="115"/>
    <x v="114"/>
    <x v="111"/>
    <d v="2024-02-06T19:56:55"/>
    <d v="2024-02-06T21:38:55"/>
    <x v="29"/>
    <x v="107"/>
    <x v="3"/>
    <x v="1"/>
    <x v="1"/>
    <n v="150"/>
    <n v="13"/>
    <n v="0"/>
    <n v="587"/>
    <n v="163"/>
    <n v="800"/>
    <x v="0"/>
    <x v="2"/>
  </r>
  <r>
    <n v="116"/>
    <x v="115"/>
    <x v="112"/>
    <d v="2024-01-18T10:47:10"/>
    <d v="2024-01-18T12:05:10"/>
    <x v="34"/>
    <x v="108"/>
    <x v="2"/>
    <x v="2"/>
    <x v="2"/>
    <n v="154"/>
    <n v="41"/>
    <n v="0"/>
    <n v="1550"/>
    <n v="195"/>
    <n v="1775"/>
    <x v="0"/>
    <x v="2"/>
  </r>
  <r>
    <n v="117"/>
    <x v="116"/>
    <x v="113"/>
    <d v="2024-01-15T18:37:27"/>
    <d v="2024-01-15T19:23:27"/>
    <x v="3"/>
    <x v="109"/>
    <x v="3"/>
    <x v="2"/>
    <x v="2"/>
    <n v="51"/>
    <n v="42"/>
    <n v="0"/>
    <n v="1000"/>
    <n v="93"/>
    <n v="1143"/>
    <x v="0"/>
    <x v="2"/>
  </r>
  <r>
    <n v="118"/>
    <x v="117"/>
    <x v="114"/>
    <d v="2024-01-06T15:33:31"/>
    <d v="2024-01-06T17:05:31"/>
    <x v="55"/>
    <x v="110"/>
    <x v="1"/>
    <x v="1"/>
    <x v="2"/>
    <n v="103"/>
    <n v="35"/>
    <n v="0"/>
    <n v="656"/>
    <n v="138"/>
    <n v="834"/>
    <x v="0"/>
    <x v="0"/>
  </r>
  <r>
    <n v="119"/>
    <x v="118"/>
    <x v="115"/>
    <d v="2024-01-15T03:34:31"/>
    <d v="2024-01-15T04:58:31"/>
    <x v="67"/>
    <x v="111"/>
    <x v="1"/>
    <x v="1"/>
    <x v="0"/>
    <n v="55"/>
    <n v="26"/>
    <n v="50"/>
    <n v="558"/>
    <n v="31"/>
    <n v="679"/>
    <x v="0"/>
    <x v="1"/>
  </r>
  <r>
    <n v="120"/>
    <x v="119"/>
    <x v="116"/>
    <d v="2024-01-30T06:06:16"/>
    <d v="2024-01-30T06:58:16"/>
    <x v="52"/>
    <x v="112"/>
    <x v="1"/>
    <x v="1"/>
    <x v="1"/>
    <n v="156"/>
    <n v="48"/>
    <n v="100"/>
    <n v="1628"/>
    <n v="104"/>
    <n v="1872"/>
    <x v="0"/>
    <x v="2"/>
  </r>
  <r>
    <n v="121"/>
    <x v="120"/>
    <x v="117"/>
    <d v="2024-01-04T15:50:05"/>
    <d v="2024-01-04T16:53:05"/>
    <x v="43"/>
    <x v="113"/>
    <x v="1"/>
    <x v="0"/>
    <x v="0"/>
    <n v="172"/>
    <n v="32"/>
    <n v="50"/>
    <n v="1110"/>
    <n v="154"/>
    <n v="1354"/>
    <x v="0"/>
    <x v="2"/>
  </r>
  <r>
    <n v="122"/>
    <x v="121"/>
    <x v="118"/>
    <d v="2024-02-05T05:55:15"/>
    <d v="2024-02-05T07:33:15"/>
    <x v="16"/>
    <x v="114"/>
    <x v="0"/>
    <x v="2"/>
    <x v="4"/>
    <n v="51"/>
    <n v="41"/>
    <n v="0"/>
    <n v="1346"/>
    <n v="92"/>
    <n v="1438"/>
    <x v="0"/>
    <x v="2"/>
  </r>
  <r>
    <n v="123"/>
    <x v="122"/>
    <x v="119"/>
    <d v="2024-02-06T09:28:00"/>
    <d v="2024-02-06T10:12:00"/>
    <x v="22"/>
    <x v="115"/>
    <x v="2"/>
    <x v="1"/>
    <x v="0"/>
    <n v="160"/>
    <n v="24"/>
    <n v="0"/>
    <n v="816"/>
    <n v="184"/>
    <n v="1030"/>
    <x v="0"/>
    <x v="0"/>
  </r>
  <r>
    <n v="124"/>
    <x v="123"/>
    <x v="120"/>
    <d v="2024-01-02T04:09:36"/>
    <d v="2024-01-02T05:25:36"/>
    <x v="37"/>
    <x v="116"/>
    <x v="2"/>
    <x v="2"/>
    <x v="4"/>
    <n v="51"/>
    <n v="22"/>
    <n v="0"/>
    <n v="1613"/>
    <n v="73"/>
    <n v="1716"/>
    <x v="0"/>
    <x v="0"/>
  </r>
  <r>
    <n v="125"/>
    <x v="124"/>
    <x v="121"/>
    <d v="2024-01-23T03:42:22"/>
    <d v="2024-01-23T04:14:22"/>
    <x v="66"/>
    <x v="117"/>
    <x v="1"/>
    <x v="0"/>
    <x v="3"/>
    <n v="142"/>
    <n v="11"/>
    <n v="150"/>
    <n v="1631"/>
    <n v="3"/>
    <n v="1824"/>
    <x v="0"/>
    <x v="0"/>
  </r>
  <r>
    <n v="126"/>
    <x v="125"/>
    <x v="122"/>
    <d v="2024-02-03T22:03:59"/>
    <d v="2024-02-03T23:55:59"/>
    <x v="65"/>
    <x v="118"/>
    <x v="0"/>
    <x v="0"/>
    <x v="3"/>
    <n v="150"/>
    <n v="28"/>
    <n v="0"/>
    <n v="701"/>
    <n v="178"/>
    <n v="879"/>
    <x v="0"/>
    <x v="2"/>
  </r>
  <r>
    <n v="127"/>
    <x v="126"/>
    <x v="123"/>
    <d v="2024-02-03T03:46:21"/>
    <d v="2024-02-03T04:43:21"/>
    <x v="64"/>
    <x v="119"/>
    <x v="1"/>
    <x v="0"/>
    <x v="4"/>
    <n v="146"/>
    <n v="33"/>
    <n v="0"/>
    <n v="1506"/>
    <n v="179"/>
    <n v="1725"/>
    <x v="0"/>
    <x v="0"/>
  </r>
  <r>
    <n v="128"/>
    <x v="127"/>
    <x v="124"/>
    <d v="2024-01-16T09:30:28"/>
    <d v="2024-01-16T10:02:28"/>
    <x v="66"/>
    <x v="120"/>
    <x v="0"/>
    <x v="0"/>
    <x v="4"/>
    <n v="160"/>
    <n v="33"/>
    <n v="100"/>
    <n v="1688"/>
    <n v="93"/>
    <n v="1881"/>
    <x v="0"/>
    <x v="3"/>
  </r>
  <r>
    <n v="129"/>
    <x v="128"/>
    <x v="125"/>
    <d v="2024-01-02T19:54:16"/>
    <d v="2024-01-02T20:27:16"/>
    <x v="30"/>
    <x v="121"/>
    <x v="1"/>
    <x v="2"/>
    <x v="0"/>
    <n v="55"/>
    <n v="20"/>
    <n v="0"/>
    <n v="1161"/>
    <n v="75"/>
    <n v="1276"/>
    <x v="0"/>
    <x v="0"/>
  </r>
  <r>
    <n v="130"/>
    <x v="129"/>
    <x v="126"/>
    <d v="2024-01-08T08:14:17"/>
    <d v="2024-01-08T10:11:17"/>
    <x v="45"/>
    <x v="122"/>
    <x v="4"/>
    <x v="0"/>
    <x v="4"/>
    <n v="176"/>
    <n v="31"/>
    <n v="0"/>
    <n v="62"/>
    <n v="207"/>
    <n v="289"/>
    <x v="0"/>
    <x v="1"/>
  </r>
  <r>
    <n v="131"/>
    <x v="130"/>
    <x v="102"/>
    <d v="2024-01-31T18:11:39"/>
    <d v="2024-01-31T19:11:39"/>
    <x v="31"/>
    <x v="123"/>
    <x v="4"/>
    <x v="0"/>
    <x v="1"/>
    <n v="153"/>
    <n v="24"/>
    <n v="50"/>
    <n v="1414"/>
    <n v="127"/>
    <n v="1611"/>
    <x v="0"/>
    <x v="4"/>
  </r>
  <r>
    <n v="132"/>
    <x v="131"/>
    <x v="84"/>
    <d v="2024-01-06T08:33:05"/>
    <d v="2024-01-06T09:47:05"/>
    <x v="68"/>
    <x v="124"/>
    <x v="3"/>
    <x v="1"/>
    <x v="3"/>
    <n v="196"/>
    <n v="19"/>
    <n v="150"/>
    <n v="1586"/>
    <n v="65"/>
    <n v="1851"/>
    <x v="0"/>
    <x v="4"/>
  </r>
  <r>
    <n v="133"/>
    <x v="132"/>
    <x v="127"/>
    <d v="2024-01-20T09:37:53"/>
    <d v="2024-01-20T11:05:53"/>
    <x v="0"/>
    <x v="125"/>
    <x v="1"/>
    <x v="0"/>
    <x v="3"/>
    <n v="50"/>
    <n v="50"/>
    <n v="150"/>
    <n v="1037"/>
    <n v="-50"/>
    <n v="1177"/>
    <x v="0"/>
    <x v="2"/>
  </r>
  <r>
    <n v="134"/>
    <x v="133"/>
    <x v="128"/>
    <d v="2024-01-23T22:52:47"/>
    <d v="2024-01-24T00:06:47"/>
    <x v="68"/>
    <x v="126"/>
    <x v="2"/>
    <x v="1"/>
    <x v="4"/>
    <n v="82"/>
    <n v="36"/>
    <n v="0"/>
    <n v="1720"/>
    <n v="118"/>
    <n v="1868"/>
    <x v="0"/>
    <x v="2"/>
  </r>
  <r>
    <n v="135"/>
    <x v="134"/>
    <x v="129"/>
    <d v="2024-01-18T22:03:49"/>
    <d v="2024-01-18T23:47:49"/>
    <x v="59"/>
    <x v="127"/>
    <x v="3"/>
    <x v="0"/>
    <x v="2"/>
    <n v="89"/>
    <n v="18"/>
    <n v="100"/>
    <n v="280"/>
    <n v="7"/>
    <n v="437"/>
    <x v="2"/>
    <x v="2"/>
  </r>
  <r>
    <n v="136"/>
    <x v="135"/>
    <x v="103"/>
    <d v="2024-02-06T05:25:18"/>
    <d v="2024-02-06T06:31:18"/>
    <x v="26"/>
    <x v="128"/>
    <x v="4"/>
    <x v="0"/>
    <x v="2"/>
    <n v="81"/>
    <n v="37"/>
    <n v="100"/>
    <n v="170"/>
    <n v="18"/>
    <n v="308"/>
    <x v="0"/>
    <x v="2"/>
  </r>
  <r>
    <n v="137"/>
    <x v="136"/>
    <x v="130"/>
    <d v="2024-01-31T09:45:44"/>
    <d v="2024-01-31T11:19:44"/>
    <x v="69"/>
    <x v="129"/>
    <x v="1"/>
    <x v="1"/>
    <x v="4"/>
    <n v="66"/>
    <n v="10"/>
    <n v="0"/>
    <n v="937"/>
    <n v="76"/>
    <n v="1053"/>
    <x v="0"/>
    <x v="0"/>
  </r>
  <r>
    <n v="138"/>
    <x v="137"/>
    <x v="131"/>
    <d v="2024-01-12T07:41:20"/>
    <d v="2024-01-12T08:19:20"/>
    <x v="63"/>
    <x v="130"/>
    <x v="3"/>
    <x v="0"/>
    <x v="1"/>
    <n v="175"/>
    <n v="26"/>
    <n v="50"/>
    <n v="1077"/>
    <n v="151"/>
    <n v="1328"/>
    <x v="2"/>
    <x v="2"/>
  </r>
  <r>
    <n v="139"/>
    <x v="138"/>
    <x v="132"/>
    <d v="2024-02-02T16:58:16"/>
    <d v="2024-02-02T17:44:16"/>
    <x v="3"/>
    <x v="131"/>
    <x v="1"/>
    <x v="2"/>
    <x v="2"/>
    <n v="57"/>
    <n v="40"/>
    <n v="0"/>
    <n v="1593"/>
    <n v="97"/>
    <n v="1730"/>
    <x v="2"/>
    <x v="3"/>
  </r>
  <r>
    <n v="140"/>
    <x v="139"/>
    <x v="133"/>
    <d v="2024-01-09T14:14:48"/>
    <d v="2024-01-09T15:48:48"/>
    <x v="69"/>
    <x v="132"/>
    <x v="4"/>
    <x v="2"/>
    <x v="4"/>
    <n v="106"/>
    <n v="19"/>
    <n v="100"/>
    <n v="668"/>
    <n v="25"/>
    <n v="813"/>
    <x v="0"/>
    <x v="0"/>
  </r>
  <r>
    <n v="141"/>
    <x v="140"/>
    <x v="85"/>
    <d v="2024-02-01T15:05:19"/>
    <d v="2024-02-01T15:37:19"/>
    <x v="66"/>
    <x v="133"/>
    <x v="3"/>
    <x v="0"/>
    <x v="1"/>
    <n v="91"/>
    <n v="46"/>
    <n v="0"/>
    <n v="1708"/>
    <n v="137"/>
    <n v="1895"/>
    <x v="0"/>
    <x v="3"/>
  </r>
  <r>
    <n v="142"/>
    <x v="141"/>
    <x v="134"/>
    <d v="2024-01-24T14:15:40"/>
    <d v="2024-01-24T15:10:40"/>
    <x v="27"/>
    <x v="134"/>
    <x v="4"/>
    <x v="2"/>
    <x v="1"/>
    <n v="147"/>
    <n v="38"/>
    <n v="0"/>
    <n v="802"/>
    <n v="185"/>
    <n v="1007"/>
    <x v="0"/>
    <x v="0"/>
  </r>
  <r>
    <n v="143"/>
    <x v="142"/>
    <x v="135"/>
    <d v="2024-01-08T21:36:08"/>
    <d v="2024-01-08T22:58:08"/>
    <x v="41"/>
    <x v="135"/>
    <x v="0"/>
    <x v="1"/>
    <x v="0"/>
    <n v="186"/>
    <n v="27"/>
    <n v="0"/>
    <n v="357"/>
    <n v="213"/>
    <n v="570"/>
    <x v="0"/>
    <x v="4"/>
  </r>
  <r>
    <n v="144"/>
    <x v="143"/>
    <x v="136"/>
    <d v="2024-02-01T17:05:56"/>
    <d v="2024-02-01T18:05:56"/>
    <x v="31"/>
    <x v="136"/>
    <x v="4"/>
    <x v="0"/>
    <x v="1"/>
    <n v="169"/>
    <n v="47"/>
    <n v="50"/>
    <n v="982"/>
    <n v="166"/>
    <n v="1218"/>
    <x v="0"/>
    <x v="0"/>
  </r>
  <r>
    <n v="145"/>
    <x v="144"/>
    <x v="137"/>
    <d v="2024-01-31T07:46:20"/>
    <d v="2024-01-31T08:41:20"/>
    <x v="27"/>
    <x v="137"/>
    <x v="1"/>
    <x v="0"/>
    <x v="2"/>
    <n v="136"/>
    <n v="48"/>
    <n v="0"/>
    <n v="192"/>
    <n v="184"/>
    <n v="416"/>
    <x v="0"/>
    <x v="1"/>
  </r>
  <r>
    <n v="146"/>
    <x v="145"/>
    <x v="138"/>
    <d v="2024-01-30T19:25:18"/>
    <d v="2024-01-30T20:17:18"/>
    <x v="52"/>
    <x v="138"/>
    <x v="2"/>
    <x v="1"/>
    <x v="2"/>
    <n v="103"/>
    <n v="15"/>
    <n v="0"/>
    <n v="921"/>
    <n v="118"/>
    <n v="1069"/>
    <x v="0"/>
    <x v="2"/>
  </r>
  <r>
    <n v="147"/>
    <x v="146"/>
    <x v="139"/>
    <d v="2024-01-09T08:23:04"/>
    <d v="2024-01-09T09:22:04"/>
    <x v="44"/>
    <x v="139"/>
    <x v="4"/>
    <x v="1"/>
    <x v="4"/>
    <n v="133"/>
    <n v="49"/>
    <n v="0"/>
    <n v="1586"/>
    <n v="182"/>
    <n v="1788"/>
    <x v="0"/>
    <x v="2"/>
  </r>
  <r>
    <n v="148"/>
    <x v="147"/>
    <x v="140"/>
    <d v="2024-02-05T08:28:58"/>
    <d v="2024-02-05T09:07:58"/>
    <x v="70"/>
    <x v="140"/>
    <x v="2"/>
    <x v="1"/>
    <x v="4"/>
    <n v="74"/>
    <n v="21"/>
    <n v="150"/>
    <n v="1371"/>
    <n v="-55"/>
    <n v="1496"/>
    <x v="0"/>
    <x v="2"/>
  </r>
  <r>
    <n v="149"/>
    <x v="148"/>
    <x v="141"/>
    <d v="2024-01-30T02:58:11"/>
    <d v="2024-01-30T04:39:11"/>
    <x v="71"/>
    <x v="141"/>
    <x v="0"/>
    <x v="0"/>
    <x v="1"/>
    <n v="116"/>
    <n v="23"/>
    <n v="0"/>
    <n v="1409"/>
    <n v="139"/>
    <n v="1548"/>
    <x v="0"/>
    <x v="2"/>
  </r>
  <r>
    <n v="150"/>
    <x v="149"/>
    <x v="142"/>
    <d v="2024-01-07T00:22:57"/>
    <d v="2024-01-07T02:20:57"/>
    <x v="72"/>
    <x v="142"/>
    <x v="3"/>
    <x v="1"/>
    <x v="3"/>
    <n v="95"/>
    <n v="19"/>
    <n v="50"/>
    <n v="556"/>
    <n v="64"/>
    <n v="720"/>
    <x v="0"/>
    <x v="2"/>
  </r>
  <r>
    <n v="151"/>
    <x v="150"/>
    <x v="143"/>
    <d v="2024-01-27T23:08:21"/>
    <d v="2024-01-28T00:41:21"/>
    <x v="73"/>
    <x v="143"/>
    <x v="3"/>
    <x v="1"/>
    <x v="0"/>
    <n v="71"/>
    <n v="29"/>
    <n v="0"/>
    <n v="1534"/>
    <n v="100"/>
    <n v="1684"/>
    <x v="0"/>
    <x v="2"/>
  </r>
  <r>
    <n v="152"/>
    <x v="151"/>
    <x v="144"/>
    <d v="2024-01-30T21:15:17"/>
    <d v="2024-01-30T22:06:17"/>
    <x v="5"/>
    <x v="144"/>
    <x v="2"/>
    <x v="2"/>
    <x v="3"/>
    <n v="188"/>
    <n v="24"/>
    <n v="0"/>
    <n v="744"/>
    <n v="212"/>
    <n v="986"/>
    <x v="0"/>
    <x v="0"/>
  </r>
  <r>
    <n v="153"/>
    <x v="152"/>
    <x v="145"/>
    <d v="2024-02-03T10:08:18"/>
    <d v="2024-02-03T10:52:18"/>
    <x v="22"/>
    <x v="145"/>
    <x v="3"/>
    <x v="2"/>
    <x v="1"/>
    <n v="57"/>
    <n v="40"/>
    <n v="0"/>
    <n v="1003"/>
    <n v="97"/>
    <n v="1150"/>
    <x v="0"/>
    <x v="1"/>
  </r>
  <r>
    <n v="154"/>
    <x v="153"/>
    <x v="146"/>
    <d v="2024-01-12T08:54:29"/>
    <d v="2024-01-12T10:19:29"/>
    <x v="12"/>
    <x v="41"/>
    <x v="4"/>
    <x v="0"/>
    <x v="1"/>
    <n v="88"/>
    <n v="16"/>
    <n v="0"/>
    <n v="1201"/>
    <n v="104"/>
    <n v="1325"/>
    <x v="0"/>
    <x v="2"/>
  </r>
  <r>
    <n v="155"/>
    <x v="154"/>
    <x v="147"/>
    <d v="2024-01-01T10:05:21"/>
    <d v="2024-01-01T11:48:21"/>
    <x v="74"/>
    <x v="54"/>
    <x v="2"/>
    <x v="2"/>
    <x v="3"/>
    <n v="98"/>
    <n v="50"/>
    <n v="0"/>
    <n v="409"/>
    <n v="148"/>
    <n v="587"/>
    <x v="2"/>
    <x v="2"/>
  </r>
  <r>
    <n v="156"/>
    <x v="155"/>
    <x v="148"/>
    <d v="2024-01-29T03:43:13"/>
    <d v="2024-01-29T04:32:13"/>
    <x v="21"/>
    <x v="146"/>
    <x v="1"/>
    <x v="2"/>
    <x v="0"/>
    <n v="95"/>
    <n v="19"/>
    <n v="0"/>
    <n v="903"/>
    <n v="114"/>
    <n v="1057"/>
    <x v="0"/>
    <x v="0"/>
  </r>
  <r>
    <n v="157"/>
    <x v="156"/>
    <x v="149"/>
    <d v="2024-01-02T19:28:18"/>
    <d v="2024-01-02T20:44:18"/>
    <x v="37"/>
    <x v="147"/>
    <x v="4"/>
    <x v="1"/>
    <x v="3"/>
    <n v="87"/>
    <n v="19"/>
    <n v="0"/>
    <n v="1868"/>
    <n v="106"/>
    <n v="1994"/>
    <x v="0"/>
    <x v="2"/>
  </r>
  <r>
    <n v="158"/>
    <x v="157"/>
    <x v="150"/>
    <d v="2024-02-06T14:45:00"/>
    <d v="2024-02-06T16:41:00"/>
    <x v="57"/>
    <x v="148"/>
    <x v="4"/>
    <x v="1"/>
    <x v="4"/>
    <n v="185"/>
    <n v="48"/>
    <n v="0"/>
    <n v="699"/>
    <n v="233"/>
    <n v="952"/>
    <x v="0"/>
    <x v="2"/>
  </r>
  <r>
    <n v="159"/>
    <x v="158"/>
    <x v="151"/>
    <d v="2024-01-23T10:32:42"/>
    <d v="2024-01-23T11:54:42"/>
    <x v="41"/>
    <x v="149"/>
    <x v="4"/>
    <x v="2"/>
    <x v="2"/>
    <n v="103"/>
    <n v="37"/>
    <n v="50"/>
    <n v="1047"/>
    <n v="90"/>
    <n v="1207"/>
    <x v="0"/>
    <x v="2"/>
  </r>
  <r>
    <n v="160"/>
    <x v="159"/>
    <x v="126"/>
    <d v="2024-02-03T10:01:36"/>
    <d v="2024-02-03T11:23:36"/>
    <x v="41"/>
    <x v="150"/>
    <x v="1"/>
    <x v="2"/>
    <x v="4"/>
    <n v="141"/>
    <n v="39"/>
    <n v="0"/>
    <n v="758"/>
    <n v="180"/>
    <n v="978"/>
    <x v="0"/>
    <x v="1"/>
  </r>
  <r>
    <n v="161"/>
    <x v="160"/>
    <x v="152"/>
    <d v="2024-01-05T13:36:23"/>
    <d v="2024-01-05T14:06:23"/>
    <x v="75"/>
    <x v="151"/>
    <x v="0"/>
    <x v="2"/>
    <x v="2"/>
    <n v="89"/>
    <n v="46"/>
    <n v="0"/>
    <n v="1248"/>
    <n v="135"/>
    <n v="1383"/>
    <x v="0"/>
    <x v="1"/>
  </r>
  <r>
    <n v="162"/>
    <x v="161"/>
    <x v="153"/>
    <d v="2024-01-28T00:45:41"/>
    <d v="2024-01-28T01:16:41"/>
    <x v="60"/>
    <x v="152"/>
    <x v="3"/>
    <x v="0"/>
    <x v="1"/>
    <n v="83"/>
    <n v="12"/>
    <n v="0"/>
    <n v="197"/>
    <n v="95"/>
    <n v="342"/>
    <x v="0"/>
    <x v="2"/>
  </r>
  <r>
    <n v="163"/>
    <x v="162"/>
    <x v="154"/>
    <d v="2024-02-01T16:09:42"/>
    <d v="2024-02-01T17:36:42"/>
    <x v="76"/>
    <x v="59"/>
    <x v="2"/>
    <x v="0"/>
    <x v="0"/>
    <n v="145"/>
    <n v="24"/>
    <n v="100"/>
    <n v="1609"/>
    <n v="69"/>
    <n v="1808"/>
    <x v="0"/>
    <x v="0"/>
  </r>
  <r>
    <n v="164"/>
    <x v="163"/>
    <x v="155"/>
    <d v="2024-01-13T17:41:40"/>
    <d v="2024-01-13T18:29:40"/>
    <x v="77"/>
    <x v="153"/>
    <x v="0"/>
    <x v="0"/>
    <x v="3"/>
    <n v="128"/>
    <n v="30"/>
    <n v="150"/>
    <n v="557"/>
    <n v="8"/>
    <n v="715"/>
    <x v="2"/>
    <x v="1"/>
  </r>
  <r>
    <n v="165"/>
    <x v="164"/>
    <x v="156"/>
    <d v="2024-01-19T05:56:30"/>
    <d v="2024-01-19T07:27:30"/>
    <x v="25"/>
    <x v="154"/>
    <x v="2"/>
    <x v="2"/>
    <x v="0"/>
    <n v="176"/>
    <n v="46"/>
    <n v="100"/>
    <n v="283"/>
    <n v="122"/>
    <n v="535"/>
    <x v="0"/>
    <x v="2"/>
  </r>
  <r>
    <n v="166"/>
    <x v="165"/>
    <x v="157"/>
    <d v="2024-01-17T04:51:12"/>
    <d v="2024-01-17T06:38:12"/>
    <x v="78"/>
    <x v="155"/>
    <x v="3"/>
    <x v="2"/>
    <x v="3"/>
    <n v="66"/>
    <n v="21"/>
    <n v="0"/>
    <n v="1762"/>
    <n v="87"/>
    <n v="1899"/>
    <x v="0"/>
    <x v="2"/>
  </r>
  <r>
    <n v="167"/>
    <x v="166"/>
    <x v="158"/>
    <d v="2024-01-13T10:58:19"/>
    <d v="2024-01-13T12:39:19"/>
    <x v="71"/>
    <x v="156"/>
    <x v="1"/>
    <x v="0"/>
    <x v="4"/>
    <n v="159"/>
    <n v="13"/>
    <n v="0"/>
    <n v="1705"/>
    <n v="172"/>
    <n v="1917"/>
    <x v="0"/>
    <x v="3"/>
  </r>
  <r>
    <n v="168"/>
    <x v="167"/>
    <x v="159"/>
    <d v="2024-01-23T16:59:37"/>
    <d v="2024-01-23T17:40:37"/>
    <x v="53"/>
    <x v="157"/>
    <x v="4"/>
    <x v="0"/>
    <x v="4"/>
    <n v="101"/>
    <n v="18"/>
    <n v="0"/>
    <n v="923"/>
    <n v="119"/>
    <n v="1062"/>
    <x v="0"/>
    <x v="2"/>
  </r>
  <r>
    <n v="169"/>
    <x v="138"/>
    <x v="145"/>
    <d v="2024-02-03T01:13:42"/>
    <d v="2024-02-03T02:08:42"/>
    <x v="27"/>
    <x v="158"/>
    <x v="4"/>
    <x v="2"/>
    <x v="3"/>
    <n v="167"/>
    <n v="48"/>
    <n v="0"/>
    <n v="605"/>
    <n v="215"/>
    <n v="840"/>
    <x v="2"/>
    <x v="1"/>
  </r>
  <r>
    <n v="170"/>
    <x v="168"/>
    <x v="13"/>
    <d v="2024-01-08T16:34:28"/>
    <d v="2024-01-08T17:30:28"/>
    <x v="56"/>
    <x v="159"/>
    <x v="1"/>
    <x v="1"/>
    <x v="0"/>
    <n v="58"/>
    <n v="37"/>
    <n v="0"/>
    <n v="97"/>
    <n v="95"/>
    <n v="232"/>
    <x v="0"/>
    <x v="2"/>
  </r>
  <r>
    <n v="171"/>
    <x v="169"/>
    <x v="160"/>
    <d v="2024-01-27T16:32:18"/>
    <d v="2024-01-27T17:30:18"/>
    <x v="2"/>
    <x v="160"/>
    <x v="0"/>
    <x v="0"/>
    <x v="3"/>
    <n v="82"/>
    <n v="32"/>
    <n v="150"/>
    <n v="415"/>
    <n v="-36"/>
    <n v="529"/>
    <x v="0"/>
    <x v="0"/>
  </r>
  <r>
    <n v="172"/>
    <x v="170"/>
    <x v="161"/>
    <d v="2024-02-02T05:17:16"/>
    <d v="2024-02-02T06:01:16"/>
    <x v="22"/>
    <x v="161"/>
    <x v="0"/>
    <x v="2"/>
    <x v="1"/>
    <n v="162"/>
    <n v="49"/>
    <n v="0"/>
    <n v="542"/>
    <n v="211"/>
    <n v="753"/>
    <x v="0"/>
    <x v="0"/>
  </r>
  <r>
    <n v="173"/>
    <x v="171"/>
    <x v="162"/>
    <d v="2024-01-23T10:35:04"/>
    <d v="2024-01-23T11:50:04"/>
    <x v="51"/>
    <x v="162"/>
    <x v="2"/>
    <x v="2"/>
    <x v="4"/>
    <n v="198"/>
    <n v="31"/>
    <n v="0"/>
    <n v="1328"/>
    <n v="229"/>
    <n v="1587"/>
    <x v="0"/>
    <x v="2"/>
  </r>
  <r>
    <n v="174"/>
    <x v="172"/>
    <x v="163"/>
    <d v="2024-01-12T21:40:00"/>
    <d v="2024-01-12T22:10:00"/>
    <x v="75"/>
    <x v="163"/>
    <x v="1"/>
    <x v="1"/>
    <x v="1"/>
    <n v="134"/>
    <n v="33"/>
    <n v="0"/>
    <n v="1360"/>
    <n v="167"/>
    <n v="1567"/>
    <x v="0"/>
    <x v="0"/>
  </r>
  <r>
    <n v="175"/>
    <x v="173"/>
    <x v="164"/>
    <d v="2024-01-11T04:28:32"/>
    <d v="2024-01-11T05:57:32"/>
    <x v="4"/>
    <x v="164"/>
    <x v="0"/>
    <x v="2"/>
    <x v="4"/>
    <n v="59"/>
    <n v="35"/>
    <n v="50"/>
    <n v="439"/>
    <n v="44"/>
    <n v="533"/>
    <x v="0"/>
    <x v="1"/>
  </r>
  <r>
    <n v="176"/>
    <x v="174"/>
    <x v="165"/>
    <d v="2024-01-05T03:38:10"/>
    <d v="2024-01-05T05:04:10"/>
    <x v="18"/>
    <x v="165"/>
    <x v="1"/>
    <x v="2"/>
    <x v="4"/>
    <n v="55"/>
    <n v="39"/>
    <n v="150"/>
    <n v="1141"/>
    <n v="-56"/>
    <n v="1275"/>
    <x v="0"/>
    <x v="0"/>
  </r>
  <r>
    <n v="177"/>
    <x v="175"/>
    <x v="166"/>
    <d v="2024-02-05T03:38:19"/>
    <d v="2024-02-05T04:10:19"/>
    <x v="66"/>
    <x v="166"/>
    <x v="3"/>
    <x v="0"/>
    <x v="2"/>
    <n v="164"/>
    <n v="42"/>
    <n v="0"/>
    <n v="268"/>
    <n v="206"/>
    <n v="524"/>
    <x v="0"/>
    <x v="1"/>
  </r>
  <r>
    <n v="178"/>
    <x v="176"/>
    <x v="167"/>
    <d v="2024-01-01T22:12:53"/>
    <d v="2024-01-01T22:59:53"/>
    <x v="79"/>
    <x v="167"/>
    <x v="4"/>
    <x v="0"/>
    <x v="1"/>
    <n v="170"/>
    <n v="25"/>
    <n v="0"/>
    <n v="987"/>
    <n v="195"/>
    <n v="1202"/>
    <x v="0"/>
    <x v="1"/>
  </r>
  <r>
    <n v="179"/>
    <x v="177"/>
    <x v="168"/>
    <d v="2024-01-08T08:08:42"/>
    <d v="2024-01-08T09:29:42"/>
    <x v="50"/>
    <x v="168"/>
    <x v="4"/>
    <x v="1"/>
    <x v="1"/>
    <n v="190"/>
    <n v="31"/>
    <n v="0"/>
    <n v="945"/>
    <n v="221"/>
    <n v="1186"/>
    <x v="0"/>
    <x v="0"/>
  </r>
  <r>
    <n v="180"/>
    <x v="178"/>
    <x v="169"/>
    <d v="2024-01-24T15:27:03"/>
    <d v="2024-01-24T16:56:03"/>
    <x v="4"/>
    <x v="82"/>
    <x v="4"/>
    <x v="1"/>
    <x v="2"/>
    <n v="114"/>
    <n v="27"/>
    <n v="0"/>
    <n v="165"/>
    <n v="141"/>
    <n v="326"/>
    <x v="0"/>
    <x v="1"/>
  </r>
  <r>
    <n v="181"/>
    <x v="179"/>
    <x v="170"/>
    <d v="2024-01-13T03:09:33"/>
    <d v="2024-01-13T04:12:33"/>
    <x v="43"/>
    <x v="118"/>
    <x v="1"/>
    <x v="2"/>
    <x v="0"/>
    <n v="69"/>
    <n v="16"/>
    <n v="0"/>
    <n v="794"/>
    <n v="85"/>
    <n v="919"/>
    <x v="0"/>
    <x v="0"/>
  </r>
  <r>
    <n v="182"/>
    <x v="180"/>
    <x v="171"/>
    <d v="2024-01-18T09:13:45"/>
    <d v="2024-01-18T11:11:45"/>
    <x v="72"/>
    <x v="169"/>
    <x v="1"/>
    <x v="0"/>
    <x v="1"/>
    <n v="106"/>
    <n v="35"/>
    <n v="0"/>
    <n v="1278"/>
    <n v="141"/>
    <n v="1459"/>
    <x v="2"/>
    <x v="2"/>
  </r>
  <r>
    <n v="183"/>
    <x v="181"/>
    <x v="172"/>
    <d v="2024-01-28T14:27:13"/>
    <d v="2024-01-28T15:56:13"/>
    <x v="4"/>
    <x v="170"/>
    <x v="2"/>
    <x v="1"/>
    <x v="3"/>
    <n v="95"/>
    <n v="17"/>
    <n v="0"/>
    <n v="1129"/>
    <n v="112"/>
    <n v="1271"/>
    <x v="0"/>
    <x v="1"/>
  </r>
  <r>
    <n v="184"/>
    <x v="182"/>
    <x v="124"/>
    <d v="2024-01-30T23:54:21"/>
    <d v="2024-01-31T00:49:21"/>
    <x v="27"/>
    <x v="171"/>
    <x v="4"/>
    <x v="1"/>
    <x v="2"/>
    <n v="185"/>
    <n v="15"/>
    <n v="50"/>
    <n v="431"/>
    <n v="150"/>
    <n v="651"/>
    <x v="0"/>
    <x v="3"/>
  </r>
  <r>
    <n v="185"/>
    <x v="183"/>
    <x v="173"/>
    <d v="2024-01-23T03:16:24"/>
    <d v="2024-01-23T04:57:24"/>
    <x v="71"/>
    <x v="172"/>
    <x v="2"/>
    <x v="1"/>
    <x v="1"/>
    <n v="59"/>
    <n v="39"/>
    <n v="0"/>
    <n v="1247"/>
    <n v="98"/>
    <n v="1375"/>
    <x v="0"/>
    <x v="0"/>
  </r>
  <r>
    <n v="186"/>
    <x v="184"/>
    <x v="174"/>
    <d v="2024-01-19T11:11:16"/>
    <d v="2024-01-19T11:59:16"/>
    <x v="77"/>
    <x v="73"/>
    <x v="4"/>
    <x v="2"/>
    <x v="0"/>
    <n v="162"/>
    <n v="48"/>
    <n v="0"/>
    <n v="55"/>
    <n v="210"/>
    <n v="285"/>
    <x v="0"/>
    <x v="2"/>
  </r>
  <r>
    <n v="187"/>
    <x v="185"/>
    <x v="175"/>
    <d v="2024-01-03T14:30:49"/>
    <d v="2024-01-03T15:21:49"/>
    <x v="5"/>
    <x v="173"/>
    <x v="2"/>
    <x v="0"/>
    <x v="1"/>
    <n v="188"/>
    <n v="32"/>
    <n v="0"/>
    <n v="522"/>
    <n v="220"/>
    <n v="772"/>
    <x v="0"/>
    <x v="2"/>
  </r>
  <r>
    <n v="188"/>
    <x v="186"/>
    <x v="176"/>
    <d v="2024-01-16T05:53:11"/>
    <d v="2024-01-16T06:55:11"/>
    <x v="80"/>
    <x v="174"/>
    <x v="2"/>
    <x v="1"/>
    <x v="4"/>
    <n v="61"/>
    <n v="41"/>
    <n v="100"/>
    <n v="1177"/>
    <n v="2"/>
    <n v="1309"/>
    <x v="0"/>
    <x v="1"/>
  </r>
  <r>
    <n v="189"/>
    <x v="187"/>
    <x v="177"/>
    <d v="2024-01-27T04:50:55"/>
    <d v="2024-01-27T05:57:55"/>
    <x v="48"/>
    <x v="175"/>
    <x v="3"/>
    <x v="0"/>
    <x v="3"/>
    <n v="187"/>
    <n v="31"/>
    <n v="0"/>
    <n v="1089"/>
    <n v="218"/>
    <n v="1357"/>
    <x v="2"/>
    <x v="2"/>
  </r>
  <r>
    <n v="190"/>
    <x v="188"/>
    <x v="178"/>
    <d v="2024-01-25T05:48:49"/>
    <d v="2024-01-25T06:52:49"/>
    <x v="33"/>
    <x v="176"/>
    <x v="2"/>
    <x v="1"/>
    <x v="2"/>
    <n v="60"/>
    <n v="18"/>
    <n v="0"/>
    <n v="111"/>
    <n v="78"/>
    <n v="219"/>
    <x v="0"/>
    <x v="2"/>
  </r>
  <r>
    <n v="191"/>
    <x v="189"/>
    <x v="179"/>
    <d v="2024-02-03T02:51:49"/>
    <d v="2024-02-03T04:27:49"/>
    <x v="61"/>
    <x v="177"/>
    <x v="1"/>
    <x v="1"/>
    <x v="4"/>
    <n v="167"/>
    <n v="40"/>
    <n v="0"/>
    <n v="1010"/>
    <n v="207"/>
    <n v="1257"/>
    <x v="0"/>
    <x v="2"/>
  </r>
  <r>
    <n v="192"/>
    <x v="190"/>
    <x v="180"/>
    <d v="2024-01-09T15:36:59"/>
    <d v="2024-01-09T17:28:59"/>
    <x v="65"/>
    <x v="178"/>
    <x v="2"/>
    <x v="0"/>
    <x v="0"/>
    <n v="88"/>
    <n v="16"/>
    <n v="0"/>
    <n v="8"/>
    <n v="104"/>
    <n v="142"/>
    <x v="0"/>
    <x v="2"/>
  </r>
  <r>
    <n v="193"/>
    <x v="191"/>
    <x v="181"/>
    <d v="2024-01-13T11:58:44"/>
    <d v="2024-01-13T12:37:44"/>
    <x v="70"/>
    <x v="179"/>
    <x v="4"/>
    <x v="0"/>
    <x v="4"/>
    <n v="102"/>
    <n v="18"/>
    <n v="0"/>
    <n v="952"/>
    <n v="120"/>
    <n v="1092"/>
    <x v="0"/>
    <x v="2"/>
  </r>
  <r>
    <n v="194"/>
    <x v="192"/>
    <x v="182"/>
    <d v="2024-01-15T09:39:40"/>
    <d v="2024-01-15T10:23:40"/>
    <x v="22"/>
    <x v="180"/>
    <x v="2"/>
    <x v="0"/>
    <x v="4"/>
    <n v="105"/>
    <n v="22"/>
    <n v="0"/>
    <n v="1830"/>
    <n v="127"/>
    <n v="1987"/>
    <x v="0"/>
    <x v="0"/>
  </r>
  <r>
    <n v="195"/>
    <x v="193"/>
    <x v="183"/>
    <d v="2024-01-22T06:03:05"/>
    <d v="2024-01-22T06:43:05"/>
    <x v="11"/>
    <x v="181"/>
    <x v="0"/>
    <x v="2"/>
    <x v="0"/>
    <n v="153"/>
    <n v="12"/>
    <n v="0"/>
    <n v="739"/>
    <n v="165"/>
    <n v="904"/>
    <x v="0"/>
    <x v="2"/>
  </r>
  <r>
    <n v="196"/>
    <x v="194"/>
    <x v="184"/>
    <d v="2024-01-26T20:16:24"/>
    <d v="2024-01-26T22:15:24"/>
    <x v="81"/>
    <x v="182"/>
    <x v="4"/>
    <x v="1"/>
    <x v="4"/>
    <n v="178"/>
    <n v="44"/>
    <n v="0"/>
    <n v="822"/>
    <n v="222"/>
    <n v="1064"/>
    <x v="0"/>
    <x v="1"/>
  </r>
  <r>
    <n v="197"/>
    <x v="195"/>
    <x v="185"/>
    <d v="2024-01-16T13:11:39"/>
    <d v="2024-01-16T14:04:39"/>
    <x v="6"/>
    <x v="183"/>
    <x v="0"/>
    <x v="2"/>
    <x v="2"/>
    <n v="105"/>
    <n v="42"/>
    <n v="50"/>
    <n v="694"/>
    <n v="97"/>
    <n v="841"/>
    <x v="0"/>
    <x v="2"/>
  </r>
  <r>
    <n v="198"/>
    <x v="196"/>
    <x v="1"/>
    <d v="2024-01-28T13:22:12"/>
    <d v="2024-01-28T15:08:12"/>
    <x v="23"/>
    <x v="180"/>
    <x v="4"/>
    <x v="0"/>
    <x v="1"/>
    <n v="167"/>
    <n v="30"/>
    <n v="0"/>
    <n v="1760"/>
    <n v="197"/>
    <n v="1977"/>
    <x v="0"/>
    <x v="1"/>
  </r>
  <r>
    <n v="199"/>
    <x v="197"/>
    <x v="186"/>
    <d v="2024-01-20T03:39:13"/>
    <d v="2024-01-20T04:12:13"/>
    <x v="30"/>
    <x v="184"/>
    <x v="1"/>
    <x v="1"/>
    <x v="4"/>
    <n v="181"/>
    <n v="40"/>
    <n v="0"/>
    <n v="1706"/>
    <n v="221"/>
    <n v="1967"/>
    <x v="0"/>
    <x v="2"/>
  </r>
  <r>
    <n v="200"/>
    <x v="198"/>
    <x v="187"/>
    <d v="2024-01-13T18:08:47"/>
    <d v="2024-01-13T18:50:47"/>
    <x v="82"/>
    <x v="185"/>
    <x v="1"/>
    <x v="2"/>
    <x v="2"/>
    <n v="79"/>
    <n v="43"/>
    <n v="150"/>
    <n v="1439"/>
    <n v="-28"/>
    <n v="1601"/>
    <x v="0"/>
    <x v="0"/>
  </r>
  <r>
    <n v="201"/>
    <x v="199"/>
    <x v="117"/>
    <d v="2024-01-05T16:26:12"/>
    <d v="2024-01-05T18:08:12"/>
    <x v="29"/>
    <x v="186"/>
    <x v="1"/>
    <x v="1"/>
    <x v="1"/>
    <n v="61"/>
    <n v="41"/>
    <n v="0"/>
    <n v="1559"/>
    <n v="102"/>
    <n v="1701"/>
    <x v="0"/>
    <x v="2"/>
  </r>
  <r>
    <n v="202"/>
    <x v="200"/>
    <x v="188"/>
    <d v="2024-01-20T20:31:39"/>
    <d v="2024-01-20T21:57:39"/>
    <x v="18"/>
    <x v="187"/>
    <x v="0"/>
    <x v="2"/>
    <x v="1"/>
    <n v="84"/>
    <n v="44"/>
    <n v="0"/>
    <n v="1582"/>
    <n v="128"/>
    <n v="1710"/>
    <x v="0"/>
    <x v="0"/>
  </r>
  <r>
    <n v="203"/>
    <x v="201"/>
    <x v="189"/>
    <d v="2024-01-07T14:38:27"/>
    <d v="2024-01-07T15:44:27"/>
    <x v="26"/>
    <x v="188"/>
    <x v="3"/>
    <x v="0"/>
    <x v="4"/>
    <n v="126"/>
    <n v="24"/>
    <n v="150"/>
    <n v="825"/>
    <n v="0"/>
    <n v="1025"/>
    <x v="0"/>
    <x v="0"/>
  </r>
  <r>
    <n v="204"/>
    <x v="202"/>
    <x v="190"/>
    <d v="2024-01-25T00:30:06"/>
    <d v="2024-01-25T01:47:06"/>
    <x v="17"/>
    <x v="189"/>
    <x v="4"/>
    <x v="2"/>
    <x v="2"/>
    <n v="151"/>
    <n v="41"/>
    <n v="0"/>
    <n v="1742"/>
    <n v="192"/>
    <n v="1954"/>
    <x v="0"/>
    <x v="2"/>
  </r>
  <r>
    <n v="205"/>
    <x v="203"/>
    <x v="191"/>
    <d v="2024-01-12T16:09:19"/>
    <d v="2024-01-12T17:49:19"/>
    <x v="13"/>
    <x v="190"/>
    <x v="1"/>
    <x v="1"/>
    <x v="4"/>
    <n v="136"/>
    <n v="15"/>
    <n v="0"/>
    <n v="1122"/>
    <n v="151"/>
    <n v="1313"/>
    <x v="0"/>
    <x v="2"/>
  </r>
  <r>
    <n v="206"/>
    <x v="204"/>
    <x v="192"/>
    <d v="2024-01-30T03:15:34"/>
    <d v="2024-01-30T03:45:34"/>
    <x v="75"/>
    <x v="191"/>
    <x v="4"/>
    <x v="1"/>
    <x v="0"/>
    <n v="101"/>
    <n v="30"/>
    <n v="0"/>
    <n v="628"/>
    <n v="131"/>
    <n v="779"/>
    <x v="0"/>
    <x v="0"/>
  </r>
  <r>
    <n v="207"/>
    <x v="205"/>
    <x v="66"/>
    <d v="2024-01-25T03:30:13"/>
    <d v="2024-01-25T04:59:13"/>
    <x v="4"/>
    <x v="192"/>
    <x v="0"/>
    <x v="1"/>
    <x v="1"/>
    <n v="129"/>
    <n v="42"/>
    <n v="0"/>
    <n v="960"/>
    <n v="171"/>
    <n v="1131"/>
    <x v="0"/>
    <x v="2"/>
  </r>
  <r>
    <n v="208"/>
    <x v="206"/>
    <x v="193"/>
    <d v="2024-01-18T09:08:01"/>
    <d v="2024-01-18T09:49:01"/>
    <x v="53"/>
    <x v="193"/>
    <x v="3"/>
    <x v="1"/>
    <x v="4"/>
    <n v="184"/>
    <n v="41"/>
    <n v="0"/>
    <n v="927"/>
    <n v="225"/>
    <n v="1202"/>
    <x v="0"/>
    <x v="0"/>
  </r>
  <r>
    <n v="209"/>
    <x v="207"/>
    <x v="194"/>
    <d v="2024-02-02T04:04:59"/>
    <d v="2024-02-02T04:54:59"/>
    <x v="19"/>
    <x v="194"/>
    <x v="0"/>
    <x v="0"/>
    <x v="1"/>
    <n v="71"/>
    <n v="28"/>
    <n v="50"/>
    <n v="296"/>
    <n v="49"/>
    <n v="395"/>
    <x v="0"/>
    <x v="0"/>
  </r>
  <r>
    <n v="210"/>
    <x v="208"/>
    <x v="195"/>
    <d v="2024-01-23T03:35:22"/>
    <d v="2024-01-23T04:15:22"/>
    <x v="11"/>
    <x v="195"/>
    <x v="4"/>
    <x v="2"/>
    <x v="2"/>
    <n v="124"/>
    <n v="42"/>
    <n v="100"/>
    <n v="919"/>
    <n v="66"/>
    <n v="1105"/>
    <x v="0"/>
    <x v="2"/>
  </r>
  <r>
    <n v="211"/>
    <x v="209"/>
    <x v="196"/>
    <d v="2024-02-06T02:32:10"/>
    <d v="2024-02-06T03:45:10"/>
    <x v="54"/>
    <x v="196"/>
    <x v="3"/>
    <x v="0"/>
    <x v="3"/>
    <n v="107"/>
    <n v="37"/>
    <n v="0"/>
    <n v="881"/>
    <n v="144"/>
    <n v="1075"/>
    <x v="2"/>
    <x v="3"/>
  </r>
  <r>
    <n v="212"/>
    <x v="210"/>
    <x v="197"/>
    <d v="2024-02-02T12:47:40"/>
    <d v="2024-02-02T14:14:40"/>
    <x v="76"/>
    <x v="197"/>
    <x v="3"/>
    <x v="0"/>
    <x v="4"/>
    <n v="142"/>
    <n v="40"/>
    <n v="150"/>
    <n v="1662"/>
    <n v="32"/>
    <n v="1894"/>
    <x v="0"/>
    <x v="0"/>
  </r>
  <r>
    <n v="213"/>
    <x v="211"/>
    <x v="44"/>
    <d v="2024-01-07T08:28:04"/>
    <d v="2024-01-07T09:41:04"/>
    <x v="54"/>
    <x v="198"/>
    <x v="0"/>
    <x v="0"/>
    <x v="4"/>
    <n v="152"/>
    <n v="30"/>
    <n v="0"/>
    <n v="557"/>
    <n v="182"/>
    <n v="739"/>
    <x v="0"/>
    <x v="2"/>
  </r>
  <r>
    <n v="214"/>
    <x v="212"/>
    <x v="198"/>
    <d v="2024-01-24T03:20:54"/>
    <d v="2024-01-24T05:07:54"/>
    <x v="78"/>
    <x v="5"/>
    <x v="1"/>
    <x v="1"/>
    <x v="1"/>
    <n v="189"/>
    <n v="43"/>
    <n v="0"/>
    <n v="207"/>
    <n v="232"/>
    <n v="479"/>
    <x v="0"/>
    <x v="2"/>
  </r>
  <r>
    <n v="215"/>
    <x v="213"/>
    <x v="199"/>
    <d v="2024-01-10T20:15:38"/>
    <d v="2024-01-10T21:18:38"/>
    <x v="43"/>
    <x v="199"/>
    <x v="4"/>
    <x v="1"/>
    <x v="2"/>
    <n v="56"/>
    <n v="24"/>
    <n v="0"/>
    <n v="647"/>
    <n v="80"/>
    <n v="747"/>
    <x v="0"/>
    <x v="1"/>
  </r>
  <r>
    <n v="216"/>
    <x v="187"/>
    <x v="200"/>
    <d v="2024-02-06T03:16:06"/>
    <d v="2024-02-06T04:10:06"/>
    <x v="32"/>
    <x v="200"/>
    <x v="2"/>
    <x v="1"/>
    <x v="0"/>
    <n v="177"/>
    <n v="23"/>
    <n v="0"/>
    <n v="338"/>
    <n v="200"/>
    <n v="568"/>
    <x v="2"/>
    <x v="2"/>
  </r>
  <r>
    <n v="217"/>
    <x v="214"/>
    <x v="201"/>
    <d v="2024-01-12T10:17:51"/>
    <d v="2024-01-12T10:50:51"/>
    <x v="30"/>
    <x v="201"/>
    <x v="2"/>
    <x v="2"/>
    <x v="2"/>
    <n v="104"/>
    <n v="28"/>
    <n v="0"/>
    <n v="1135"/>
    <n v="132"/>
    <n v="1297"/>
    <x v="0"/>
    <x v="2"/>
  </r>
  <r>
    <n v="218"/>
    <x v="215"/>
    <x v="202"/>
    <d v="2024-01-01T16:26:22"/>
    <d v="2024-01-01T17:59:22"/>
    <x v="73"/>
    <x v="202"/>
    <x v="0"/>
    <x v="1"/>
    <x v="4"/>
    <n v="155"/>
    <n v="24"/>
    <n v="0"/>
    <n v="862"/>
    <n v="179"/>
    <n v="1041"/>
    <x v="0"/>
    <x v="2"/>
  </r>
  <r>
    <n v="219"/>
    <x v="216"/>
    <x v="116"/>
    <d v="2024-01-29T07:34:19"/>
    <d v="2024-01-29T09:33:19"/>
    <x v="81"/>
    <x v="203"/>
    <x v="4"/>
    <x v="2"/>
    <x v="0"/>
    <n v="111"/>
    <n v="15"/>
    <n v="0"/>
    <n v="803"/>
    <n v="126"/>
    <n v="949"/>
    <x v="0"/>
    <x v="2"/>
  </r>
  <r>
    <n v="220"/>
    <x v="217"/>
    <x v="203"/>
    <d v="2024-01-28T18:16:46"/>
    <d v="2024-01-28T19:01:46"/>
    <x v="83"/>
    <x v="204"/>
    <x v="4"/>
    <x v="1"/>
    <x v="2"/>
    <n v="139"/>
    <n v="18"/>
    <n v="0"/>
    <n v="1713"/>
    <n v="157"/>
    <n v="1890"/>
    <x v="0"/>
    <x v="0"/>
  </r>
  <r>
    <n v="221"/>
    <x v="218"/>
    <x v="204"/>
    <d v="2024-01-16T19:40:08"/>
    <d v="2024-01-16T20:19:08"/>
    <x v="70"/>
    <x v="205"/>
    <x v="0"/>
    <x v="1"/>
    <x v="3"/>
    <n v="147"/>
    <n v="46"/>
    <n v="0"/>
    <n v="425"/>
    <n v="193"/>
    <n v="618"/>
    <x v="0"/>
    <x v="2"/>
  </r>
  <r>
    <n v="222"/>
    <x v="219"/>
    <x v="205"/>
    <d v="2024-01-20T16:41:07"/>
    <d v="2024-01-20T18:16:07"/>
    <x v="84"/>
    <x v="206"/>
    <x v="4"/>
    <x v="0"/>
    <x v="1"/>
    <n v="126"/>
    <n v="29"/>
    <n v="0"/>
    <n v="920"/>
    <n v="155"/>
    <n v="1095"/>
    <x v="0"/>
    <x v="2"/>
  </r>
  <r>
    <n v="223"/>
    <x v="220"/>
    <x v="206"/>
    <d v="2024-01-14T18:09:14"/>
    <d v="2024-01-14T19:13:14"/>
    <x v="33"/>
    <x v="207"/>
    <x v="1"/>
    <x v="0"/>
    <x v="2"/>
    <n v="168"/>
    <n v="43"/>
    <n v="0"/>
    <n v="957"/>
    <n v="211"/>
    <n v="1208"/>
    <x v="2"/>
    <x v="2"/>
  </r>
  <r>
    <n v="224"/>
    <x v="221"/>
    <x v="207"/>
    <d v="2024-01-10T12:42:26"/>
    <d v="2024-01-10T14:34:26"/>
    <x v="65"/>
    <x v="208"/>
    <x v="0"/>
    <x v="0"/>
    <x v="2"/>
    <n v="85"/>
    <n v="47"/>
    <n v="0"/>
    <n v="922"/>
    <n v="132"/>
    <n v="1054"/>
    <x v="2"/>
    <x v="0"/>
  </r>
  <r>
    <n v="225"/>
    <x v="222"/>
    <x v="175"/>
    <d v="2024-02-04T15:38:54"/>
    <d v="2024-02-04T16:13:54"/>
    <x v="1"/>
    <x v="209"/>
    <x v="1"/>
    <x v="2"/>
    <x v="3"/>
    <n v="138"/>
    <n v="35"/>
    <n v="0"/>
    <n v="1189"/>
    <n v="173"/>
    <n v="1402"/>
    <x v="0"/>
    <x v="2"/>
  </r>
  <r>
    <n v="226"/>
    <x v="223"/>
    <x v="135"/>
    <d v="2024-02-03T04:29:00"/>
    <d v="2024-02-03T05:17:00"/>
    <x v="77"/>
    <x v="210"/>
    <x v="4"/>
    <x v="2"/>
    <x v="4"/>
    <n v="194"/>
    <n v="27"/>
    <n v="150"/>
    <n v="830"/>
    <n v="71"/>
    <n v="1071"/>
    <x v="0"/>
    <x v="4"/>
  </r>
  <r>
    <n v="227"/>
    <x v="224"/>
    <x v="208"/>
    <d v="2024-01-03T23:48:37"/>
    <d v="2024-01-04T01:16:37"/>
    <x v="0"/>
    <x v="211"/>
    <x v="0"/>
    <x v="1"/>
    <x v="1"/>
    <n v="179"/>
    <n v="37"/>
    <n v="0"/>
    <n v="827"/>
    <n v="216"/>
    <n v="1043"/>
    <x v="0"/>
    <x v="0"/>
  </r>
  <r>
    <n v="228"/>
    <x v="225"/>
    <x v="209"/>
    <d v="2024-01-12T01:19:14"/>
    <d v="2024-01-12T02:41:14"/>
    <x v="41"/>
    <x v="212"/>
    <x v="4"/>
    <x v="2"/>
    <x v="2"/>
    <n v="190"/>
    <n v="18"/>
    <n v="0"/>
    <n v="46"/>
    <n v="208"/>
    <n v="274"/>
    <x v="0"/>
    <x v="0"/>
  </r>
  <r>
    <n v="229"/>
    <x v="226"/>
    <x v="210"/>
    <d v="2024-01-16T16:58:53"/>
    <d v="2024-01-16T17:35:53"/>
    <x v="28"/>
    <x v="213"/>
    <x v="0"/>
    <x v="1"/>
    <x v="0"/>
    <n v="142"/>
    <n v="41"/>
    <n v="0"/>
    <n v="1121"/>
    <n v="183"/>
    <n v="1304"/>
    <x v="0"/>
    <x v="2"/>
  </r>
  <r>
    <n v="230"/>
    <x v="227"/>
    <x v="211"/>
    <d v="2024-01-26T20:37:16"/>
    <d v="2024-01-26T22:24:16"/>
    <x v="78"/>
    <x v="214"/>
    <x v="4"/>
    <x v="2"/>
    <x v="2"/>
    <n v="163"/>
    <n v="15"/>
    <n v="0"/>
    <n v="1160"/>
    <n v="178"/>
    <n v="1358"/>
    <x v="0"/>
    <x v="2"/>
  </r>
  <r>
    <n v="231"/>
    <x v="228"/>
    <x v="212"/>
    <d v="2024-01-09T03:57:55"/>
    <d v="2024-01-09T04:36:55"/>
    <x v="70"/>
    <x v="215"/>
    <x v="1"/>
    <x v="2"/>
    <x v="1"/>
    <n v="77"/>
    <n v="23"/>
    <n v="0"/>
    <n v="87"/>
    <n v="100"/>
    <n v="227"/>
    <x v="0"/>
    <x v="0"/>
  </r>
  <r>
    <n v="232"/>
    <x v="229"/>
    <x v="131"/>
    <d v="2024-02-01T00:12:36"/>
    <d v="2024-02-01T01:48:36"/>
    <x v="61"/>
    <x v="216"/>
    <x v="1"/>
    <x v="2"/>
    <x v="2"/>
    <n v="192"/>
    <n v="37"/>
    <n v="0"/>
    <n v="1150"/>
    <n v="229"/>
    <n v="1419"/>
    <x v="0"/>
    <x v="2"/>
  </r>
  <r>
    <n v="233"/>
    <x v="230"/>
    <x v="213"/>
    <d v="2024-02-04T11:02:11"/>
    <d v="2024-02-04T12:09:11"/>
    <x v="48"/>
    <x v="143"/>
    <x v="4"/>
    <x v="0"/>
    <x v="3"/>
    <n v="82"/>
    <n v="33"/>
    <n v="0"/>
    <n v="1519"/>
    <n v="115"/>
    <n v="1654"/>
    <x v="0"/>
    <x v="0"/>
  </r>
  <r>
    <n v="234"/>
    <x v="231"/>
    <x v="214"/>
    <d v="2024-01-09T15:46:53"/>
    <d v="2024-01-09T16:44:53"/>
    <x v="2"/>
    <x v="217"/>
    <x v="0"/>
    <x v="2"/>
    <x v="2"/>
    <n v="69"/>
    <n v="22"/>
    <n v="0"/>
    <n v="1105"/>
    <n v="91"/>
    <n v="1196"/>
    <x v="0"/>
    <x v="3"/>
  </r>
  <r>
    <n v="235"/>
    <x v="137"/>
    <x v="37"/>
    <d v="2024-02-02T06:41:30"/>
    <d v="2024-02-02T07:25:30"/>
    <x v="22"/>
    <x v="218"/>
    <x v="2"/>
    <x v="0"/>
    <x v="2"/>
    <n v="189"/>
    <n v="21"/>
    <n v="0"/>
    <n v="820"/>
    <n v="210"/>
    <n v="1060"/>
    <x v="2"/>
    <x v="2"/>
  </r>
  <r>
    <n v="236"/>
    <x v="232"/>
    <x v="215"/>
    <d v="2024-01-15T11:47:58"/>
    <d v="2024-01-15T13:43:58"/>
    <x v="57"/>
    <x v="219"/>
    <x v="1"/>
    <x v="0"/>
    <x v="0"/>
    <n v="150"/>
    <n v="28"/>
    <n v="0"/>
    <n v="100"/>
    <n v="178"/>
    <n v="318"/>
    <x v="0"/>
    <x v="2"/>
  </r>
  <r>
    <n v="237"/>
    <x v="233"/>
    <x v="216"/>
    <d v="2024-01-02T16:08:59"/>
    <d v="2024-01-02T17:00:59"/>
    <x v="52"/>
    <x v="220"/>
    <x v="1"/>
    <x v="2"/>
    <x v="3"/>
    <n v="72"/>
    <n v="30"/>
    <n v="0"/>
    <n v="209"/>
    <n v="102"/>
    <n v="351"/>
    <x v="0"/>
    <x v="2"/>
  </r>
  <r>
    <n v="238"/>
    <x v="234"/>
    <x v="30"/>
    <d v="2024-01-05T21:50:26"/>
    <d v="2024-01-05T23:41:26"/>
    <x v="20"/>
    <x v="221"/>
    <x v="2"/>
    <x v="1"/>
    <x v="3"/>
    <n v="161"/>
    <n v="36"/>
    <n v="0"/>
    <n v="1731"/>
    <n v="197"/>
    <n v="1958"/>
    <x v="0"/>
    <x v="2"/>
  </r>
  <r>
    <n v="239"/>
    <x v="235"/>
    <x v="217"/>
    <d v="2024-02-07T19:42:07"/>
    <d v="2024-02-07T20:57:07"/>
    <x v="51"/>
    <x v="222"/>
    <x v="4"/>
    <x v="1"/>
    <x v="2"/>
    <n v="63"/>
    <n v="28"/>
    <n v="0"/>
    <n v="1266"/>
    <n v="91"/>
    <n v="1377"/>
    <x v="0"/>
    <x v="2"/>
  </r>
  <r>
    <n v="240"/>
    <x v="236"/>
    <x v="218"/>
    <d v="2024-02-07T17:42:01"/>
    <d v="2024-02-07T19:34:01"/>
    <x v="65"/>
    <x v="223"/>
    <x v="0"/>
    <x v="1"/>
    <x v="0"/>
    <n v="140"/>
    <n v="33"/>
    <n v="0"/>
    <n v="391"/>
    <n v="173"/>
    <n v="564"/>
    <x v="0"/>
    <x v="0"/>
  </r>
  <r>
    <n v="241"/>
    <x v="237"/>
    <x v="219"/>
    <d v="2024-01-17T10:08:17"/>
    <d v="2024-01-17T11:05:17"/>
    <x v="64"/>
    <x v="224"/>
    <x v="4"/>
    <x v="2"/>
    <x v="2"/>
    <n v="126"/>
    <n v="35"/>
    <n v="0"/>
    <n v="1713"/>
    <n v="161"/>
    <n v="1894"/>
    <x v="0"/>
    <x v="0"/>
  </r>
  <r>
    <n v="242"/>
    <x v="238"/>
    <x v="220"/>
    <d v="2024-01-25T09:57:21"/>
    <d v="2024-01-25T10:52:21"/>
    <x v="27"/>
    <x v="225"/>
    <x v="3"/>
    <x v="1"/>
    <x v="2"/>
    <n v="134"/>
    <n v="37"/>
    <n v="100"/>
    <n v="1175"/>
    <n v="71"/>
    <n v="1396"/>
    <x v="0"/>
    <x v="2"/>
  </r>
  <r>
    <n v="243"/>
    <x v="239"/>
    <x v="221"/>
    <d v="2024-01-09T02:32:16"/>
    <d v="2024-01-09T03:11:16"/>
    <x v="70"/>
    <x v="226"/>
    <x v="1"/>
    <x v="0"/>
    <x v="1"/>
    <n v="158"/>
    <n v="27"/>
    <n v="0"/>
    <n v="545"/>
    <n v="185"/>
    <n v="770"/>
    <x v="0"/>
    <x v="2"/>
  </r>
  <r>
    <n v="244"/>
    <x v="240"/>
    <x v="222"/>
    <d v="2024-01-09T02:09:16"/>
    <d v="2024-01-09T03:25:16"/>
    <x v="37"/>
    <x v="227"/>
    <x v="3"/>
    <x v="1"/>
    <x v="1"/>
    <n v="80"/>
    <n v="45"/>
    <n v="50"/>
    <n v="799"/>
    <n v="75"/>
    <n v="974"/>
    <x v="0"/>
    <x v="3"/>
  </r>
  <r>
    <n v="245"/>
    <x v="241"/>
    <x v="223"/>
    <d v="2024-01-24T00:34:11"/>
    <d v="2024-01-24T01:07:11"/>
    <x v="30"/>
    <x v="39"/>
    <x v="1"/>
    <x v="2"/>
    <x v="0"/>
    <n v="171"/>
    <n v="38"/>
    <n v="50"/>
    <n v="1178"/>
    <n v="159"/>
    <n v="1427"/>
    <x v="0"/>
    <x v="4"/>
  </r>
  <r>
    <n v="246"/>
    <x v="242"/>
    <x v="224"/>
    <d v="2024-01-01T23:59:25"/>
    <d v="2024-01-02T01:23:25"/>
    <x v="67"/>
    <x v="228"/>
    <x v="1"/>
    <x v="1"/>
    <x v="4"/>
    <n v="156"/>
    <n v="26"/>
    <n v="0"/>
    <n v="1148"/>
    <n v="182"/>
    <n v="1370"/>
    <x v="0"/>
    <x v="0"/>
  </r>
  <r>
    <n v="247"/>
    <x v="243"/>
    <x v="225"/>
    <d v="2024-01-25T02:58:18"/>
    <d v="2024-01-25T04:33:18"/>
    <x v="84"/>
    <x v="229"/>
    <x v="3"/>
    <x v="0"/>
    <x v="1"/>
    <n v="103"/>
    <n v="13"/>
    <n v="0"/>
    <n v="590"/>
    <n v="116"/>
    <n v="756"/>
    <x v="0"/>
    <x v="0"/>
  </r>
  <r>
    <n v="248"/>
    <x v="244"/>
    <x v="226"/>
    <d v="2024-01-09T17:42:30"/>
    <d v="2024-01-09T19:18:30"/>
    <x v="61"/>
    <x v="230"/>
    <x v="3"/>
    <x v="2"/>
    <x v="4"/>
    <n v="182"/>
    <n v="38"/>
    <n v="0"/>
    <n v="764"/>
    <n v="220"/>
    <n v="1034"/>
    <x v="0"/>
    <x v="0"/>
  </r>
  <r>
    <n v="249"/>
    <x v="245"/>
    <x v="227"/>
    <d v="2024-01-23T13:23:42"/>
    <d v="2024-01-23T13:59:42"/>
    <x v="46"/>
    <x v="231"/>
    <x v="4"/>
    <x v="1"/>
    <x v="3"/>
    <n v="190"/>
    <n v="13"/>
    <n v="0"/>
    <n v="1654"/>
    <n v="203"/>
    <n v="1877"/>
    <x v="0"/>
    <x v="1"/>
  </r>
  <r>
    <n v="250"/>
    <x v="246"/>
    <x v="228"/>
    <d v="2024-01-03T00:40:11"/>
    <d v="2024-01-03T02:04:11"/>
    <x v="67"/>
    <x v="29"/>
    <x v="3"/>
    <x v="2"/>
    <x v="1"/>
    <n v="92"/>
    <n v="19"/>
    <n v="100"/>
    <n v="354"/>
    <n v="11"/>
    <n v="515"/>
    <x v="0"/>
    <x v="1"/>
  </r>
  <r>
    <n v="251"/>
    <x v="247"/>
    <x v="229"/>
    <d v="2024-02-07T05:58:36"/>
    <d v="2024-02-07T07:47:36"/>
    <x v="49"/>
    <x v="232"/>
    <x v="4"/>
    <x v="2"/>
    <x v="1"/>
    <n v="138"/>
    <n v="34"/>
    <n v="0"/>
    <n v="203"/>
    <n v="172"/>
    <n v="395"/>
    <x v="0"/>
    <x v="1"/>
  </r>
  <r>
    <n v="252"/>
    <x v="248"/>
    <x v="135"/>
    <d v="2024-01-01T17:40:46"/>
    <d v="2024-01-01T18:40:46"/>
    <x v="31"/>
    <x v="233"/>
    <x v="4"/>
    <x v="2"/>
    <x v="0"/>
    <n v="164"/>
    <n v="40"/>
    <n v="0"/>
    <n v="275"/>
    <n v="204"/>
    <n v="499"/>
    <x v="0"/>
    <x v="4"/>
  </r>
  <r>
    <n v="253"/>
    <x v="18"/>
    <x v="57"/>
    <d v="2024-01-04T01:49:58"/>
    <d v="2024-01-04T03:32:58"/>
    <x v="74"/>
    <x v="234"/>
    <x v="4"/>
    <x v="1"/>
    <x v="4"/>
    <n v="148"/>
    <n v="12"/>
    <n v="0"/>
    <n v="1706"/>
    <n v="160"/>
    <n v="1886"/>
    <x v="2"/>
    <x v="1"/>
  </r>
  <r>
    <n v="254"/>
    <x v="249"/>
    <x v="230"/>
    <d v="2024-01-18T17:13:34"/>
    <d v="2024-01-18T18:01:34"/>
    <x v="77"/>
    <x v="235"/>
    <x v="1"/>
    <x v="2"/>
    <x v="1"/>
    <n v="96"/>
    <n v="11"/>
    <n v="0"/>
    <n v="1325"/>
    <n v="107"/>
    <n v="1472"/>
    <x v="0"/>
    <x v="0"/>
  </r>
  <r>
    <n v="255"/>
    <x v="250"/>
    <x v="53"/>
    <d v="2024-01-22T10:55:51"/>
    <d v="2024-01-22T11:52:51"/>
    <x v="64"/>
    <x v="236"/>
    <x v="1"/>
    <x v="1"/>
    <x v="1"/>
    <n v="120"/>
    <n v="34"/>
    <n v="0"/>
    <n v="1600"/>
    <n v="154"/>
    <n v="1794"/>
    <x v="0"/>
    <x v="2"/>
  </r>
  <r>
    <n v="256"/>
    <x v="251"/>
    <x v="231"/>
    <d v="2024-01-22T19:09:36"/>
    <d v="2024-01-22T20:59:36"/>
    <x v="7"/>
    <x v="237"/>
    <x v="3"/>
    <x v="0"/>
    <x v="0"/>
    <n v="116"/>
    <n v="15"/>
    <n v="0"/>
    <n v="1260"/>
    <n v="131"/>
    <n v="1441"/>
    <x v="0"/>
    <x v="2"/>
  </r>
  <r>
    <n v="257"/>
    <x v="252"/>
    <x v="72"/>
    <d v="2024-02-02T17:11:24"/>
    <d v="2024-02-02T18:08:24"/>
    <x v="64"/>
    <x v="182"/>
    <x v="1"/>
    <x v="1"/>
    <x v="0"/>
    <n v="111"/>
    <n v="35"/>
    <n v="100"/>
    <n v="898"/>
    <n v="46"/>
    <n v="1084"/>
    <x v="0"/>
    <x v="2"/>
  </r>
  <r>
    <n v="258"/>
    <x v="253"/>
    <x v="232"/>
    <d v="2024-02-04T23:11:37"/>
    <d v="2024-02-04T23:59:37"/>
    <x v="77"/>
    <x v="238"/>
    <x v="3"/>
    <x v="0"/>
    <x v="4"/>
    <n v="158"/>
    <n v="17"/>
    <n v="0"/>
    <n v="1733"/>
    <n v="175"/>
    <n v="1958"/>
    <x v="2"/>
    <x v="2"/>
  </r>
  <r>
    <n v="259"/>
    <x v="254"/>
    <x v="233"/>
    <d v="2024-02-07T19:04:23"/>
    <d v="2024-02-07T21:00:23"/>
    <x v="57"/>
    <x v="149"/>
    <x v="1"/>
    <x v="1"/>
    <x v="3"/>
    <n v="86"/>
    <n v="44"/>
    <n v="0"/>
    <n v="1057"/>
    <n v="130"/>
    <n v="1227"/>
    <x v="0"/>
    <x v="5"/>
  </r>
  <r>
    <n v="260"/>
    <x v="255"/>
    <x v="234"/>
    <d v="2024-01-02T19:14:43"/>
    <d v="2024-01-02T20:03:43"/>
    <x v="21"/>
    <x v="239"/>
    <x v="0"/>
    <x v="2"/>
    <x v="3"/>
    <n v="168"/>
    <n v="36"/>
    <n v="0"/>
    <n v="705"/>
    <n v="204"/>
    <n v="909"/>
    <x v="0"/>
    <x v="2"/>
  </r>
  <r>
    <n v="261"/>
    <x v="256"/>
    <x v="235"/>
    <d v="2024-02-04T18:17:55"/>
    <d v="2024-02-04T18:59:55"/>
    <x v="82"/>
    <x v="240"/>
    <x v="0"/>
    <x v="1"/>
    <x v="2"/>
    <n v="135"/>
    <n v="34"/>
    <n v="0"/>
    <n v="1304"/>
    <n v="169"/>
    <n v="1473"/>
    <x v="0"/>
    <x v="1"/>
  </r>
  <r>
    <n v="262"/>
    <x v="257"/>
    <x v="236"/>
    <d v="2024-01-08T07:37:39"/>
    <d v="2024-01-08T09:23:39"/>
    <x v="23"/>
    <x v="241"/>
    <x v="3"/>
    <x v="2"/>
    <x v="1"/>
    <n v="175"/>
    <n v="27"/>
    <n v="0"/>
    <n v="822"/>
    <n v="202"/>
    <n v="1074"/>
    <x v="0"/>
    <x v="0"/>
  </r>
  <r>
    <n v="263"/>
    <x v="258"/>
    <x v="237"/>
    <d v="2024-01-07T05:00:37"/>
    <d v="2024-01-07T06:12:37"/>
    <x v="35"/>
    <x v="242"/>
    <x v="1"/>
    <x v="0"/>
    <x v="4"/>
    <n v="185"/>
    <n v="10"/>
    <n v="0"/>
    <n v="398"/>
    <n v="195"/>
    <n v="633"/>
    <x v="0"/>
    <x v="0"/>
  </r>
  <r>
    <n v="264"/>
    <x v="259"/>
    <x v="238"/>
    <d v="2024-01-17T07:53:42"/>
    <d v="2024-01-17T08:33:42"/>
    <x v="11"/>
    <x v="243"/>
    <x v="1"/>
    <x v="1"/>
    <x v="1"/>
    <n v="101"/>
    <n v="48"/>
    <n v="150"/>
    <n v="1497"/>
    <n v="-1"/>
    <n v="1686"/>
    <x v="0"/>
    <x v="0"/>
  </r>
  <r>
    <n v="265"/>
    <x v="260"/>
    <x v="239"/>
    <d v="2024-01-16T20:31:49"/>
    <d v="2024-01-16T21:48:49"/>
    <x v="17"/>
    <x v="244"/>
    <x v="4"/>
    <x v="2"/>
    <x v="4"/>
    <n v="140"/>
    <n v="12"/>
    <n v="100"/>
    <n v="1069"/>
    <n v="52"/>
    <n v="1241"/>
    <x v="0"/>
    <x v="0"/>
  </r>
  <r>
    <n v="266"/>
    <x v="261"/>
    <x v="240"/>
    <d v="2024-01-21T23:17:20"/>
    <d v="2024-01-22T00:01:20"/>
    <x v="22"/>
    <x v="245"/>
    <x v="2"/>
    <x v="0"/>
    <x v="4"/>
    <n v="82"/>
    <n v="13"/>
    <n v="0"/>
    <n v="1099"/>
    <n v="95"/>
    <n v="1224"/>
    <x v="0"/>
    <x v="0"/>
  </r>
  <r>
    <n v="267"/>
    <x v="262"/>
    <x v="102"/>
    <d v="2024-01-24T00:09:15"/>
    <d v="2024-01-24T00:55:15"/>
    <x v="3"/>
    <x v="246"/>
    <x v="3"/>
    <x v="0"/>
    <x v="4"/>
    <n v="130"/>
    <n v="50"/>
    <n v="0"/>
    <n v="283"/>
    <n v="180"/>
    <n v="513"/>
    <x v="0"/>
    <x v="4"/>
  </r>
  <r>
    <n v="268"/>
    <x v="263"/>
    <x v="241"/>
    <d v="2024-01-23T01:27:19"/>
    <d v="2024-01-23T02:50:19"/>
    <x v="85"/>
    <x v="247"/>
    <x v="2"/>
    <x v="1"/>
    <x v="1"/>
    <n v="91"/>
    <n v="46"/>
    <n v="0"/>
    <n v="532"/>
    <n v="137"/>
    <n v="699"/>
    <x v="0"/>
    <x v="0"/>
  </r>
  <r>
    <n v="269"/>
    <x v="264"/>
    <x v="242"/>
    <d v="2024-01-07T13:29:16"/>
    <d v="2024-01-07T14:48:16"/>
    <x v="10"/>
    <x v="248"/>
    <x v="2"/>
    <x v="0"/>
    <x v="0"/>
    <n v="161"/>
    <n v="24"/>
    <n v="0"/>
    <n v="1740"/>
    <n v="185"/>
    <n v="1955"/>
    <x v="0"/>
    <x v="0"/>
  </r>
  <r>
    <n v="270"/>
    <x v="265"/>
    <x v="243"/>
    <d v="2024-01-17T20:17:45"/>
    <d v="2024-01-17T21:14:45"/>
    <x v="64"/>
    <x v="249"/>
    <x v="3"/>
    <x v="2"/>
    <x v="1"/>
    <n v="175"/>
    <n v="17"/>
    <n v="0"/>
    <n v="670"/>
    <n v="192"/>
    <n v="912"/>
    <x v="0"/>
    <x v="2"/>
  </r>
  <r>
    <n v="271"/>
    <x v="266"/>
    <x v="244"/>
    <d v="2024-01-12T12:09:30"/>
    <d v="2024-01-12T14:01:30"/>
    <x v="65"/>
    <x v="232"/>
    <x v="1"/>
    <x v="0"/>
    <x v="4"/>
    <n v="185"/>
    <n v="47"/>
    <n v="0"/>
    <n v="143"/>
    <n v="232"/>
    <n v="415"/>
    <x v="0"/>
    <x v="2"/>
  </r>
  <r>
    <n v="272"/>
    <x v="267"/>
    <x v="245"/>
    <d v="2024-02-01T08:40:44"/>
    <d v="2024-02-01T09:13:44"/>
    <x v="30"/>
    <x v="250"/>
    <x v="3"/>
    <x v="0"/>
    <x v="2"/>
    <n v="200"/>
    <n v="28"/>
    <n v="0"/>
    <n v="-79"/>
    <n v="228"/>
    <n v="199"/>
    <x v="0"/>
    <x v="0"/>
  </r>
  <r>
    <n v="273"/>
    <x v="268"/>
    <x v="246"/>
    <d v="2024-01-03T10:50:30"/>
    <d v="2024-01-03T11:41:30"/>
    <x v="5"/>
    <x v="251"/>
    <x v="2"/>
    <x v="2"/>
    <x v="3"/>
    <n v="155"/>
    <n v="35"/>
    <n v="0"/>
    <n v="1291"/>
    <n v="190"/>
    <n v="1511"/>
    <x v="0"/>
    <x v="1"/>
  </r>
  <r>
    <n v="274"/>
    <x v="269"/>
    <x v="247"/>
    <d v="2024-01-15T09:51:17"/>
    <d v="2024-01-15T11:46:17"/>
    <x v="86"/>
    <x v="252"/>
    <x v="1"/>
    <x v="0"/>
    <x v="4"/>
    <n v="174"/>
    <n v="48"/>
    <n v="100"/>
    <n v="605"/>
    <n v="122"/>
    <n v="867"/>
    <x v="0"/>
    <x v="0"/>
  </r>
  <r>
    <n v="275"/>
    <x v="270"/>
    <x v="248"/>
    <d v="2024-01-27T04:24:52"/>
    <d v="2024-01-27T05:32:52"/>
    <x v="15"/>
    <x v="253"/>
    <x v="0"/>
    <x v="0"/>
    <x v="2"/>
    <n v="162"/>
    <n v="19"/>
    <n v="0"/>
    <n v="824"/>
    <n v="181"/>
    <n v="1005"/>
    <x v="0"/>
    <x v="2"/>
  </r>
  <r>
    <n v="276"/>
    <x v="271"/>
    <x v="152"/>
    <d v="2024-01-21T17:58:45"/>
    <d v="2024-01-21T19:01:45"/>
    <x v="43"/>
    <x v="254"/>
    <x v="3"/>
    <x v="0"/>
    <x v="0"/>
    <n v="113"/>
    <n v="47"/>
    <n v="100"/>
    <n v="867"/>
    <n v="60"/>
    <n v="1077"/>
    <x v="0"/>
    <x v="1"/>
  </r>
  <r>
    <n v="277"/>
    <x v="180"/>
    <x v="249"/>
    <d v="2024-01-27T21:05:12"/>
    <d v="2024-01-27T22:18:12"/>
    <x v="54"/>
    <x v="255"/>
    <x v="3"/>
    <x v="0"/>
    <x v="4"/>
    <n v="172"/>
    <n v="23"/>
    <n v="0"/>
    <n v="468"/>
    <n v="195"/>
    <n v="713"/>
    <x v="2"/>
    <x v="0"/>
  </r>
  <r>
    <n v="278"/>
    <x v="272"/>
    <x v="250"/>
    <d v="2024-01-07T12:01:12"/>
    <d v="2024-01-07T13:12:12"/>
    <x v="14"/>
    <x v="256"/>
    <x v="1"/>
    <x v="2"/>
    <x v="2"/>
    <n v="163"/>
    <n v="50"/>
    <n v="150"/>
    <n v="669"/>
    <n v="63"/>
    <n v="922"/>
    <x v="0"/>
    <x v="3"/>
  </r>
  <r>
    <n v="279"/>
    <x v="273"/>
    <x v="159"/>
    <d v="2024-01-07T00:59:58"/>
    <d v="2024-01-07T02:08:58"/>
    <x v="87"/>
    <x v="257"/>
    <x v="0"/>
    <x v="0"/>
    <x v="4"/>
    <n v="69"/>
    <n v="28"/>
    <n v="0"/>
    <n v="487"/>
    <n v="97"/>
    <n v="584"/>
    <x v="0"/>
    <x v="2"/>
  </r>
  <r>
    <n v="280"/>
    <x v="274"/>
    <x v="251"/>
    <d v="2024-02-01T06:56:09"/>
    <d v="2024-02-01T07:37:09"/>
    <x v="53"/>
    <x v="258"/>
    <x v="0"/>
    <x v="2"/>
    <x v="1"/>
    <n v="65"/>
    <n v="39"/>
    <n v="0"/>
    <n v="1103"/>
    <n v="104"/>
    <n v="1207"/>
    <x v="0"/>
    <x v="2"/>
  </r>
  <r>
    <n v="281"/>
    <x v="221"/>
    <x v="252"/>
    <d v="2024-01-21T22:13:12"/>
    <d v="2024-01-21T22:44:12"/>
    <x v="60"/>
    <x v="221"/>
    <x v="1"/>
    <x v="0"/>
    <x v="2"/>
    <n v="194"/>
    <n v="14"/>
    <n v="0"/>
    <n v="1720"/>
    <n v="208"/>
    <n v="1968"/>
    <x v="2"/>
    <x v="0"/>
  </r>
  <r>
    <n v="282"/>
    <x v="275"/>
    <x v="253"/>
    <d v="2024-01-01T20:56:28"/>
    <d v="2024-01-01T21:53:28"/>
    <x v="64"/>
    <x v="259"/>
    <x v="4"/>
    <x v="0"/>
    <x v="1"/>
    <n v="68"/>
    <n v="40"/>
    <n v="150"/>
    <n v="1653"/>
    <n v="-42"/>
    <n v="1781"/>
    <x v="0"/>
    <x v="2"/>
  </r>
  <r>
    <n v="283"/>
    <x v="276"/>
    <x v="254"/>
    <d v="2024-01-31T16:54:01"/>
    <d v="2024-01-31T18:37:01"/>
    <x v="74"/>
    <x v="260"/>
    <x v="3"/>
    <x v="0"/>
    <x v="1"/>
    <n v="169"/>
    <n v="16"/>
    <n v="100"/>
    <n v="1746"/>
    <n v="85"/>
    <n v="1981"/>
    <x v="0"/>
    <x v="2"/>
  </r>
  <r>
    <n v="284"/>
    <x v="277"/>
    <x v="41"/>
    <d v="2024-01-31T06:37:59"/>
    <d v="2024-01-31T08:32:59"/>
    <x v="86"/>
    <x v="261"/>
    <x v="3"/>
    <x v="0"/>
    <x v="2"/>
    <n v="185"/>
    <n v="28"/>
    <n v="150"/>
    <n v="470"/>
    <n v="63"/>
    <n v="733"/>
    <x v="0"/>
    <x v="1"/>
  </r>
  <r>
    <n v="285"/>
    <x v="278"/>
    <x v="5"/>
    <d v="2024-01-21T13:16:07"/>
    <d v="2024-01-21T15:06:07"/>
    <x v="7"/>
    <x v="169"/>
    <x v="2"/>
    <x v="2"/>
    <x v="3"/>
    <n v="87"/>
    <n v="40"/>
    <n v="0"/>
    <n v="1292"/>
    <n v="127"/>
    <n v="1449"/>
    <x v="0"/>
    <x v="2"/>
  </r>
  <r>
    <n v="286"/>
    <x v="279"/>
    <x v="255"/>
    <d v="2024-01-27T23:09:13"/>
    <d v="2024-01-28T01:08:13"/>
    <x v="81"/>
    <x v="262"/>
    <x v="1"/>
    <x v="2"/>
    <x v="2"/>
    <n v="142"/>
    <n v="48"/>
    <n v="0"/>
    <n v="145"/>
    <n v="190"/>
    <n v="375"/>
    <x v="0"/>
    <x v="2"/>
  </r>
  <r>
    <n v="287"/>
    <x v="280"/>
    <x v="256"/>
    <d v="2024-02-07T21:19:22"/>
    <d v="2024-02-07T22:55:22"/>
    <x v="61"/>
    <x v="28"/>
    <x v="2"/>
    <x v="2"/>
    <x v="3"/>
    <n v="154"/>
    <n v="33"/>
    <n v="50"/>
    <n v="-32"/>
    <n v="137"/>
    <n v="185"/>
    <x v="0"/>
    <x v="2"/>
  </r>
  <r>
    <n v="288"/>
    <x v="17"/>
    <x v="158"/>
    <d v="2024-01-13T12:44:20"/>
    <d v="2024-01-13T14:24:20"/>
    <x v="13"/>
    <x v="263"/>
    <x v="2"/>
    <x v="1"/>
    <x v="4"/>
    <n v="149"/>
    <n v="43"/>
    <n v="50"/>
    <n v="267"/>
    <n v="142"/>
    <n v="489"/>
    <x v="2"/>
    <x v="3"/>
  </r>
  <r>
    <n v="289"/>
    <x v="281"/>
    <x v="257"/>
    <d v="2024-01-16T01:07:15"/>
    <d v="2024-01-16T02:48:15"/>
    <x v="71"/>
    <x v="264"/>
    <x v="0"/>
    <x v="0"/>
    <x v="4"/>
    <n v="139"/>
    <n v="32"/>
    <n v="0"/>
    <n v="38"/>
    <n v="171"/>
    <n v="209"/>
    <x v="0"/>
    <x v="0"/>
  </r>
  <r>
    <n v="290"/>
    <x v="282"/>
    <x v="172"/>
    <d v="2024-01-20T11:38:25"/>
    <d v="2024-01-20T13:31:25"/>
    <x v="42"/>
    <x v="265"/>
    <x v="3"/>
    <x v="0"/>
    <x v="2"/>
    <n v="93"/>
    <n v="49"/>
    <n v="50"/>
    <n v="149"/>
    <n v="92"/>
    <n v="341"/>
    <x v="0"/>
    <x v="1"/>
  </r>
  <r>
    <n v="291"/>
    <x v="283"/>
    <x v="145"/>
    <d v="2024-01-26T11:44:23"/>
    <d v="2024-01-26T13:29:23"/>
    <x v="24"/>
    <x v="266"/>
    <x v="2"/>
    <x v="2"/>
    <x v="4"/>
    <n v="125"/>
    <n v="15"/>
    <n v="100"/>
    <n v="863"/>
    <n v="40"/>
    <n v="1033"/>
    <x v="0"/>
    <x v="1"/>
  </r>
  <r>
    <n v="292"/>
    <x v="284"/>
    <x v="258"/>
    <d v="2024-01-18T08:00:18"/>
    <d v="2024-01-18T09:50:18"/>
    <x v="7"/>
    <x v="267"/>
    <x v="0"/>
    <x v="1"/>
    <x v="0"/>
    <n v="194"/>
    <n v="47"/>
    <n v="0"/>
    <n v="975"/>
    <n v="241"/>
    <n v="1216"/>
    <x v="0"/>
    <x v="2"/>
  </r>
  <r>
    <n v="293"/>
    <x v="285"/>
    <x v="259"/>
    <d v="2024-01-30T05:53:39"/>
    <d v="2024-01-30T06:32:39"/>
    <x v="70"/>
    <x v="268"/>
    <x v="1"/>
    <x v="0"/>
    <x v="1"/>
    <n v="128"/>
    <n v="50"/>
    <n v="0"/>
    <n v="783"/>
    <n v="178"/>
    <n v="1001"/>
    <x v="0"/>
    <x v="2"/>
  </r>
  <r>
    <n v="294"/>
    <x v="286"/>
    <x v="15"/>
    <d v="2024-01-27T03:48:54"/>
    <d v="2024-01-27T05:43:54"/>
    <x v="86"/>
    <x v="269"/>
    <x v="2"/>
    <x v="2"/>
    <x v="1"/>
    <n v="122"/>
    <n v="45"/>
    <n v="0"/>
    <n v="500"/>
    <n v="167"/>
    <n v="697"/>
    <x v="0"/>
    <x v="2"/>
  </r>
  <r>
    <n v="295"/>
    <x v="287"/>
    <x v="260"/>
    <d v="2024-01-28T17:22:17"/>
    <d v="2024-01-28T18:48:17"/>
    <x v="18"/>
    <x v="270"/>
    <x v="3"/>
    <x v="0"/>
    <x v="3"/>
    <n v="189"/>
    <n v="36"/>
    <n v="150"/>
    <n v="958"/>
    <n v="75"/>
    <n v="1233"/>
    <x v="0"/>
    <x v="0"/>
  </r>
  <r>
    <n v="296"/>
    <x v="288"/>
    <x v="261"/>
    <d v="2024-01-03T17:06:26"/>
    <d v="2024-01-03T19:01:26"/>
    <x v="86"/>
    <x v="271"/>
    <x v="2"/>
    <x v="0"/>
    <x v="4"/>
    <n v="145"/>
    <n v="20"/>
    <n v="150"/>
    <n v="584"/>
    <n v="15"/>
    <n v="779"/>
    <x v="0"/>
    <x v="1"/>
  </r>
  <r>
    <n v="297"/>
    <x v="289"/>
    <x v="142"/>
    <d v="2024-01-15T09:52:09"/>
    <d v="2024-01-15T10:58:09"/>
    <x v="26"/>
    <x v="272"/>
    <x v="1"/>
    <x v="2"/>
    <x v="3"/>
    <n v="138"/>
    <n v="14"/>
    <n v="0"/>
    <n v="-14"/>
    <n v="152"/>
    <n v="178"/>
    <x v="0"/>
    <x v="2"/>
  </r>
  <r>
    <n v="298"/>
    <x v="290"/>
    <x v="262"/>
    <d v="2024-01-30T14:49:04"/>
    <d v="2024-01-30T16:35:04"/>
    <x v="23"/>
    <x v="8"/>
    <x v="2"/>
    <x v="2"/>
    <x v="1"/>
    <n v="152"/>
    <n v="26"/>
    <n v="0"/>
    <n v="1485"/>
    <n v="178"/>
    <n v="1693"/>
    <x v="0"/>
    <x v="0"/>
  </r>
  <r>
    <n v="299"/>
    <x v="291"/>
    <x v="263"/>
    <d v="2024-01-06T19:12:54"/>
    <d v="2024-01-06T20:45:54"/>
    <x v="73"/>
    <x v="273"/>
    <x v="3"/>
    <x v="0"/>
    <x v="1"/>
    <n v="195"/>
    <n v="16"/>
    <n v="100"/>
    <n v="961"/>
    <n v="111"/>
    <n v="1222"/>
    <x v="0"/>
    <x v="0"/>
  </r>
  <r>
    <n v="300"/>
    <x v="292"/>
    <x v="264"/>
    <d v="2024-02-03T08:29:37"/>
    <d v="2024-02-03T10:17:37"/>
    <x v="88"/>
    <x v="274"/>
    <x v="0"/>
    <x v="0"/>
    <x v="4"/>
    <n v="55"/>
    <n v="36"/>
    <n v="0"/>
    <n v="1452"/>
    <n v="91"/>
    <n v="1543"/>
    <x v="0"/>
    <x v="0"/>
  </r>
  <r>
    <n v="301"/>
    <x v="293"/>
    <x v="265"/>
    <d v="2024-02-01T19:36:36"/>
    <d v="2024-02-01T21:31:36"/>
    <x v="86"/>
    <x v="275"/>
    <x v="3"/>
    <x v="2"/>
    <x v="0"/>
    <n v="171"/>
    <n v="24"/>
    <n v="0"/>
    <n v="541"/>
    <n v="195"/>
    <n v="786"/>
    <x v="0"/>
    <x v="2"/>
  </r>
  <r>
    <n v="302"/>
    <x v="294"/>
    <x v="266"/>
    <d v="2024-01-03T06:14:06"/>
    <d v="2024-01-03T07:23:06"/>
    <x v="87"/>
    <x v="276"/>
    <x v="0"/>
    <x v="0"/>
    <x v="0"/>
    <n v="165"/>
    <n v="22"/>
    <n v="0"/>
    <n v="949"/>
    <n v="187"/>
    <n v="1136"/>
    <x v="0"/>
    <x v="2"/>
  </r>
  <r>
    <n v="303"/>
    <x v="295"/>
    <x v="216"/>
    <d v="2024-01-28T02:56:34"/>
    <d v="2024-01-28T04:25:34"/>
    <x v="4"/>
    <x v="277"/>
    <x v="4"/>
    <x v="0"/>
    <x v="4"/>
    <n v="111"/>
    <n v="20"/>
    <n v="50"/>
    <n v="4"/>
    <n v="81"/>
    <n v="155"/>
    <x v="0"/>
    <x v="2"/>
  </r>
  <r>
    <n v="304"/>
    <x v="296"/>
    <x v="267"/>
    <d v="2024-01-06T21:58:03"/>
    <d v="2024-01-06T23:15:03"/>
    <x v="17"/>
    <x v="278"/>
    <x v="3"/>
    <x v="2"/>
    <x v="4"/>
    <n v="193"/>
    <n v="35"/>
    <n v="0"/>
    <n v="-28"/>
    <n v="228"/>
    <n v="250"/>
    <x v="0"/>
    <x v="0"/>
  </r>
  <r>
    <n v="305"/>
    <x v="297"/>
    <x v="102"/>
    <d v="2024-01-25T11:26:25"/>
    <d v="2024-01-25T12:14:25"/>
    <x v="77"/>
    <x v="279"/>
    <x v="3"/>
    <x v="0"/>
    <x v="3"/>
    <n v="185"/>
    <n v="31"/>
    <n v="0"/>
    <n v="1701"/>
    <n v="216"/>
    <n v="1967"/>
    <x v="0"/>
    <x v="4"/>
  </r>
  <r>
    <n v="306"/>
    <x v="298"/>
    <x v="268"/>
    <d v="2024-01-12T17:13:04"/>
    <d v="2024-01-12T18:54:04"/>
    <x v="71"/>
    <x v="280"/>
    <x v="1"/>
    <x v="0"/>
    <x v="4"/>
    <n v="138"/>
    <n v="37"/>
    <n v="150"/>
    <n v="1034"/>
    <n v="25"/>
    <n v="1249"/>
    <x v="0"/>
    <x v="2"/>
  </r>
  <r>
    <n v="307"/>
    <x v="299"/>
    <x v="269"/>
    <d v="2024-01-11T00:49:24"/>
    <d v="2024-01-11T01:51:24"/>
    <x v="80"/>
    <x v="281"/>
    <x v="2"/>
    <x v="1"/>
    <x v="0"/>
    <n v="145"/>
    <n v="33"/>
    <n v="0"/>
    <n v="1461"/>
    <n v="178"/>
    <n v="1669"/>
    <x v="0"/>
    <x v="2"/>
  </r>
  <r>
    <n v="308"/>
    <x v="300"/>
    <x v="270"/>
    <d v="2024-01-01T13:38:24"/>
    <d v="2024-01-01T14:51:24"/>
    <x v="54"/>
    <x v="225"/>
    <x v="0"/>
    <x v="2"/>
    <x v="4"/>
    <n v="175"/>
    <n v="38"/>
    <n v="0"/>
    <n v="1133"/>
    <n v="213"/>
    <n v="1346"/>
    <x v="0"/>
    <x v="1"/>
  </r>
  <r>
    <n v="309"/>
    <x v="301"/>
    <x v="271"/>
    <d v="2024-02-05T08:57:57"/>
    <d v="2024-02-05T10:03:57"/>
    <x v="26"/>
    <x v="282"/>
    <x v="0"/>
    <x v="1"/>
    <x v="3"/>
    <n v="139"/>
    <n v="18"/>
    <n v="50"/>
    <n v="1304"/>
    <n v="107"/>
    <n v="1461"/>
    <x v="2"/>
    <x v="1"/>
  </r>
  <r>
    <n v="310"/>
    <x v="302"/>
    <x v="272"/>
    <d v="2024-01-10T23:54:23"/>
    <d v="2024-01-11T01:52:23"/>
    <x v="72"/>
    <x v="73"/>
    <x v="1"/>
    <x v="1"/>
    <x v="3"/>
    <n v="135"/>
    <n v="13"/>
    <n v="0"/>
    <n v="117"/>
    <n v="148"/>
    <n v="305"/>
    <x v="0"/>
    <x v="0"/>
  </r>
  <r>
    <n v="311"/>
    <x v="303"/>
    <x v="273"/>
    <d v="2024-02-07T04:48:36"/>
    <d v="2024-02-07T05:53:36"/>
    <x v="47"/>
    <x v="97"/>
    <x v="1"/>
    <x v="1"/>
    <x v="3"/>
    <n v="187"/>
    <n v="27"/>
    <n v="0"/>
    <n v="268"/>
    <n v="214"/>
    <n v="522"/>
    <x v="0"/>
    <x v="0"/>
  </r>
  <r>
    <n v="312"/>
    <x v="304"/>
    <x v="274"/>
    <d v="2024-01-19T09:21:18"/>
    <d v="2024-01-19T11:11:18"/>
    <x v="7"/>
    <x v="283"/>
    <x v="2"/>
    <x v="0"/>
    <x v="3"/>
    <n v="170"/>
    <n v="25"/>
    <n v="0"/>
    <n v="1784"/>
    <n v="195"/>
    <n v="2009"/>
    <x v="0"/>
    <x v="2"/>
  </r>
  <r>
    <n v="313"/>
    <x v="305"/>
    <x v="275"/>
    <d v="2024-02-07T11:31:46"/>
    <d v="2024-02-07T13:28:46"/>
    <x v="45"/>
    <x v="284"/>
    <x v="2"/>
    <x v="0"/>
    <x v="2"/>
    <n v="125"/>
    <n v="42"/>
    <n v="0"/>
    <n v="1332"/>
    <n v="167"/>
    <n v="1529"/>
    <x v="0"/>
    <x v="0"/>
  </r>
  <r>
    <n v="314"/>
    <x v="306"/>
    <x v="24"/>
    <d v="2024-02-02T05:57:47"/>
    <d v="2024-02-02T06:47:47"/>
    <x v="19"/>
    <x v="285"/>
    <x v="3"/>
    <x v="1"/>
    <x v="4"/>
    <n v="141"/>
    <n v="38"/>
    <n v="0"/>
    <n v="1415"/>
    <n v="179"/>
    <n v="1644"/>
    <x v="0"/>
    <x v="2"/>
  </r>
  <r>
    <n v="315"/>
    <x v="307"/>
    <x v="276"/>
    <d v="2024-01-07T12:51:18"/>
    <d v="2024-01-07T13:22:18"/>
    <x v="60"/>
    <x v="286"/>
    <x v="4"/>
    <x v="1"/>
    <x v="1"/>
    <n v="119"/>
    <n v="48"/>
    <n v="0"/>
    <n v="722"/>
    <n v="167"/>
    <n v="909"/>
    <x v="0"/>
    <x v="2"/>
  </r>
  <r>
    <n v="316"/>
    <x v="308"/>
    <x v="277"/>
    <d v="2024-01-14T04:43:54"/>
    <d v="2024-01-14T05:43:54"/>
    <x v="31"/>
    <x v="287"/>
    <x v="2"/>
    <x v="1"/>
    <x v="4"/>
    <n v="197"/>
    <n v="19"/>
    <n v="50"/>
    <n v="1549"/>
    <n v="166"/>
    <n v="1795"/>
    <x v="0"/>
    <x v="0"/>
  </r>
  <r>
    <n v="317"/>
    <x v="309"/>
    <x v="278"/>
    <d v="2024-01-25T22:39:05"/>
    <d v="2024-01-25T23:38:05"/>
    <x v="44"/>
    <x v="288"/>
    <x v="1"/>
    <x v="0"/>
    <x v="2"/>
    <n v="182"/>
    <n v="18"/>
    <n v="0"/>
    <n v="-70"/>
    <n v="200"/>
    <n v="170"/>
    <x v="0"/>
    <x v="2"/>
  </r>
  <r>
    <n v="318"/>
    <x v="310"/>
    <x v="109"/>
    <d v="2024-01-03T09:09:28"/>
    <d v="2024-01-03T10:54:28"/>
    <x v="24"/>
    <x v="289"/>
    <x v="2"/>
    <x v="1"/>
    <x v="3"/>
    <n v="72"/>
    <n v="40"/>
    <n v="0"/>
    <n v="1386"/>
    <n v="112"/>
    <n v="1528"/>
    <x v="0"/>
    <x v="1"/>
  </r>
  <r>
    <n v="319"/>
    <x v="311"/>
    <x v="279"/>
    <d v="2024-01-14T23:14:21"/>
    <d v="2024-01-15T00:27:21"/>
    <x v="54"/>
    <x v="290"/>
    <x v="0"/>
    <x v="1"/>
    <x v="2"/>
    <n v="186"/>
    <n v="37"/>
    <n v="50"/>
    <n v="-113"/>
    <n v="173"/>
    <n v="110"/>
    <x v="0"/>
    <x v="2"/>
  </r>
  <r>
    <n v="320"/>
    <x v="312"/>
    <x v="280"/>
    <d v="2024-01-09T22:12:28"/>
    <d v="2024-01-09T22:53:28"/>
    <x v="53"/>
    <x v="291"/>
    <x v="4"/>
    <x v="2"/>
    <x v="0"/>
    <n v="107"/>
    <n v="12"/>
    <n v="0"/>
    <n v="1306"/>
    <n v="119"/>
    <n v="1445"/>
    <x v="0"/>
    <x v="2"/>
  </r>
  <r>
    <n v="321"/>
    <x v="313"/>
    <x v="274"/>
    <d v="2024-02-06T02:33:32"/>
    <d v="2024-02-06T03:53:32"/>
    <x v="9"/>
    <x v="292"/>
    <x v="3"/>
    <x v="2"/>
    <x v="0"/>
    <n v="95"/>
    <n v="23"/>
    <n v="100"/>
    <n v="77"/>
    <n v="18"/>
    <n v="245"/>
    <x v="0"/>
    <x v="2"/>
  </r>
  <r>
    <n v="322"/>
    <x v="314"/>
    <x v="281"/>
    <d v="2024-02-03T11:03:25"/>
    <d v="2024-02-03T12:21:25"/>
    <x v="34"/>
    <x v="293"/>
    <x v="0"/>
    <x v="0"/>
    <x v="4"/>
    <n v="71"/>
    <n v="34"/>
    <n v="150"/>
    <n v="1208"/>
    <n v="-45"/>
    <n v="1313"/>
    <x v="0"/>
    <x v="0"/>
  </r>
  <r>
    <n v="323"/>
    <x v="315"/>
    <x v="282"/>
    <d v="2024-01-09T14:11:36"/>
    <d v="2024-01-09T15:04:36"/>
    <x v="6"/>
    <x v="294"/>
    <x v="0"/>
    <x v="2"/>
    <x v="4"/>
    <n v="57"/>
    <n v="24"/>
    <n v="0"/>
    <n v="471"/>
    <n v="81"/>
    <n v="552"/>
    <x v="2"/>
    <x v="0"/>
  </r>
  <r>
    <n v="324"/>
    <x v="316"/>
    <x v="283"/>
    <d v="2024-01-24T21:39:13"/>
    <d v="2024-01-24T22:32:13"/>
    <x v="6"/>
    <x v="265"/>
    <x v="4"/>
    <x v="2"/>
    <x v="1"/>
    <n v="172"/>
    <n v="11"/>
    <n v="100"/>
    <n v="108"/>
    <n v="83"/>
    <n v="311"/>
    <x v="0"/>
    <x v="0"/>
  </r>
  <r>
    <n v="325"/>
    <x v="317"/>
    <x v="185"/>
    <d v="2024-01-07T06:33:35"/>
    <d v="2024-01-07T08:02:35"/>
    <x v="4"/>
    <x v="295"/>
    <x v="3"/>
    <x v="2"/>
    <x v="1"/>
    <n v="69"/>
    <n v="33"/>
    <n v="0"/>
    <n v="483"/>
    <n v="102"/>
    <n v="635"/>
    <x v="0"/>
    <x v="2"/>
  </r>
  <r>
    <n v="326"/>
    <x v="318"/>
    <x v="215"/>
    <d v="2024-02-04T16:13:22"/>
    <d v="2024-02-04T16:53:22"/>
    <x v="11"/>
    <x v="296"/>
    <x v="1"/>
    <x v="0"/>
    <x v="0"/>
    <n v="127"/>
    <n v="23"/>
    <n v="50"/>
    <n v="1239"/>
    <n v="100"/>
    <n v="1429"/>
    <x v="0"/>
    <x v="2"/>
  </r>
  <r>
    <n v="327"/>
    <x v="319"/>
    <x v="84"/>
    <d v="2024-01-19T06:07:02"/>
    <d v="2024-01-19T06:49:02"/>
    <x v="82"/>
    <x v="297"/>
    <x v="3"/>
    <x v="2"/>
    <x v="3"/>
    <n v="88"/>
    <n v="16"/>
    <n v="0"/>
    <n v="1443"/>
    <n v="104"/>
    <n v="1597"/>
    <x v="0"/>
    <x v="4"/>
  </r>
  <r>
    <n v="328"/>
    <x v="320"/>
    <x v="284"/>
    <d v="2024-01-03T23:34:41"/>
    <d v="2024-01-04T01:15:41"/>
    <x v="71"/>
    <x v="298"/>
    <x v="2"/>
    <x v="0"/>
    <x v="2"/>
    <n v="86"/>
    <n v="45"/>
    <n v="0"/>
    <n v="1120"/>
    <n v="131"/>
    <n v="1281"/>
    <x v="0"/>
    <x v="0"/>
  </r>
  <r>
    <n v="329"/>
    <x v="321"/>
    <x v="285"/>
    <d v="2024-01-02T02:06:58"/>
    <d v="2024-01-02T03:49:58"/>
    <x v="74"/>
    <x v="299"/>
    <x v="0"/>
    <x v="1"/>
    <x v="1"/>
    <n v="124"/>
    <n v="33"/>
    <n v="0"/>
    <n v="180"/>
    <n v="157"/>
    <n v="337"/>
    <x v="0"/>
    <x v="2"/>
  </r>
  <r>
    <n v="330"/>
    <x v="322"/>
    <x v="286"/>
    <d v="2024-01-17T14:39:37"/>
    <d v="2024-01-17T16:20:37"/>
    <x v="71"/>
    <x v="85"/>
    <x v="2"/>
    <x v="2"/>
    <x v="1"/>
    <n v="167"/>
    <n v="36"/>
    <n v="0"/>
    <n v="1275"/>
    <n v="203"/>
    <n v="1508"/>
    <x v="0"/>
    <x v="0"/>
  </r>
  <r>
    <n v="331"/>
    <x v="323"/>
    <x v="287"/>
    <d v="2024-01-24T03:03:17"/>
    <d v="2024-01-24T04:36:17"/>
    <x v="73"/>
    <x v="165"/>
    <x v="1"/>
    <x v="0"/>
    <x v="3"/>
    <n v="153"/>
    <n v="46"/>
    <n v="0"/>
    <n v="1036"/>
    <n v="199"/>
    <n v="1275"/>
    <x v="0"/>
    <x v="0"/>
  </r>
  <r>
    <n v="332"/>
    <x v="324"/>
    <x v="23"/>
    <d v="2024-01-24T18:46:20"/>
    <d v="2024-01-24T19:35:20"/>
    <x v="21"/>
    <x v="300"/>
    <x v="2"/>
    <x v="2"/>
    <x v="3"/>
    <n v="80"/>
    <n v="47"/>
    <n v="0"/>
    <n v="1824"/>
    <n v="127"/>
    <n v="1981"/>
    <x v="2"/>
    <x v="1"/>
  </r>
  <r>
    <n v="333"/>
    <x v="325"/>
    <x v="95"/>
    <d v="2024-01-03T15:38:24"/>
    <d v="2024-01-03T17:19:24"/>
    <x v="71"/>
    <x v="301"/>
    <x v="3"/>
    <x v="1"/>
    <x v="4"/>
    <n v="172"/>
    <n v="39"/>
    <n v="150"/>
    <n v="1358"/>
    <n v="61"/>
    <n v="1619"/>
    <x v="0"/>
    <x v="1"/>
  </r>
  <r>
    <n v="334"/>
    <x v="326"/>
    <x v="214"/>
    <d v="2024-01-10T17:56:26"/>
    <d v="2024-01-10T19:38:26"/>
    <x v="29"/>
    <x v="140"/>
    <x v="2"/>
    <x v="0"/>
    <x v="2"/>
    <n v="103"/>
    <n v="36"/>
    <n v="0"/>
    <n v="1327"/>
    <n v="139"/>
    <n v="1496"/>
    <x v="0"/>
    <x v="3"/>
  </r>
  <r>
    <n v="335"/>
    <x v="327"/>
    <x v="288"/>
    <d v="2024-01-03T05:45:10"/>
    <d v="2024-01-03T07:25:10"/>
    <x v="13"/>
    <x v="302"/>
    <x v="1"/>
    <x v="0"/>
    <x v="3"/>
    <n v="83"/>
    <n v="48"/>
    <n v="50"/>
    <n v="1137"/>
    <n v="81"/>
    <n v="1308"/>
    <x v="0"/>
    <x v="1"/>
  </r>
  <r>
    <n v="336"/>
    <x v="328"/>
    <x v="289"/>
    <d v="2024-01-14T09:47:03"/>
    <d v="2024-01-14T11:34:03"/>
    <x v="78"/>
    <x v="303"/>
    <x v="1"/>
    <x v="0"/>
    <x v="1"/>
    <n v="171"/>
    <n v="24"/>
    <n v="0"/>
    <n v="993"/>
    <n v="195"/>
    <n v="1228"/>
    <x v="0"/>
    <x v="2"/>
  </r>
  <r>
    <n v="337"/>
    <x v="329"/>
    <x v="231"/>
    <d v="2024-01-24T02:17:31"/>
    <d v="2024-01-24T03:14:31"/>
    <x v="64"/>
    <x v="304"/>
    <x v="1"/>
    <x v="1"/>
    <x v="1"/>
    <n v="162"/>
    <n v="35"/>
    <n v="0"/>
    <n v="1173"/>
    <n v="197"/>
    <n v="1410"/>
    <x v="0"/>
    <x v="2"/>
  </r>
  <r>
    <n v="338"/>
    <x v="330"/>
    <x v="290"/>
    <d v="2024-01-18T06:48:13"/>
    <d v="2024-01-18T07:19:13"/>
    <x v="60"/>
    <x v="305"/>
    <x v="3"/>
    <x v="1"/>
    <x v="0"/>
    <n v="111"/>
    <n v="10"/>
    <n v="0"/>
    <n v="713"/>
    <n v="121"/>
    <n v="884"/>
    <x v="0"/>
    <x v="1"/>
  </r>
  <r>
    <n v="339"/>
    <x v="331"/>
    <x v="16"/>
    <d v="2024-01-30T12:41:54"/>
    <d v="2024-01-30T13:53:54"/>
    <x v="35"/>
    <x v="306"/>
    <x v="1"/>
    <x v="1"/>
    <x v="3"/>
    <n v="72"/>
    <n v="13"/>
    <n v="0"/>
    <n v="1005"/>
    <n v="85"/>
    <n v="1130"/>
    <x v="2"/>
    <x v="3"/>
  </r>
  <r>
    <n v="340"/>
    <x v="332"/>
    <x v="291"/>
    <d v="2024-02-03T19:40:51"/>
    <d v="2024-02-03T20:17:51"/>
    <x v="28"/>
    <x v="307"/>
    <x v="0"/>
    <x v="0"/>
    <x v="4"/>
    <n v="95"/>
    <n v="38"/>
    <n v="0"/>
    <n v="1480"/>
    <n v="133"/>
    <n v="1613"/>
    <x v="0"/>
    <x v="0"/>
  </r>
  <r>
    <n v="341"/>
    <x v="333"/>
    <x v="292"/>
    <d v="2024-02-05T02:18:01"/>
    <d v="2024-02-05T03:00:01"/>
    <x v="82"/>
    <x v="227"/>
    <x v="1"/>
    <x v="1"/>
    <x v="2"/>
    <n v="105"/>
    <n v="10"/>
    <n v="0"/>
    <n v="809"/>
    <n v="115"/>
    <n v="964"/>
    <x v="0"/>
    <x v="1"/>
  </r>
  <r>
    <n v="342"/>
    <x v="334"/>
    <x v="293"/>
    <d v="2024-01-16T13:30:13"/>
    <d v="2024-01-16T15:24:13"/>
    <x v="8"/>
    <x v="308"/>
    <x v="2"/>
    <x v="2"/>
    <x v="4"/>
    <n v="184"/>
    <n v="31"/>
    <n v="0"/>
    <n v="1347"/>
    <n v="215"/>
    <n v="1592"/>
    <x v="0"/>
    <x v="2"/>
  </r>
  <r>
    <n v="343"/>
    <x v="335"/>
    <x v="294"/>
    <d v="2024-01-14T00:28:25"/>
    <d v="2024-01-14T01:32:25"/>
    <x v="33"/>
    <x v="309"/>
    <x v="2"/>
    <x v="1"/>
    <x v="1"/>
    <n v="167"/>
    <n v="20"/>
    <n v="0"/>
    <n v="18"/>
    <n v="187"/>
    <n v="235"/>
    <x v="0"/>
    <x v="0"/>
  </r>
  <r>
    <n v="344"/>
    <x v="336"/>
    <x v="295"/>
    <d v="2024-01-13T11:53:03"/>
    <d v="2024-01-13T12:45:03"/>
    <x v="52"/>
    <x v="310"/>
    <x v="2"/>
    <x v="0"/>
    <x v="4"/>
    <n v="180"/>
    <n v="19"/>
    <n v="0"/>
    <n v="81"/>
    <n v="199"/>
    <n v="310"/>
    <x v="0"/>
    <x v="0"/>
  </r>
  <r>
    <n v="345"/>
    <x v="337"/>
    <x v="255"/>
    <d v="2024-02-05T22:45:58"/>
    <d v="2024-02-06T00:00:58"/>
    <x v="51"/>
    <x v="311"/>
    <x v="3"/>
    <x v="2"/>
    <x v="1"/>
    <n v="162"/>
    <n v="26"/>
    <n v="0"/>
    <n v="95"/>
    <n v="188"/>
    <n v="333"/>
    <x v="0"/>
    <x v="2"/>
  </r>
  <r>
    <n v="346"/>
    <x v="338"/>
    <x v="296"/>
    <d v="2024-01-09T01:01:32"/>
    <d v="2024-01-09T01:45:32"/>
    <x v="22"/>
    <x v="312"/>
    <x v="2"/>
    <x v="1"/>
    <x v="1"/>
    <n v="93"/>
    <n v="45"/>
    <n v="100"/>
    <n v="187"/>
    <n v="38"/>
    <n v="355"/>
    <x v="0"/>
    <x v="2"/>
  </r>
  <r>
    <n v="347"/>
    <x v="339"/>
    <x v="297"/>
    <d v="2024-01-16T19:09:33"/>
    <d v="2024-01-16T19:40:33"/>
    <x v="60"/>
    <x v="313"/>
    <x v="3"/>
    <x v="2"/>
    <x v="1"/>
    <n v="177"/>
    <n v="35"/>
    <n v="0"/>
    <n v="664"/>
    <n v="212"/>
    <n v="926"/>
    <x v="0"/>
    <x v="2"/>
  </r>
  <r>
    <n v="348"/>
    <x v="340"/>
    <x v="217"/>
    <d v="2024-01-13T06:41:39"/>
    <d v="2024-01-13T08:11:39"/>
    <x v="38"/>
    <x v="286"/>
    <x v="3"/>
    <x v="2"/>
    <x v="1"/>
    <n v="157"/>
    <n v="30"/>
    <n v="100"/>
    <n v="702"/>
    <n v="87"/>
    <n v="939"/>
    <x v="0"/>
    <x v="2"/>
  </r>
  <r>
    <n v="349"/>
    <x v="341"/>
    <x v="298"/>
    <d v="2024-02-04T15:55:19"/>
    <d v="2024-02-04T17:40:19"/>
    <x v="24"/>
    <x v="314"/>
    <x v="1"/>
    <x v="0"/>
    <x v="1"/>
    <n v="66"/>
    <n v="22"/>
    <n v="100"/>
    <n v="1124"/>
    <n v="-12"/>
    <n v="1252"/>
    <x v="2"/>
    <x v="2"/>
  </r>
  <r>
    <n v="350"/>
    <x v="342"/>
    <x v="204"/>
    <d v="2024-02-07T17:01:24"/>
    <d v="2024-02-07T18:34:24"/>
    <x v="73"/>
    <x v="44"/>
    <x v="0"/>
    <x v="2"/>
    <x v="0"/>
    <n v="108"/>
    <n v="18"/>
    <n v="0"/>
    <n v="661"/>
    <n v="126"/>
    <n v="787"/>
    <x v="0"/>
    <x v="2"/>
  </r>
  <r>
    <n v="351"/>
    <x v="343"/>
    <x v="299"/>
    <d v="2024-02-01T14:59:44"/>
    <d v="2024-02-01T16:20:44"/>
    <x v="50"/>
    <x v="315"/>
    <x v="1"/>
    <x v="2"/>
    <x v="4"/>
    <n v="187"/>
    <n v="20"/>
    <n v="0"/>
    <n v="422"/>
    <n v="207"/>
    <n v="669"/>
    <x v="0"/>
    <x v="0"/>
  </r>
  <r>
    <n v="352"/>
    <x v="344"/>
    <x v="196"/>
    <d v="2024-01-03T08:47:31"/>
    <d v="2024-01-03T09:52:31"/>
    <x v="47"/>
    <x v="316"/>
    <x v="1"/>
    <x v="0"/>
    <x v="0"/>
    <n v="148"/>
    <n v="20"/>
    <n v="0"/>
    <n v="1326"/>
    <n v="168"/>
    <n v="1534"/>
    <x v="0"/>
    <x v="3"/>
  </r>
  <r>
    <n v="353"/>
    <x v="345"/>
    <x v="300"/>
    <d v="2024-01-23T22:04:50"/>
    <d v="2024-01-23T23:40:50"/>
    <x v="61"/>
    <x v="317"/>
    <x v="3"/>
    <x v="0"/>
    <x v="0"/>
    <n v="133"/>
    <n v="15"/>
    <n v="100"/>
    <n v="923"/>
    <n v="48"/>
    <n v="1121"/>
    <x v="0"/>
    <x v="1"/>
  </r>
  <r>
    <n v="354"/>
    <x v="346"/>
    <x v="301"/>
    <d v="2024-01-07T10:20:55"/>
    <d v="2024-01-07T11:58:55"/>
    <x v="16"/>
    <x v="318"/>
    <x v="3"/>
    <x v="0"/>
    <x v="3"/>
    <n v="195"/>
    <n v="10"/>
    <n v="50"/>
    <n v="830"/>
    <n v="155"/>
    <n v="1085"/>
    <x v="0"/>
    <x v="0"/>
  </r>
  <r>
    <n v="355"/>
    <x v="347"/>
    <x v="302"/>
    <d v="2024-02-07T00:59:12"/>
    <d v="2024-02-07T02:35:12"/>
    <x v="61"/>
    <x v="319"/>
    <x v="2"/>
    <x v="2"/>
    <x v="3"/>
    <n v="94"/>
    <n v="15"/>
    <n v="0"/>
    <n v="1413"/>
    <n v="109"/>
    <n v="1552"/>
    <x v="0"/>
    <x v="2"/>
  </r>
  <r>
    <n v="356"/>
    <x v="348"/>
    <x v="303"/>
    <d v="2024-01-05T16:02:02"/>
    <d v="2024-01-05T17:18:02"/>
    <x v="37"/>
    <x v="309"/>
    <x v="2"/>
    <x v="2"/>
    <x v="3"/>
    <n v="157"/>
    <n v="22"/>
    <n v="0"/>
    <n v="26"/>
    <n v="179"/>
    <n v="235"/>
    <x v="0"/>
    <x v="1"/>
  </r>
  <r>
    <n v="357"/>
    <x v="349"/>
    <x v="20"/>
    <d v="2024-01-26T01:26:00"/>
    <d v="2024-01-26T03:18:00"/>
    <x v="65"/>
    <x v="320"/>
    <x v="1"/>
    <x v="2"/>
    <x v="2"/>
    <n v="111"/>
    <n v="31"/>
    <n v="0"/>
    <n v="1252"/>
    <n v="142"/>
    <n v="1434"/>
    <x v="0"/>
    <x v="2"/>
  </r>
  <r>
    <n v="358"/>
    <x v="253"/>
    <x v="304"/>
    <d v="2024-01-05T08:52:19"/>
    <d v="2024-01-05T09:23:19"/>
    <x v="60"/>
    <x v="321"/>
    <x v="4"/>
    <x v="0"/>
    <x v="3"/>
    <n v="108"/>
    <n v="40"/>
    <n v="0"/>
    <n v="782"/>
    <n v="148"/>
    <n v="950"/>
    <x v="2"/>
    <x v="1"/>
  </r>
  <r>
    <n v="359"/>
    <x v="350"/>
    <x v="305"/>
    <d v="2024-01-02T08:21:32"/>
    <d v="2024-01-02T09:34:32"/>
    <x v="54"/>
    <x v="322"/>
    <x v="4"/>
    <x v="1"/>
    <x v="4"/>
    <n v="187"/>
    <n v="31"/>
    <n v="0"/>
    <n v="1408"/>
    <n v="218"/>
    <n v="1646"/>
    <x v="0"/>
    <x v="0"/>
  </r>
  <r>
    <n v="360"/>
    <x v="351"/>
    <x v="306"/>
    <d v="2024-01-26T02:36:32"/>
    <d v="2024-01-26T04:09:32"/>
    <x v="73"/>
    <x v="323"/>
    <x v="2"/>
    <x v="2"/>
    <x v="0"/>
    <n v="60"/>
    <n v="46"/>
    <n v="0"/>
    <n v="672"/>
    <n v="106"/>
    <n v="808"/>
    <x v="0"/>
    <x v="2"/>
  </r>
  <r>
    <n v="361"/>
    <x v="352"/>
    <x v="307"/>
    <d v="2024-01-12T10:05:53"/>
    <d v="2024-01-12T11:55:53"/>
    <x v="7"/>
    <x v="324"/>
    <x v="4"/>
    <x v="1"/>
    <x v="4"/>
    <n v="151"/>
    <n v="36"/>
    <n v="0"/>
    <n v="1461"/>
    <n v="187"/>
    <n v="1668"/>
    <x v="0"/>
    <x v="2"/>
  </r>
  <r>
    <n v="362"/>
    <x v="353"/>
    <x v="308"/>
    <d v="2024-02-02T16:11:39"/>
    <d v="2024-02-02T17:58:39"/>
    <x v="78"/>
    <x v="325"/>
    <x v="2"/>
    <x v="0"/>
    <x v="3"/>
    <n v="119"/>
    <n v="23"/>
    <n v="0"/>
    <n v="806"/>
    <n v="142"/>
    <n v="978"/>
    <x v="0"/>
    <x v="2"/>
  </r>
  <r>
    <n v="363"/>
    <x v="354"/>
    <x v="196"/>
    <d v="2024-01-28T10:20:52"/>
    <d v="2024-01-28T11:17:52"/>
    <x v="64"/>
    <x v="326"/>
    <x v="3"/>
    <x v="2"/>
    <x v="2"/>
    <n v="172"/>
    <n v="14"/>
    <n v="150"/>
    <n v="969"/>
    <n v="36"/>
    <n v="1205"/>
    <x v="0"/>
    <x v="3"/>
  </r>
  <r>
    <n v="364"/>
    <x v="355"/>
    <x v="309"/>
    <d v="2024-01-30T14:39:39"/>
    <d v="2024-01-30T16:02:39"/>
    <x v="85"/>
    <x v="327"/>
    <x v="1"/>
    <x v="1"/>
    <x v="2"/>
    <n v="83"/>
    <n v="45"/>
    <n v="0"/>
    <n v="364"/>
    <n v="128"/>
    <n v="532"/>
    <x v="0"/>
    <x v="1"/>
  </r>
  <r>
    <n v="365"/>
    <x v="356"/>
    <x v="214"/>
    <d v="2024-01-16T14:11:38"/>
    <d v="2024-01-16T15:54:38"/>
    <x v="74"/>
    <x v="328"/>
    <x v="0"/>
    <x v="2"/>
    <x v="0"/>
    <n v="150"/>
    <n v="41"/>
    <n v="0"/>
    <n v="-52"/>
    <n v="191"/>
    <n v="139"/>
    <x v="0"/>
    <x v="3"/>
  </r>
  <r>
    <n v="366"/>
    <x v="357"/>
    <x v="43"/>
    <d v="2024-01-26T20:07:59"/>
    <d v="2024-01-26T21:43:59"/>
    <x v="61"/>
    <x v="191"/>
    <x v="1"/>
    <x v="2"/>
    <x v="4"/>
    <n v="194"/>
    <n v="43"/>
    <n v="100"/>
    <n v="522"/>
    <n v="137"/>
    <n v="799"/>
    <x v="0"/>
    <x v="2"/>
  </r>
  <r>
    <n v="367"/>
    <x v="358"/>
    <x v="124"/>
    <d v="2024-02-01T19:05:43"/>
    <d v="2024-02-01T20:10:43"/>
    <x v="47"/>
    <x v="329"/>
    <x v="2"/>
    <x v="2"/>
    <x v="1"/>
    <n v="153"/>
    <n v="16"/>
    <n v="50"/>
    <n v="1172"/>
    <n v="119"/>
    <n v="1371"/>
    <x v="0"/>
    <x v="3"/>
  </r>
  <r>
    <n v="368"/>
    <x v="301"/>
    <x v="199"/>
    <d v="2024-01-10T18:09:41"/>
    <d v="2024-01-10T19:41:41"/>
    <x v="55"/>
    <x v="330"/>
    <x v="2"/>
    <x v="1"/>
    <x v="4"/>
    <n v="89"/>
    <n v="19"/>
    <n v="50"/>
    <n v="1746"/>
    <n v="58"/>
    <n v="1884"/>
    <x v="2"/>
    <x v="1"/>
  </r>
  <r>
    <n v="369"/>
    <x v="359"/>
    <x v="268"/>
    <d v="2024-01-02T21:59:35"/>
    <d v="2024-01-02T22:53:35"/>
    <x v="32"/>
    <x v="331"/>
    <x v="1"/>
    <x v="0"/>
    <x v="3"/>
    <n v="68"/>
    <n v="26"/>
    <n v="0"/>
    <n v="986"/>
    <n v="94"/>
    <n v="1120"/>
    <x v="0"/>
    <x v="2"/>
  </r>
  <r>
    <n v="370"/>
    <x v="360"/>
    <x v="233"/>
    <d v="2024-01-25T04:42:25"/>
    <d v="2024-01-25T06:37:25"/>
    <x v="86"/>
    <x v="332"/>
    <x v="2"/>
    <x v="2"/>
    <x v="1"/>
    <n v="116"/>
    <n v="39"/>
    <n v="0"/>
    <n v="1050"/>
    <n v="155"/>
    <n v="1235"/>
    <x v="0"/>
    <x v="5"/>
  </r>
  <r>
    <n v="371"/>
    <x v="361"/>
    <x v="310"/>
    <d v="2024-01-23T02:13:22"/>
    <d v="2024-01-23T03:30:22"/>
    <x v="17"/>
    <x v="333"/>
    <x v="4"/>
    <x v="0"/>
    <x v="2"/>
    <n v="131"/>
    <n v="30"/>
    <n v="0"/>
    <n v="783"/>
    <n v="161"/>
    <n v="964"/>
    <x v="0"/>
    <x v="0"/>
  </r>
  <r>
    <n v="372"/>
    <x v="362"/>
    <x v="311"/>
    <d v="2024-02-06T08:23:17"/>
    <d v="2024-02-06T09:31:17"/>
    <x v="15"/>
    <x v="334"/>
    <x v="4"/>
    <x v="0"/>
    <x v="0"/>
    <n v="113"/>
    <n v="22"/>
    <n v="0"/>
    <n v="1708"/>
    <n v="135"/>
    <n v="1863"/>
    <x v="0"/>
    <x v="1"/>
  </r>
  <r>
    <n v="373"/>
    <x v="363"/>
    <x v="312"/>
    <d v="2024-01-18T22:01:15"/>
    <d v="2024-01-18T23:17:15"/>
    <x v="37"/>
    <x v="335"/>
    <x v="2"/>
    <x v="1"/>
    <x v="0"/>
    <n v="132"/>
    <n v="10"/>
    <n v="0"/>
    <n v="158"/>
    <n v="142"/>
    <n v="330"/>
    <x v="0"/>
    <x v="0"/>
  </r>
  <r>
    <n v="374"/>
    <x v="364"/>
    <x v="313"/>
    <d v="2024-01-06T17:12:28"/>
    <d v="2024-01-06T18:02:28"/>
    <x v="19"/>
    <x v="336"/>
    <x v="2"/>
    <x v="1"/>
    <x v="2"/>
    <n v="96"/>
    <n v="10"/>
    <n v="100"/>
    <n v="440"/>
    <n v="6"/>
    <n v="576"/>
    <x v="0"/>
    <x v="0"/>
  </r>
  <r>
    <n v="375"/>
    <x v="365"/>
    <x v="314"/>
    <d v="2024-01-27T22:12:21"/>
    <d v="2024-01-27T23:11:21"/>
    <x v="44"/>
    <x v="337"/>
    <x v="4"/>
    <x v="0"/>
    <x v="3"/>
    <n v="55"/>
    <n v="42"/>
    <n v="150"/>
    <n v="1870"/>
    <n v="-53"/>
    <n v="1987"/>
    <x v="0"/>
    <x v="1"/>
  </r>
  <r>
    <n v="376"/>
    <x v="366"/>
    <x v="311"/>
    <d v="2024-01-29T21:13:37"/>
    <d v="2024-01-29T22:13:37"/>
    <x v="31"/>
    <x v="338"/>
    <x v="2"/>
    <x v="2"/>
    <x v="2"/>
    <n v="65"/>
    <n v="47"/>
    <n v="0"/>
    <n v="1439"/>
    <n v="112"/>
    <n v="1581"/>
    <x v="0"/>
    <x v="1"/>
  </r>
  <r>
    <n v="377"/>
    <x v="367"/>
    <x v="29"/>
    <d v="2024-01-28T04:16:43"/>
    <d v="2024-01-28T05:11:43"/>
    <x v="27"/>
    <x v="339"/>
    <x v="2"/>
    <x v="1"/>
    <x v="3"/>
    <n v="195"/>
    <n v="34"/>
    <n v="0"/>
    <n v="932"/>
    <n v="229"/>
    <n v="1191"/>
    <x v="0"/>
    <x v="2"/>
  </r>
  <r>
    <n v="378"/>
    <x v="368"/>
    <x v="315"/>
    <d v="2024-02-05T02:44:17"/>
    <d v="2024-02-05T03:35:17"/>
    <x v="5"/>
    <x v="340"/>
    <x v="1"/>
    <x v="2"/>
    <x v="1"/>
    <n v="88"/>
    <n v="35"/>
    <n v="0"/>
    <n v="1211"/>
    <n v="123"/>
    <n v="1374"/>
    <x v="0"/>
    <x v="0"/>
  </r>
  <r>
    <n v="379"/>
    <x v="369"/>
    <x v="316"/>
    <d v="2024-02-01T19:03:01"/>
    <d v="2024-02-01T19:53:01"/>
    <x v="19"/>
    <x v="341"/>
    <x v="0"/>
    <x v="2"/>
    <x v="2"/>
    <n v="162"/>
    <n v="22"/>
    <n v="100"/>
    <n v="359"/>
    <n v="84"/>
    <n v="543"/>
    <x v="0"/>
    <x v="0"/>
  </r>
  <r>
    <n v="380"/>
    <x v="370"/>
    <x v="317"/>
    <d v="2024-01-09T06:18:56"/>
    <d v="2024-01-09T06:48:56"/>
    <x v="75"/>
    <x v="342"/>
    <x v="4"/>
    <x v="2"/>
    <x v="3"/>
    <n v="189"/>
    <n v="37"/>
    <n v="0"/>
    <n v="1224"/>
    <n v="226"/>
    <n v="1470"/>
    <x v="0"/>
    <x v="2"/>
  </r>
  <r>
    <n v="381"/>
    <x v="371"/>
    <x v="292"/>
    <d v="2024-01-19T01:25:54"/>
    <d v="2024-01-19T02:31:54"/>
    <x v="26"/>
    <x v="343"/>
    <x v="1"/>
    <x v="0"/>
    <x v="1"/>
    <n v="187"/>
    <n v="42"/>
    <n v="100"/>
    <n v="631"/>
    <n v="129"/>
    <n v="900"/>
    <x v="0"/>
    <x v="1"/>
  </r>
  <r>
    <n v="382"/>
    <x v="372"/>
    <x v="115"/>
    <d v="2024-01-10T00:50:41"/>
    <d v="2024-01-10T02:36:41"/>
    <x v="23"/>
    <x v="344"/>
    <x v="0"/>
    <x v="2"/>
    <x v="2"/>
    <n v="120"/>
    <n v="46"/>
    <n v="0"/>
    <n v="160"/>
    <n v="166"/>
    <n v="326"/>
    <x v="0"/>
    <x v="1"/>
  </r>
  <r>
    <n v="383"/>
    <x v="373"/>
    <x v="318"/>
    <d v="2024-01-04T03:30:30"/>
    <d v="2024-01-04T05:24:30"/>
    <x v="8"/>
    <x v="345"/>
    <x v="2"/>
    <x v="0"/>
    <x v="0"/>
    <n v="159"/>
    <n v="50"/>
    <n v="0"/>
    <n v="-62"/>
    <n v="209"/>
    <n v="177"/>
    <x v="0"/>
    <x v="0"/>
  </r>
  <r>
    <n v="384"/>
    <x v="374"/>
    <x v="319"/>
    <d v="2024-01-18T23:43:25"/>
    <d v="2024-01-19T00:58:25"/>
    <x v="51"/>
    <x v="346"/>
    <x v="2"/>
    <x v="0"/>
    <x v="2"/>
    <n v="104"/>
    <n v="39"/>
    <n v="0"/>
    <n v="998"/>
    <n v="143"/>
    <n v="1171"/>
    <x v="0"/>
    <x v="0"/>
  </r>
  <r>
    <n v="385"/>
    <x v="375"/>
    <x v="320"/>
    <d v="2024-01-28T22:10:59"/>
    <d v="2024-01-28T22:48:59"/>
    <x v="63"/>
    <x v="347"/>
    <x v="1"/>
    <x v="2"/>
    <x v="4"/>
    <n v="178"/>
    <n v="17"/>
    <n v="0"/>
    <n v="816"/>
    <n v="195"/>
    <n v="1051"/>
    <x v="0"/>
    <x v="0"/>
  </r>
  <r>
    <n v="386"/>
    <x v="376"/>
    <x v="271"/>
    <d v="2024-01-29T10:27:19"/>
    <d v="2024-01-29T11:13:19"/>
    <x v="3"/>
    <x v="308"/>
    <x v="2"/>
    <x v="2"/>
    <x v="2"/>
    <n v="98"/>
    <n v="10"/>
    <n v="0"/>
    <n v="1454"/>
    <n v="108"/>
    <n v="1592"/>
    <x v="0"/>
    <x v="1"/>
  </r>
  <r>
    <n v="387"/>
    <x v="377"/>
    <x v="321"/>
    <d v="2024-01-20T17:29:57"/>
    <d v="2024-01-20T18:45:57"/>
    <x v="37"/>
    <x v="348"/>
    <x v="3"/>
    <x v="2"/>
    <x v="4"/>
    <n v="70"/>
    <n v="21"/>
    <n v="0"/>
    <n v="1839"/>
    <n v="91"/>
    <n v="1980"/>
    <x v="0"/>
    <x v="1"/>
  </r>
  <r>
    <n v="388"/>
    <x v="378"/>
    <x v="322"/>
    <d v="2024-01-30T12:42:11"/>
    <d v="2024-01-30T14:36:11"/>
    <x v="8"/>
    <x v="349"/>
    <x v="1"/>
    <x v="2"/>
    <x v="1"/>
    <n v="86"/>
    <n v="14"/>
    <n v="150"/>
    <n v="1731"/>
    <n v="-50"/>
    <n v="1871"/>
    <x v="0"/>
    <x v="2"/>
  </r>
  <r>
    <n v="389"/>
    <x v="379"/>
    <x v="323"/>
    <d v="2024-02-06T04:49:08"/>
    <d v="2024-02-06T06:17:08"/>
    <x v="0"/>
    <x v="350"/>
    <x v="0"/>
    <x v="0"/>
    <x v="2"/>
    <n v="165"/>
    <n v="33"/>
    <n v="0"/>
    <n v="88"/>
    <n v="198"/>
    <n v="286"/>
    <x v="0"/>
    <x v="0"/>
  </r>
  <r>
    <n v="390"/>
    <x v="380"/>
    <x v="324"/>
    <d v="2024-01-25T18:26:20"/>
    <d v="2024-01-25T19:49:20"/>
    <x v="85"/>
    <x v="351"/>
    <x v="1"/>
    <x v="2"/>
    <x v="1"/>
    <n v="73"/>
    <n v="15"/>
    <n v="50"/>
    <n v="356"/>
    <n v="38"/>
    <n v="484"/>
    <x v="0"/>
    <x v="0"/>
  </r>
  <r>
    <n v="391"/>
    <x v="381"/>
    <x v="325"/>
    <d v="2024-01-10T15:57:16"/>
    <d v="2024-01-10T17:52:16"/>
    <x v="86"/>
    <x v="352"/>
    <x v="4"/>
    <x v="2"/>
    <x v="1"/>
    <n v="104"/>
    <n v="34"/>
    <n v="0"/>
    <n v="185"/>
    <n v="138"/>
    <n v="343"/>
    <x v="0"/>
    <x v="0"/>
  </r>
  <r>
    <n v="392"/>
    <x v="382"/>
    <x v="326"/>
    <d v="2024-01-28T10:17:02"/>
    <d v="2024-01-28T10:58:02"/>
    <x v="53"/>
    <x v="203"/>
    <x v="1"/>
    <x v="0"/>
    <x v="3"/>
    <n v="74"/>
    <n v="10"/>
    <n v="50"/>
    <n v="845"/>
    <n v="34"/>
    <n v="969"/>
    <x v="0"/>
    <x v="2"/>
  </r>
  <r>
    <n v="393"/>
    <x v="383"/>
    <x v="327"/>
    <d v="2024-02-06T16:55:20"/>
    <d v="2024-02-06T18:28:20"/>
    <x v="73"/>
    <x v="353"/>
    <x v="2"/>
    <x v="1"/>
    <x v="1"/>
    <n v="184"/>
    <n v="34"/>
    <n v="50"/>
    <n v="369"/>
    <n v="168"/>
    <n v="617"/>
    <x v="0"/>
    <x v="2"/>
  </r>
  <r>
    <n v="394"/>
    <x v="384"/>
    <x v="129"/>
    <d v="2024-01-28T15:24:38"/>
    <d v="2024-01-28T15:59:38"/>
    <x v="1"/>
    <x v="354"/>
    <x v="2"/>
    <x v="1"/>
    <x v="1"/>
    <n v="176"/>
    <n v="10"/>
    <n v="0"/>
    <n v="790"/>
    <n v="186"/>
    <n v="1006"/>
    <x v="0"/>
    <x v="2"/>
  </r>
  <r>
    <n v="395"/>
    <x v="385"/>
    <x v="199"/>
    <d v="2024-02-03T09:03:11"/>
    <d v="2024-02-03T10:25:11"/>
    <x v="41"/>
    <x v="325"/>
    <x v="3"/>
    <x v="0"/>
    <x v="2"/>
    <n v="142"/>
    <n v="41"/>
    <n v="0"/>
    <n v="765"/>
    <n v="183"/>
    <n v="998"/>
    <x v="0"/>
    <x v="1"/>
  </r>
  <r>
    <n v="396"/>
    <x v="386"/>
    <x v="328"/>
    <d v="2024-01-15T19:43:37"/>
    <d v="2024-01-15T20:28:37"/>
    <x v="83"/>
    <x v="355"/>
    <x v="3"/>
    <x v="1"/>
    <x v="2"/>
    <n v="143"/>
    <n v="12"/>
    <n v="0"/>
    <n v="1197"/>
    <n v="155"/>
    <n v="1402"/>
    <x v="0"/>
    <x v="2"/>
  </r>
  <r>
    <n v="397"/>
    <x v="387"/>
    <x v="329"/>
    <d v="2024-01-09T17:31:36"/>
    <d v="2024-01-09T19:30:36"/>
    <x v="81"/>
    <x v="356"/>
    <x v="3"/>
    <x v="0"/>
    <x v="0"/>
    <n v="120"/>
    <n v="28"/>
    <n v="0"/>
    <n v="1365"/>
    <n v="148"/>
    <n v="1563"/>
    <x v="0"/>
    <x v="0"/>
  </r>
  <r>
    <n v="398"/>
    <x v="388"/>
    <x v="330"/>
    <d v="2024-01-26T17:15:34"/>
    <d v="2024-01-26T17:49:34"/>
    <x v="58"/>
    <x v="357"/>
    <x v="0"/>
    <x v="2"/>
    <x v="3"/>
    <n v="171"/>
    <n v="38"/>
    <n v="0"/>
    <n v="869"/>
    <n v="209"/>
    <n v="1078"/>
    <x v="0"/>
    <x v="0"/>
  </r>
  <r>
    <n v="399"/>
    <x v="389"/>
    <x v="167"/>
    <d v="2024-01-16T02:38:07"/>
    <d v="2024-01-16T04:20:07"/>
    <x v="29"/>
    <x v="358"/>
    <x v="3"/>
    <x v="2"/>
    <x v="1"/>
    <n v="73"/>
    <n v="11"/>
    <n v="0"/>
    <n v="1628"/>
    <n v="84"/>
    <n v="1762"/>
    <x v="0"/>
    <x v="1"/>
  </r>
  <r>
    <n v="400"/>
    <x v="390"/>
    <x v="331"/>
    <d v="2024-01-13T22:19:55"/>
    <d v="2024-01-13T23:34:55"/>
    <x v="51"/>
    <x v="359"/>
    <x v="0"/>
    <x v="1"/>
    <x v="3"/>
    <n v="60"/>
    <n v="18"/>
    <n v="50"/>
    <n v="1038"/>
    <n v="28"/>
    <n v="1116"/>
    <x v="0"/>
    <x v="0"/>
  </r>
  <r>
    <n v="401"/>
    <x v="391"/>
    <x v="332"/>
    <d v="2024-01-04T13:43:43"/>
    <d v="2024-01-04T14:26:43"/>
    <x v="39"/>
    <x v="360"/>
    <x v="3"/>
    <x v="2"/>
    <x v="4"/>
    <n v="122"/>
    <n v="26"/>
    <n v="0"/>
    <n v="139"/>
    <n v="148"/>
    <n v="337"/>
    <x v="0"/>
    <x v="2"/>
  </r>
  <r>
    <n v="402"/>
    <x v="392"/>
    <x v="333"/>
    <d v="2024-01-27T06:01:55"/>
    <d v="2024-01-27T07:14:55"/>
    <x v="54"/>
    <x v="361"/>
    <x v="0"/>
    <x v="1"/>
    <x v="1"/>
    <n v="61"/>
    <n v="45"/>
    <n v="0"/>
    <n v="1875"/>
    <n v="106"/>
    <n v="1981"/>
    <x v="0"/>
    <x v="0"/>
  </r>
  <r>
    <n v="403"/>
    <x v="393"/>
    <x v="334"/>
    <d v="2024-01-14T18:40:02"/>
    <d v="2024-01-14T20:12:02"/>
    <x v="55"/>
    <x v="362"/>
    <x v="1"/>
    <x v="1"/>
    <x v="3"/>
    <n v="84"/>
    <n v="26"/>
    <n v="0"/>
    <n v="259"/>
    <n v="110"/>
    <n v="409"/>
    <x v="0"/>
    <x v="0"/>
  </r>
  <r>
    <n v="404"/>
    <x v="394"/>
    <x v="228"/>
    <d v="2024-01-21T21:05:19"/>
    <d v="2024-01-21T22:26:19"/>
    <x v="50"/>
    <x v="363"/>
    <x v="1"/>
    <x v="2"/>
    <x v="0"/>
    <n v="190"/>
    <n v="21"/>
    <n v="0"/>
    <n v="1519"/>
    <n v="211"/>
    <n v="1770"/>
    <x v="0"/>
    <x v="1"/>
  </r>
  <r>
    <n v="405"/>
    <x v="395"/>
    <x v="335"/>
    <d v="2024-02-04T07:37:01"/>
    <d v="2024-02-04T08:32:01"/>
    <x v="27"/>
    <x v="364"/>
    <x v="2"/>
    <x v="2"/>
    <x v="0"/>
    <n v="72"/>
    <n v="29"/>
    <n v="0"/>
    <n v="308"/>
    <n v="101"/>
    <n v="439"/>
    <x v="0"/>
    <x v="2"/>
  </r>
  <r>
    <n v="406"/>
    <x v="396"/>
    <x v="336"/>
    <d v="2024-01-14T06:38:36"/>
    <d v="2024-01-14T08:00:36"/>
    <x v="41"/>
    <x v="365"/>
    <x v="0"/>
    <x v="1"/>
    <x v="1"/>
    <n v="132"/>
    <n v="12"/>
    <n v="0"/>
    <n v="1111"/>
    <n v="144"/>
    <n v="1255"/>
    <x v="0"/>
    <x v="1"/>
  </r>
  <r>
    <n v="407"/>
    <x v="397"/>
    <x v="337"/>
    <d v="2024-02-04T05:16:06"/>
    <d v="2024-02-04T06:14:06"/>
    <x v="2"/>
    <x v="366"/>
    <x v="4"/>
    <x v="2"/>
    <x v="4"/>
    <n v="137"/>
    <n v="13"/>
    <n v="150"/>
    <n v="1524"/>
    <n v="0"/>
    <n v="1694"/>
    <x v="0"/>
    <x v="0"/>
  </r>
  <r>
    <n v="408"/>
    <x v="398"/>
    <x v="338"/>
    <d v="2024-01-27T10:29:06"/>
    <d v="2024-01-27T11:17:06"/>
    <x v="77"/>
    <x v="367"/>
    <x v="2"/>
    <x v="0"/>
    <x v="0"/>
    <n v="129"/>
    <n v="26"/>
    <n v="0"/>
    <n v="1040"/>
    <n v="155"/>
    <n v="1225"/>
    <x v="0"/>
    <x v="0"/>
  </r>
  <r>
    <n v="409"/>
    <x v="399"/>
    <x v="180"/>
    <d v="2024-01-04T14:12:55"/>
    <d v="2024-01-04T15:28:55"/>
    <x v="37"/>
    <x v="368"/>
    <x v="1"/>
    <x v="2"/>
    <x v="0"/>
    <n v="146"/>
    <n v="46"/>
    <n v="0"/>
    <n v="1724"/>
    <n v="192"/>
    <n v="1956"/>
    <x v="0"/>
    <x v="2"/>
  </r>
  <r>
    <n v="410"/>
    <x v="400"/>
    <x v="84"/>
    <d v="2024-01-25T14:40:53"/>
    <d v="2024-01-25T15:17:53"/>
    <x v="28"/>
    <x v="333"/>
    <x v="0"/>
    <x v="2"/>
    <x v="4"/>
    <n v="189"/>
    <n v="24"/>
    <n v="0"/>
    <n v="731"/>
    <n v="213"/>
    <n v="944"/>
    <x v="0"/>
    <x v="4"/>
  </r>
  <r>
    <n v="411"/>
    <x v="401"/>
    <x v="210"/>
    <d v="2024-01-15T17:08:20"/>
    <d v="2024-01-15T18:00:20"/>
    <x v="52"/>
    <x v="369"/>
    <x v="3"/>
    <x v="0"/>
    <x v="3"/>
    <n v="83"/>
    <n v="42"/>
    <n v="50"/>
    <n v="1670"/>
    <n v="75"/>
    <n v="1845"/>
    <x v="2"/>
    <x v="2"/>
  </r>
  <r>
    <n v="412"/>
    <x v="402"/>
    <x v="339"/>
    <d v="2024-01-13T02:05:27"/>
    <d v="2024-01-13T03:09:27"/>
    <x v="33"/>
    <x v="370"/>
    <x v="4"/>
    <x v="2"/>
    <x v="0"/>
    <n v="124"/>
    <n v="25"/>
    <n v="0"/>
    <n v="1161"/>
    <n v="149"/>
    <n v="1330"/>
    <x v="0"/>
    <x v="0"/>
  </r>
  <r>
    <n v="413"/>
    <x v="403"/>
    <x v="211"/>
    <d v="2024-01-03T05:49:43"/>
    <d v="2024-01-03T07:11:43"/>
    <x v="41"/>
    <x v="295"/>
    <x v="1"/>
    <x v="2"/>
    <x v="2"/>
    <n v="177"/>
    <n v="20"/>
    <n v="150"/>
    <n v="388"/>
    <n v="47"/>
    <n v="625"/>
    <x v="0"/>
    <x v="2"/>
  </r>
  <r>
    <n v="414"/>
    <x v="404"/>
    <x v="10"/>
    <d v="2024-01-25T11:45:04"/>
    <d v="2024-01-25T13:12:04"/>
    <x v="76"/>
    <x v="113"/>
    <x v="2"/>
    <x v="1"/>
    <x v="0"/>
    <n v="190"/>
    <n v="29"/>
    <n v="0"/>
    <n v="1095"/>
    <n v="219"/>
    <n v="1344"/>
    <x v="2"/>
    <x v="2"/>
  </r>
  <r>
    <n v="415"/>
    <x v="405"/>
    <x v="244"/>
    <d v="2024-01-12T18:03:36"/>
    <d v="2024-01-12T18:37:36"/>
    <x v="58"/>
    <x v="371"/>
    <x v="0"/>
    <x v="2"/>
    <x v="3"/>
    <n v="80"/>
    <n v="47"/>
    <n v="0"/>
    <n v="1418"/>
    <n v="127"/>
    <n v="1545"/>
    <x v="0"/>
    <x v="2"/>
  </r>
  <r>
    <n v="416"/>
    <x v="406"/>
    <x v="181"/>
    <d v="2024-02-02T19:25:17"/>
    <d v="2024-02-02T20:10:17"/>
    <x v="83"/>
    <x v="372"/>
    <x v="4"/>
    <x v="2"/>
    <x v="3"/>
    <n v="179"/>
    <n v="33"/>
    <n v="0"/>
    <n v="7"/>
    <n v="212"/>
    <n v="239"/>
    <x v="0"/>
    <x v="2"/>
  </r>
  <r>
    <n v="417"/>
    <x v="407"/>
    <x v="314"/>
    <d v="2024-01-23T09:04:20"/>
    <d v="2024-01-23T09:50:20"/>
    <x v="3"/>
    <x v="373"/>
    <x v="0"/>
    <x v="0"/>
    <x v="1"/>
    <n v="152"/>
    <n v="25"/>
    <n v="0"/>
    <n v="142"/>
    <n v="177"/>
    <n v="319"/>
    <x v="0"/>
    <x v="1"/>
  </r>
  <r>
    <n v="418"/>
    <x v="408"/>
    <x v="340"/>
    <d v="2024-01-08T17:45:55"/>
    <d v="2024-01-08T18:46:55"/>
    <x v="89"/>
    <x v="374"/>
    <x v="3"/>
    <x v="1"/>
    <x v="2"/>
    <n v="64"/>
    <n v="39"/>
    <n v="100"/>
    <n v="49"/>
    <n v="3"/>
    <n v="202"/>
    <x v="0"/>
    <x v="0"/>
  </r>
  <r>
    <n v="419"/>
    <x v="409"/>
    <x v="341"/>
    <d v="2024-01-27T18:49:41"/>
    <d v="2024-01-27T20:10:41"/>
    <x v="50"/>
    <x v="231"/>
    <x v="2"/>
    <x v="1"/>
    <x v="3"/>
    <n v="106"/>
    <n v="43"/>
    <n v="0"/>
    <n v="1708"/>
    <n v="149"/>
    <n v="1887"/>
    <x v="0"/>
    <x v="0"/>
  </r>
  <r>
    <n v="420"/>
    <x v="410"/>
    <x v="336"/>
    <d v="2024-01-11T12:07:49"/>
    <d v="2024-01-11T12:56:49"/>
    <x v="21"/>
    <x v="55"/>
    <x v="0"/>
    <x v="1"/>
    <x v="4"/>
    <n v="124"/>
    <n v="10"/>
    <n v="0"/>
    <n v="1440"/>
    <n v="134"/>
    <n v="1574"/>
    <x v="0"/>
    <x v="1"/>
  </r>
  <r>
    <n v="421"/>
    <x v="411"/>
    <x v="176"/>
    <d v="2024-01-13T18:54:09"/>
    <d v="2024-01-13T20:29:09"/>
    <x v="84"/>
    <x v="375"/>
    <x v="1"/>
    <x v="2"/>
    <x v="2"/>
    <n v="83"/>
    <n v="33"/>
    <n v="150"/>
    <n v="1419"/>
    <n v="-34"/>
    <n v="1575"/>
    <x v="2"/>
    <x v="1"/>
  </r>
  <r>
    <n v="422"/>
    <x v="412"/>
    <x v="342"/>
    <d v="2024-01-20T06:25:42"/>
    <d v="2024-01-20T08:18:42"/>
    <x v="42"/>
    <x v="376"/>
    <x v="2"/>
    <x v="1"/>
    <x v="2"/>
    <n v="152"/>
    <n v="33"/>
    <n v="0"/>
    <n v="1581"/>
    <n v="185"/>
    <n v="1796"/>
    <x v="0"/>
    <x v="2"/>
  </r>
  <r>
    <n v="423"/>
    <x v="413"/>
    <x v="343"/>
    <d v="2024-01-22T07:05:03"/>
    <d v="2024-01-22T08:56:03"/>
    <x v="20"/>
    <x v="377"/>
    <x v="1"/>
    <x v="0"/>
    <x v="4"/>
    <n v="124"/>
    <n v="18"/>
    <n v="0"/>
    <n v="1218"/>
    <n v="142"/>
    <n v="1400"/>
    <x v="0"/>
    <x v="0"/>
  </r>
  <r>
    <n v="424"/>
    <x v="414"/>
    <x v="89"/>
    <d v="2024-02-07T19:08:16"/>
    <d v="2024-02-07T19:38:16"/>
    <x v="75"/>
    <x v="378"/>
    <x v="0"/>
    <x v="1"/>
    <x v="0"/>
    <n v="78"/>
    <n v="31"/>
    <n v="100"/>
    <n v="748"/>
    <n v="9"/>
    <n v="857"/>
    <x v="0"/>
    <x v="3"/>
  </r>
  <r>
    <n v="425"/>
    <x v="415"/>
    <x v="137"/>
    <d v="2024-01-05T08:57:24"/>
    <d v="2024-01-05T10:24:24"/>
    <x v="76"/>
    <x v="379"/>
    <x v="2"/>
    <x v="0"/>
    <x v="4"/>
    <n v="65"/>
    <n v="21"/>
    <n v="0"/>
    <n v="751"/>
    <n v="86"/>
    <n v="867"/>
    <x v="0"/>
    <x v="1"/>
  </r>
  <r>
    <n v="426"/>
    <x v="416"/>
    <x v="256"/>
    <d v="2024-01-01T02:58:19"/>
    <d v="2024-01-01T04:50:19"/>
    <x v="65"/>
    <x v="380"/>
    <x v="1"/>
    <x v="1"/>
    <x v="4"/>
    <n v="126"/>
    <n v="26"/>
    <n v="0"/>
    <n v="667"/>
    <n v="152"/>
    <n v="859"/>
    <x v="0"/>
    <x v="2"/>
  </r>
  <r>
    <n v="427"/>
    <x v="417"/>
    <x v="344"/>
    <d v="2024-01-07T04:20:03"/>
    <d v="2024-01-07T05:33:03"/>
    <x v="54"/>
    <x v="154"/>
    <x v="3"/>
    <x v="1"/>
    <x v="0"/>
    <n v="86"/>
    <n v="34"/>
    <n v="50"/>
    <n v="385"/>
    <n v="70"/>
    <n v="555"/>
    <x v="0"/>
    <x v="0"/>
  </r>
  <r>
    <n v="428"/>
    <x v="418"/>
    <x v="345"/>
    <d v="2024-02-06T15:08:17"/>
    <d v="2024-02-06T15:43:17"/>
    <x v="1"/>
    <x v="17"/>
    <x v="3"/>
    <x v="0"/>
    <x v="0"/>
    <n v="130"/>
    <n v="37"/>
    <n v="0"/>
    <n v="540"/>
    <n v="167"/>
    <n v="757"/>
    <x v="0"/>
    <x v="0"/>
  </r>
  <r>
    <n v="429"/>
    <x v="419"/>
    <x v="250"/>
    <d v="2024-01-31T06:36:44"/>
    <d v="2024-01-31T07:55:44"/>
    <x v="10"/>
    <x v="381"/>
    <x v="0"/>
    <x v="1"/>
    <x v="0"/>
    <n v="198"/>
    <n v="24"/>
    <n v="100"/>
    <n v="898"/>
    <n v="122"/>
    <n v="1120"/>
    <x v="0"/>
    <x v="3"/>
  </r>
  <r>
    <n v="430"/>
    <x v="420"/>
    <x v="346"/>
    <d v="2024-01-02T08:53:33"/>
    <d v="2024-01-02T10:34:33"/>
    <x v="71"/>
    <x v="382"/>
    <x v="2"/>
    <x v="1"/>
    <x v="0"/>
    <n v="173"/>
    <n v="39"/>
    <n v="0"/>
    <n v="309"/>
    <n v="212"/>
    <n v="551"/>
    <x v="0"/>
    <x v="1"/>
  </r>
  <r>
    <n v="431"/>
    <x v="421"/>
    <x v="347"/>
    <d v="2024-01-23T22:37:23"/>
    <d v="2024-01-24T00:34:23"/>
    <x v="45"/>
    <x v="383"/>
    <x v="4"/>
    <x v="1"/>
    <x v="0"/>
    <n v="68"/>
    <n v="36"/>
    <n v="100"/>
    <n v="707"/>
    <n v="4"/>
    <n v="831"/>
    <x v="0"/>
    <x v="2"/>
  </r>
  <r>
    <n v="432"/>
    <x v="422"/>
    <x v="348"/>
    <d v="2024-01-20T14:02:08"/>
    <d v="2024-01-20T14:51:08"/>
    <x v="21"/>
    <x v="384"/>
    <x v="2"/>
    <x v="2"/>
    <x v="4"/>
    <n v="151"/>
    <n v="31"/>
    <n v="100"/>
    <n v="164"/>
    <n v="82"/>
    <n v="376"/>
    <x v="0"/>
    <x v="0"/>
  </r>
  <r>
    <n v="433"/>
    <x v="423"/>
    <x v="349"/>
    <d v="2024-01-21T17:48:33"/>
    <d v="2024-01-21T18:31:33"/>
    <x v="39"/>
    <x v="385"/>
    <x v="3"/>
    <x v="0"/>
    <x v="1"/>
    <n v="185"/>
    <n v="19"/>
    <n v="50"/>
    <n v="-33"/>
    <n v="154"/>
    <n v="221"/>
    <x v="0"/>
    <x v="0"/>
  </r>
  <r>
    <n v="434"/>
    <x v="424"/>
    <x v="184"/>
    <d v="2024-02-07T20:23:29"/>
    <d v="2024-02-07T20:57:29"/>
    <x v="58"/>
    <x v="386"/>
    <x v="1"/>
    <x v="1"/>
    <x v="1"/>
    <n v="126"/>
    <n v="40"/>
    <n v="0"/>
    <n v="1787"/>
    <n v="166"/>
    <n v="1993"/>
    <x v="0"/>
    <x v="1"/>
  </r>
  <r>
    <n v="435"/>
    <x v="425"/>
    <x v="350"/>
    <d v="2024-01-03T11:50:00"/>
    <d v="2024-01-03T13:00:00"/>
    <x v="36"/>
    <x v="387"/>
    <x v="4"/>
    <x v="0"/>
    <x v="3"/>
    <n v="90"/>
    <n v="36"/>
    <n v="150"/>
    <n v="158"/>
    <n v="-24"/>
    <n v="304"/>
    <x v="0"/>
    <x v="0"/>
  </r>
  <r>
    <n v="436"/>
    <x v="426"/>
    <x v="351"/>
    <d v="2024-02-06T05:21:24"/>
    <d v="2024-02-06T06:30:24"/>
    <x v="87"/>
    <x v="388"/>
    <x v="0"/>
    <x v="0"/>
    <x v="1"/>
    <n v="110"/>
    <n v="21"/>
    <n v="0"/>
    <n v="-26"/>
    <n v="131"/>
    <n v="105"/>
    <x v="0"/>
    <x v="2"/>
  </r>
  <r>
    <n v="437"/>
    <x v="427"/>
    <x v="296"/>
    <d v="2024-01-31T18:03:45"/>
    <d v="2024-01-31T19:06:45"/>
    <x v="43"/>
    <x v="389"/>
    <x v="4"/>
    <x v="0"/>
    <x v="1"/>
    <n v="75"/>
    <n v="40"/>
    <n v="50"/>
    <n v="1214"/>
    <n v="65"/>
    <n v="1349"/>
    <x v="0"/>
    <x v="2"/>
  </r>
  <r>
    <n v="438"/>
    <x v="428"/>
    <x v="352"/>
    <d v="2024-01-22T14:14:50"/>
    <d v="2024-01-22T16:03:50"/>
    <x v="49"/>
    <x v="390"/>
    <x v="0"/>
    <x v="1"/>
    <x v="4"/>
    <n v="120"/>
    <n v="41"/>
    <n v="0"/>
    <n v="1506"/>
    <n v="161"/>
    <n v="1667"/>
    <x v="0"/>
    <x v="2"/>
  </r>
  <r>
    <n v="439"/>
    <x v="429"/>
    <x v="57"/>
    <d v="2024-01-05T12:55:36"/>
    <d v="2024-01-05T14:09:36"/>
    <x v="68"/>
    <x v="391"/>
    <x v="4"/>
    <x v="1"/>
    <x v="0"/>
    <n v="152"/>
    <n v="41"/>
    <n v="0"/>
    <n v="1541"/>
    <n v="193"/>
    <n v="1754"/>
    <x v="0"/>
    <x v="1"/>
  </r>
  <r>
    <n v="440"/>
    <x v="430"/>
    <x v="353"/>
    <d v="2024-01-05T12:19:14"/>
    <d v="2024-01-05T13:59:14"/>
    <x v="13"/>
    <x v="253"/>
    <x v="0"/>
    <x v="0"/>
    <x v="0"/>
    <n v="119"/>
    <n v="50"/>
    <n v="50"/>
    <n v="836"/>
    <n v="119"/>
    <n v="1005"/>
    <x v="2"/>
    <x v="0"/>
  </r>
  <r>
    <n v="441"/>
    <x v="431"/>
    <x v="89"/>
    <d v="2024-01-25T17:06:59"/>
    <d v="2024-01-25T18:55:59"/>
    <x v="49"/>
    <x v="392"/>
    <x v="0"/>
    <x v="2"/>
    <x v="4"/>
    <n v="156"/>
    <n v="44"/>
    <n v="0"/>
    <n v="286"/>
    <n v="200"/>
    <n v="486"/>
    <x v="0"/>
    <x v="3"/>
  </r>
  <r>
    <n v="442"/>
    <x v="432"/>
    <x v="147"/>
    <d v="2024-01-21T05:10:21"/>
    <d v="2024-01-21T06:50:21"/>
    <x v="13"/>
    <x v="42"/>
    <x v="4"/>
    <x v="0"/>
    <x v="1"/>
    <n v="156"/>
    <n v="30"/>
    <n v="0"/>
    <n v="1705"/>
    <n v="186"/>
    <n v="1911"/>
    <x v="0"/>
    <x v="2"/>
  </r>
  <r>
    <n v="443"/>
    <x v="433"/>
    <x v="354"/>
    <d v="2024-01-01T05:01:13"/>
    <d v="2024-01-01T05:57:13"/>
    <x v="56"/>
    <x v="393"/>
    <x v="4"/>
    <x v="2"/>
    <x v="4"/>
    <n v="152"/>
    <n v="19"/>
    <n v="0"/>
    <n v="627"/>
    <n v="171"/>
    <n v="818"/>
    <x v="0"/>
    <x v="0"/>
  </r>
  <r>
    <n v="444"/>
    <x v="434"/>
    <x v="355"/>
    <d v="2024-01-01T10:00:35"/>
    <d v="2024-01-01T11:47:35"/>
    <x v="78"/>
    <x v="394"/>
    <x v="0"/>
    <x v="0"/>
    <x v="3"/>
    <n v="68"/>
    <n v="25"/>
    <n v="0"/>
    <n v="1106"/>
    <n v="93"/>
    <n v="1199"/>
    <x v="0"/>
    <x v="0"/>
  </r>
  <r>
    <n v="445"/>
    <x v="435"/>
    <x v="356"/>
    <d v="2024-01-15T09:43:45"/>
    <d v="2024-01-15T11:30:45"/>
    <x v="78"/>
    <x v="395"/>
    <x v="3"/>
    <x v="0"/>
    <x v="0"/>
    <n v="117"/>
    <n v="16"/>
    <n v="0"/>
    <n v="1167"/>
    <n v="133"/>
    <n v="1350"/>
    <x v="0"/>
    <x v="2"/>
  </r>
  <r>
    <n v="446"/>
    <x v="436"/>
    <x v="93"/>
    <d v="2024-01-03T16:56:22"/>
    <d v="2024-01-03T18:09:22"/>
    <x v="54"/>
    <x v="396"/>
    <x v="4"/>
    <x v="0"/>
    <x v="2"/>
    <n v="119"/>
    <n v="13"/>
    <n v="100"/>
    <n v="794"/>
    <n v="32"/>
    <n v="946"/>
    <x v="0"/>
    <x v="2"/>
  </r>
  <r>
    <n v="447"/>
    <x v="437"/>
    <x v="357"/>
    <d v="2024-02-01T09:16:53"/>
    <d v="2024-02-01T10:18:53"/>
    <x v="80"/>
    <x v="397"/>
    <x v="2"/>
    <x v="1"/>
    <x v="3"/>
    <n v="162"/>
    <n v="36"/>
    <n v="0"/>
    <n v="1724"/>
    <n v="198"/>
    <n v="1952"/>
    <x v="0"/>
    <x v="0"/>
  </r>
  <r>
    <n v="448"/>
    <x v="438"/>
    <x v="289"/>
    <d v="2024-01-23T04:52:50"/>
    <d v="2024-01-23T05:54:50"/>
    <x v="80"/>
    <x v="398"/>
    <x v="1"/>
    <x v="2"/>
    <x v="3"/>
    <n v="106"/>
    <n v="34"/>
    <n v="0"/>
    <n v="308"/>
    <n v="140"/>
    <n v="488"/>
    <x v="0"/>
    <x v="2"/>
  </r>
  <r>
    <n v="449"/>
    <x v="439"/>
    <x v="358"/>
    <d v="2024-01-08T02:46:45"/>
    <d v="2024-01-08T03:59:45"/>
    <x v="54"/>
    <x v="399"/>
    <x v="0"/>
    <x v="2"/>
    <x v="4"/>
    <n v="110"/>
    <n v="40"/>
    <n v="0"/>
    <n v="1228"/>
    <n v="150"/>
    <n v="1378"/>
    <x v="0"/>
    <x v="3"/>
  </r>
  <r>
    <n v="450"/>
    <x v="440"/>
    <x v="359"/>
    <d v="2024-01-19T07:47:26"/>
    <d v="2024-01-19T08:36:26"/>
    <x v="21"/>
    <x v="400"/>
    <x v="0"/>
    <x v="0"/>
    <x v="1"/>
    <n v="141"/>
    <n v="20"/>
    <n v="0"/>
    <n v="1799"/>
    <n v="161"/>
    <n v="1960"/>
    <x v="0"/>
    <x v="0"/>
  </r>
  <r>
    <n v="451"/>
    <x v="441"/>
    <x v="360"/>
    <d v="2024-01-09T09:45:31"/>
    <d v="2024-01-09T10:50:31"/>
    <x v="47"/>
    <x v="401"/>
    <x v="1"/>
    <x v="1"/>
    <x v="0"/>
    <n v="79"/>
    <n v="29"/>
    <n v="0"/>
    <n v="1717"/>
    <n v="108"/>
    <n v="1865"/>
    <x v="0"/>
    <x v="0"/>
  </r>
  <r>
    <n v="452"/>
    <x v="442"/>
    <x v="27"/>
    <d v="2024-01-21T18:24:51"/>
    <d v="2024-01-21T19:00:51"/>
    <x v="46"/>
    <x v="402"/>
    <x v="3"/>
    <x v="1"/>
    <x v="2"/>
    <n v="176"/>
    <n v="45"/>
    <n v="100"/>
    <n v="186"/>
    <n v="121"/>
    <n v="457"/>
    <x v="0"/>
    <x v="2"/>
  </r>
  <r>
    <n v="453"/>
    <x v="443"/>
    <x v="254"/>
    <d v="2024-01-25T23:44:41"/>
    <d v="2024-01-26T00:45:41"/>
    <x v="89"/>
    <x v="403"/>
    <x v="1"/>
    <x v="2"/>
    <x v="3"/>
    <n v="164"/>
    <n v="26"/>
    <n v="150"/>
    <n v="1278"/>
    <n v="40"/>
    <n v="1508"/>
    <x v="0"/>
    <x v="2"/>
  </r>
  <r>
    <n v="454"/>
    <x v="444"/>
    <x v="102"/>
    <d v="2024-01-09T18:29:31"/>
    <d v="2024-01-09T20:05:31"/>
    <x v="61"/>
    <x v="404"/>
    <x v="4"/>
    <x v="1"/>
    <x v="2"/>
    <n v="55"/>
    <n v="20"/>
    <n v="0"/>
    <n v="1175"/>
    <n v="75"/>
    <n v="1270"/>
    <x v="0"/>
    <x v="4"/>
  </r>
  <r>
    <n v="455"/>
    <x v="445"/>
    <x v="321"/>
    <d v="2024-02-04T12:27:28"/>
    <d v="2024-02-04T13:35:28"/>
    <x v="15"/>
    <x v="405"/>
    <x v="1"/>
    <x v="2"/>
    <x v="1"/>
    <n v="67"/>
    <n v="39"/>
    <n v="0"/>
    <n v="280"/>
    <n v="106"/>
    <n v="426"/>
    <x v="0"/>
    <x v="1"/>
  </r>
  <r>
    <n v="456"/>
    <x v="446"/>
    <x v="110"/>
    <d v="2024-01-08T17:28:09"/>
    <d v="2024-01-08T18:21:09"/>
    <x v="6"/>
    <x v="406"/>
    <x v="0"/>
    <x v="2"/>
    <x v="1"/>
    <n v="59"/>
    <n v="44"/>
    <n v="0"/>
    <n v="762"/>
    <n v="103"/>
    <n v="865"/>
    <x v="0"/>
    <x v="3"/>
  </r>
  <r>
    <n v="457"/>
    <x v="447"/>
    <x v="361"/>
    <d v="2024-02-03T07:28:37"/>
    <d v="2024-02-03T09:23:37"/>
    <x v="86"/>
    <x v="407"/>
    <x v="1"/>
    <x v="2"/>
    <x v="2"/>
    <n v="141"/>
    <n v="50"/>
    <n v="100"/>
    <n v="633"/>
    <n v="91"/>
    <n v="864"/>
    <x v="0"/>
    <x v="2"/>
  </r>
  <r>
    <n v="458"/>
    <x v="448"/>
    <x v="362"/>
    <d v="2024-01-04T07:48:33"/>
    <d v="2024-01-04T09:27:33"/>
    <x v="62"/>
    <x v="408"/>
    <x v="2"/>
    <x v="1"/>
    <x v="0"/>
    <n v="188"/>
    <n v="47"/>
    <n v="0"/>
    <n v="626"/>
    <n v="235"/>
    <n v="891"/>
    <x v="0"/>
    <x v="0"/>
  </r>
  <r>
    <n v="459"/>
    <x v="449"/>
    <x v="363"/>
    <d v="2024-01-02T00:17:48"/>
    <d v="2024-01-02T02:14:48"/>
    <x v="45"/>
    <x v="409"/>
    <x v="4"/>
    <x v="2"/>
    <x v="1"/>
    <n v="126"/>
    <n v="31"/>
    <n v="0"/>
    <n v="1562"/>
    <n v="157"/>
    <n v="1739"/>
    <x v="0"/>
    <x v="0"/>
  </r>
  <r>
    <n v="460"/>
    <x v="450"/>
    <x v="356"/>
    <d v="2024-02-06T19:25:22"/>
    <d v="2024-02-06T21:21:22"/>
    <x v="57"/>
    <x v="410"/>
    <x v="1"/>
    <x v="2"/>
    <x v="2"/>
    <n v="150"/>
    <n v="36"/>
    <n v="150"/>
    <n v="1424"/>
    <n v="36"/>
    <n v="1650"/>
    <x v="0"/>
    <x v="2"/>
  </r>
  <r>
    <n v="461"/>
    <x v="451"/>
    <x v="364"/>
    <d v="2024-01-24T15:30:37"/>
    <d v="2024-01-24T16:53:37"/>
    <x v="85"/>
    <x v="97"/>
    <x v="0"/>
    <x v="0"/>
    <x v="3"/>
    <n v="133"/>
    <n v="46"/>
    <n v="100"/>
    <n v="303"/>
    <n v="79"/>
    <n v="482"/>
    <x v="0"/>
    <x v="0"/>
  </r>
  <r>
    <n v="462"/>
    <x v="430"/>
    <x v="309"/>
    <d v="2024-01-03T05:15:03"/>
    <d v="2024-01-03T06:22:03"/>
    <x v="48"/>
    <x v="411"/>
    <x v="4"/>
    <x v="2"/>
    <x v="2"/>
    <n v="101"/>
    <n v="44"/>
    <n v="100"/>
    <n v="1384"/>
    <n v="45"/>
    <n v="1549"/>
    <x v="2"/>
    <x v="1"/>
  </r>
  <r>
    <n v="463"/>
    <x v="452"/>
    <x v="276"/>
    <d v="2024-01-13T15:46:49"/>
    <d v="2024-01-13T17:29:49"/>
    <x v="74"/>
    <x v="412"/>
    <x v="0"/>
    <x v="2"/>
    <x v="2"/>
    <n v="80"/>
    <n v="13"/>
    <n v="50"/>
    <n v="394"/>
    <n v="43"/>
    <n v="487"/>
    <x v="2"/>
    <x v="2"/>
  </r>
  <r>
    <n v="464"/>
    <x v="453"/>
    <x v="365"/>
    <d v="2024-02-05T17:43:41"/>
    <d v="2024-02-05T19:32:41"/>
    <x v="49"/>
    <x v="413"/>
    <x v="3"/>
    <x v="0"/>
    <x v="4"/>
    <n v="194"/>
    <n v="25"/>
    <n v="0"/>
    <n v="405"/>
    <n v="219"/>
    <n v="674"/>
    <x v="0"/>
    <x v="0"/>
  </r>
  <r>
    <n v="465"/>
    <x v="163"/>
    <x v="366"/>
    <d v="2024-01-13T23:47:17"/>
    <d v="2024-01-14T01:31:17"/>
    <x v="59"/>
    <x v="414"/>
    <x v="2"/>
    <x v="0"/>
    <x v="1"/>
    <n v="159"/>
    <n v="25"/>
    <n v="150"/>
    <n v="1496"/>
    <n v="34"/>
    <n v="1710"/>
    <x v="2"/>
    <x v="2"/>
  </r>
  <r>
    <n v="466"/>
    <x v="454"/>
    <x v="367"/>
    <d v="2024-02-02T11:06:42"/>
    <d v="2024-02-02T12:07:42"/>
    <x v="89"/>
    <x v="415"/>
    <x v="3"/>
    <x v="1"/>
    <x v="0"/>
    <n v="142"/>
    <n v="30"/>
    <n v="0"/>
    <n v="566"/>
    <n v="172"/>
    <n v="788"/>
    <x v="2"/>
    <x v="0"/>
  </r>
  <r>
    <n v="467"/>
    <x v="455"/>
    <x v="342"/>
    <d v="2024-01-04T09:38:14"/>
    <d v="2024-01-04T10:52:14"/>
    <x v="68"/>
    <x v="416"/>
    <x v="2"/>
    <x v="2"/>
    <x v="0"/>
    <n v="102"/>
    <n v="35"/>
    <n v="0"/>
    <n v="900"/>
    <n v="137"/>
    <n v="1067"/>
    <x v="0"/>
    <x v="2"/>
  </r>
  <r>
    <n v="468"/>
    <x v="220"/>
    <x v="368"/>
    <d v="2024-01-19T16:08:45"/>
    <d v="2024-01-19T17:38:45"/>
    <x v="38"/>
    <x v="417"/>
    <x v="1"/>
    <x v="1"/>
    <x v="4"/>
    <n v="194"/>
    <n v="45"/>
    <n v="100"/>
    <n v="1510"/>
    <n v="139"/>
    <n v="1789"/>
    <x v="2"/>
    <x v="2"/>
  </r>
  <r>
    <n v="469"/>
    <x v="456"/>
    <x v="235"/>
    <d v="2024-01-14T00:59:58"/>
    <d v="2024-01-14T02:38:58"/>
    <x v="62"/>
    <x v="232"/>
    <x v="4"/>
    <x v="1"/>
    <x v="0"/>
    <n v="135"/>
    <n v="28"/>
    <n v="0"/>
    <n v="212"/>
    <n v="163"/>
    <n v="395"/>
    <x v="0"/>
    <x v="1"/>
  </r>
  <r>
    <n v="470"/>
    <x v="457"/>
    <x v="322"/>
    <d v="2024-02-01T15:17:40"/>
    <d v="2024-02-01T17:14:40"/>
    <x v="45"/>
    <x v="418"/>
    <x v="1"/>
    <x v="0"/>
    <x v="2"/>
    <n v="51"/>
    <n v="26"/>
    <n v="50"/>
    <n v="522"/>
    <n v="27"/>
    <n v="639"/>
    <x v="0"/>
    <x v="2"/>
  </r>
  <r>
    <n v="471"/>
    <x v="458"/>
    <x v="369"/>
    <d v="2024-01-22T12:27:14"/>
    <d v="2024-01-22T13:49:14"/>
    <x v="41"/>
    <x v="419"/>
    <x v="2"/>
    <x v="1"/>
    <x v="4"/>
    <n v="135"/>
    <n v="35"/>
    <n v="100"/>
    <n v="646"/>
    <n v="70"/>
    <n v="846"/>
    <x v="0"/>
    <x v="0"/>
  </r>
  <r>
    <n v="472"/>
    <x v="459"/>
    <x v="196"/>
    <d v="2024-02-03T10:51:45"/>
    <d v="2024-02-03T12:11:45"/>
    <x v="9"/>
    <x v="420"/>
    <x v="2"/>
    <x v="2"/>
    <x v="3"/>
    <n v="182"/>
    <n v="31"/>
    <n v="0"/>
    <n v="223"/>
    <n v="213"/>
    <n v="466"/>
    <x v="0"/>
    <x v="3"/>
  </r>
  <r>
    <n v="473"/>
    <x v="460"/>
    <x v="138"/>
    <d v="2024-01-24T09:43:54"/>
    <d v="2024-01-24T11:28:54"/>
    <x v="24"/>
    <x v="421"/>
    <x v="2"/>
    <x v="0"/>
    <x v="1"/>
    <n v="53"/>
    <n v="37"/>
    <n v="0"/>
    <n v="941"/>
    <n v="90"/>
    <n v="1061"/>
    <x v="0"/>
    <x v="2"/>
  </r>
  <r>
    <n v="474"/>
    <x v="461"/>
    <x v="304"/>
    <d v="2024-01-31T13:54:09"/>
    <d v="2024-01-31T15:19:09"/>
    <x v="12"/>
    <x v="422"/>
    <x v="0"/>
    <x v="2"/>
    <x v="1"/>
    <n v="55"/>
    <n v="10"/>
    <n v="100"/>
    <n v="515"/>
    <n v="-35"/>
    <n v="580"/>
    <x v="0"/>
    <x v="1"/>
  </r>
  <r>
    <n v="475"/>
    <x v="462"/>
    <x v="42"/>
    <d v="2024-01-20T17:09:37"/>
    <d v="2024-01-20T18:05:37"/>
    <x v="56"/>
    <x v="423"/>
    <x v="4"/>
    <x v="2"/>
    <x v="1"/>
    <n v="198"/>
    <n v="45"/>
    <n v="0"/>
    <n v="767"/>
    <n v="243"/>
    <n v="1030"/>
    <x v="0"/>
    <x v="1"/>
  </r>
  <r>
    <n v="476"/>
    <x v="44"/>
    <x v="370"/>
    <d v="2024-01-15T11:55:57"/>
    <d v="2024-01-15T13:02:57"/>
    <x v="48"/>
    <x v="424"/>
    <x v="1"/>
    <x v="0"/>
    <x v="2"/>
    <n v="167"/>
    <n v="46"/>
    <n v="0"/>
    <n v="1183"/>
    <n v="213"/>
    <n v="1436"/>
    <x v="2"/>
    <x v="0"/>
  </r>
  <r>
    <n v="477"/>
    <x v="463"/>
    <x v="248"/>
    <d v="2024-01-02T04:56:51"/>
    <d v="2024-01-02T06:27:51"/>
    <x v="25"/>
    <x v="425"/>
    <x v="1"/>
    <x v="2"/>
    <x v="3"/>
    <n v="138"/>
    <n v="11"/>
    <n v="100"/>
    <n v="1032"/>
    <n v="49"/>
    <n v="1221"/>
    <x v="0"/>
    <x v="2"/>
  </r>
  <r>
    <n v="478"/>
    <x v="464"/>
    <x v="371"/>
    <d v="2024-01-18T06:04:47"/>
    <d v="2024-01-18T06:51:47"/>
    <x v="79"/>
    <x v="426"/>
    <x v="3"/>
    <x v="0"/>
    <x v="4"/>
    <n v="63"/>
    <n v="26"/>
    <n v="0"/>
    <n v="1362"/>
    <n v="89"/>
    <n v="1501"/>
    <x v="0"/>
    <x v="0"/>
  </r>
  <r>
    <n v="479"/>
    <x v="465"/>
    <x v="372"/>
    <d v="2024-01-06T15:28:09"/>
    <d v="2024-01-06T17:01:09"/>
    <x v="73"/>
    <x v="330"/>
    <x v="2"/>
    <x v="2"/>
    <x v="4"/>
    <n v="105"/>
    <n v="49"/>
    <n v="150"/>
    <n v="1700"/>
    <n v="4"/>
    <n v="1884"/>
    <x v="2"/>
    <x v="0"/>
  </r>
  <r>
    <n v="480"/>
    <x v="466"/>
    <x v="51"/>
    <d v="2024-01-11T16:26:00"/>
    <d v="2024-01-11T18:12:00"/>
    <x v="23"/>
    <x v="427"/>
    <x v="2"/>
    <x v="0"/>
    <x v="1"/>
    <n v="130"/>
    <n v="47"/>
    <n v="100"/>
    <n v="31"/>
    <n v="77"/>
    <n v="238"/>
    <x v="0"/>
    <x v="2"/>
  </r>
  <r>
    <n v="481"/>
    <x v="467"/>
    <x v="373"/>
    <d v="2024-02-04T05:41:44"/>
    <d v="2024-02-04T06:40:44"/>
    <x v="44"/>
    <x v="428"/>
    <x v="2"/>
    <x v="1"/>
    <x v="3"/>
    <n v="198"/>
    <n v="30"/>
    <n v="0"/>
    <n v="1174"/>
    <n v="228"/>
    <n v="1432"/>
    <x v="0"/>
    <x v="0"/>
  </r>
  <r>
    <n v="482"/>
    <x v="468"/>
    <x v="126"/>
    <d v="2024-02-04T02:51:33"/>
    <d v="2024-02-04T04:09:33"/>
    <x v="34"/>
    <x v="429"/>
    <x v="1"/>
    <x v="2"/>
    <x v="3"/>
    <n v="95"/>
    <n v="18"/>
    <n v="0"/>
    <n v="1696"/>
    <n v="113"/>
    <n v="1849"/>
    <x v="2"/>
    <x v="1"/>
  </r>
  <r>
    <n v="483"/>
    <x v="469"/>
    <x v="374"/>
    <d v="2024-01-13T11:36:00"/>
    <d v="2024-01-13T12:46:00"/>
    <x v="36"/>
    <x v="430"/>
    <x v="3"/>
    <x v="0"/>
    <x v="3"/>
    <n v="193"/>
    <n v="22"/>
    <n v="0"/>
    <n v="212"/>
    <n v="215"/>
    <n v="477"/>
    <x v="0"/>
    <x v="0"/>
  </r>
  <r>
    <n v="484"/>
    <x v="470"/>
    <x v="375"/>
    <d v="2024-02-06T11:27:09"/>
    <d v="2024-02-06T12:09:09"/>
    <x v="82"/>
    <x v="431"/>
    <x v="0"/>
    <x v="2"/>
    <x v="0"/>
    <n v="65"/>
    <n v="20"/>
    <n v="0"/>
    <n v="1814"/>
    <n v="85"/>
    <n v="1899"/>
    <x v="2"/>
    <x v="2"/>
  </r>
  <r>
    <n v="485"/>
    <x v="471"/>
    <x v="376"/>
    <d v="2024-01-27T03:42:56"/>
    <d v="2024-01-27T04:45:56"/>
    <x v="43"/>
    <x v="432"/>
    <x v="4"/>
    <x v="2"/>
    <x v="0"/>
    <n v="169"/>
    <n v="25"/>
    <n v="0"/>
    <n v="220"/>
    <n v="194"/>
    <n v="434"/>
    <x v="0"/>
    <x v="0"/>
  </r>
  <r>
    <n v="486"/>
    <x v="472"/>
    <x v="377"/>
    <d v="2024-01-09T00:30:45"/>
    <d v="2024-01-09T01:24:45"/>
    <x v="32"/>
    <x v="433"/>
    <x v="0"/>
    <x v="2"/>
    <x v="1"/>
    <n v="133"/>
    <n v="25"/>
    <n v="0"/>
    <n v="1439"/>
    <n v="158"/>
    <n v="1597"/>
    <x v="2"/>
    <x v="2"/>
  </r>
  <r>
    <n v="487"/>
    <x v="473"/>
    <x v="378"/>
    <d v="2024-01-12T11:24:29"/>
    <d v="2024-01-12T12:59:29"/>
    <x v="84"/>
    <x v="434"/>
    <x v="1"/>
    <x v="0"/>
    <x v="3"/>
    <n v="57"/>
    <n v="11"/>
    <n v="50"/>
    <n v="1166"/>
    <n v="18"/>
    <n v="1274"/>
    <x v="0"/>
    <x v="2"/>
  </r>
  <r>
    <n v="488"/>
    <x v="474"/>
    <x v="379"/>
    <d v="2024-01-02T16:29:48"/>
    <d v="2024-01-02T17:16:48"/>
    <x v="79"/>
    <x v="393"/>
    <x v="2"/>
    <x v="1"/>
    <x v="3"/>
    <n v="137"/>
    <n v="17"/>
    <n v="0"/>
    <n v="644"/>
    <n v="154"/>
    <n v="828"/>
    <x v="0"/>
    <x v="0"/>
  </r>
  <r>
    <n v="489"/>
    <x v="475"/>
    <x v="380"/>
    <d v="2024-01-08T09:19:47"/>
    <d v="2024-01-08T09:53:47"/>
    <x v="58"/>
    <x v="62"/>
    <x v="4"/>
    <x v="1"/>
    <x v="4"/>
    <n v="180"/>
    <n v="22"/>
    <n v="0"/>
    <n v="678"/>
    <n v="202"/>
    <n v="900"/>
    <x v="0"/>
    <x v="0"/>
  </r>
  <r>
    <n v="490"/>
    <x v="476"/>
    <x v="381"/>
    <d v="2024-01-31T11:16:18"/>
    <d v="2024-01-31T12:04:18"/>
    <x v="77"/>
    <x v="355"/>
    <x v="1"/>
    <x v="1"/>
    <x v="4"/>
    <n v="68"/>
    <n v="26"/>
    <n v="50"/>
    <n v="1258"/>
    <n v="44"/>
    <n v="1392"/>
    <x v="0"/>
    <x v="0"/>
  </r>
  <r>
    <n v="491"/>
    <x v="477"/>
    <x v="382"/>
    <d v="2024-02-02T06:23:30"/>
    <d v="2024-02-02T07:34:30"/>
    <x v="14"/>
    <x v="435"/>
    <x v="1"/>
    <x v="0"/>
    <x v="1"/>
    <n v="146"/>
    <n v="48"/>
    <n v="0"/>
    <n v="1426"/>
    <n v="194"/>
    <n v="1660"/>
    <x v="0"/>
    <x v="0"/>
  </r>
  <r>
    <n v="492"/>
    <x v="478"/>
    <x v="292"/>
    <d v="2024-01-12T05:03:36"/>
    <d v="2024-01-12T05:50:36"/>
    <x v="79"/>
    <x v="436"/>
    <x v="1"/>
    <x v="1"/>
    <x v="3"/>
    <n v="115"/>
    <n v="33"/>
    <n v="0"/>
    <n v="107"/>
    <n v="148"/>
    <n v="295"/>
    <x v="0"/>
    <x v="1"/>
  </r>
  <r>
    <n v="493"/>
    <x v="479"/>
    <x v="383"/>
    <d v="2024-01-01T06:30:29"/>
    <d v="2024-01-01T07:31:29"/>
    <x v="89"/>
    <x v="437"/>
    <x v="4"/>
    <x v="0"/>
    <x v="1"/>
    <n v="128"/>
    <n v="12"/>
    <n v="0"/>
    <n v="1456"/>
    <n v="140"/>
    <n v="1616"/>
    <x v="0"/>
    <x v="2"/>
  </r>
  <r>
    <n v="494"/>
    <x v="480"/>
    <x v="384"/>
    <d v="2024-01-15T11:29:16"/>
    <d v="2024-01-15T12:19:16"/>
    <x v="19"/>
    <x v="438"/>
    <x v="4"/>
    <x v="2"/>
    <x v="4"/>
    <n v="135"/>
    <n v="39"/>
    <n v="0"/>
    <n v="1650"/>
    <n v="174"/>
    <n v="1844"/>
    <x v="0"/>
    <x v="2"/>
  </r>
  <r>
    <n v="495"/>
    <x v="481"/>
    <x v="300"/>
    <d v="2024-01-18T05:53:56"/>
    <d v="2024-01-18T06:32:56"/>
    <x v="70"/>
    <x v="439"/>
    <x v="3"/>
    <x v="2"/>
    <x v="4"/>
    <n v="173"/>
    <n v="22"/>
    <n v="150"/>
    <n v="1200"/>
    <n v="45"/>
    <n v="1445"/>
    <x v="0"/>
    <x v="1"/>
  </r>
  <r>
    <n v="496"/>
    <x v="482"/>
    <x v="110"/>
    <d v="2024-02-03T05:08:49"/>
    <d v="2024-02-03T06:14:49"/>
    <x v="26"/>
    <x v="1"/>
    <x v="3"/>
    <x v="1"/>
    <x v="0"/>
    <n v="199"/>
    <n v="28"/>
    <n v="0"/>
    <n v="759"/>
    <n v="227"/>
    <n v="1036"/>
    <x v="0"/>
    <x v="3"/>
  </r>
  <r>
    <n v="497"/>
    <x v="483"/>
    <x v="385"/>
    <d v="2024-02-04T13:07:32"/>
    <d v="2024-02-04T14:25:32"/>
    <x v="34"/>
    <x v="440"/>
    <x v="0"/>
    <x v="0"/>
    <x v="1"/>
    <n v="95"/>
    <n v="16"/>
    <n v="50"/>
    <n v="1014"/>
    <n v="61"/>
    <n v="1125"/>
    <x v="0"/>
    <x v="2"/>
  </r>
  <r>
    <n v="498"/>
    <x v="484"/>
    <x v="386"/>
    <d v="2024-01-21T22:36:17"/>
    <d v="2024-01-22T00:31:17"/>
    <x v="86"/>
    <x v="378"/>
    <x v="4"/>
    <x v="2"/>
    <x v="1"/>
    <n v="162"/>
    <n v="18"/>
    <n v="0"/>
    <n v="677"/>
    <n v="180"/>
    <n v="877"/>
    <x v="0"/>
    <x v="3"/>
  </r>
  <r>
    <n v="499"/>
    <x v="485"/>
    <x v="246"/>
    <d v="2024-01-13T08:05:23"/>
    <d v="2024-01-13T08:47:23"/>
    <x v="82"/>
    <x v="441"/>
    <x v="4"/>
    <x v="0"/>
    <x v="3"/>
    <n v="140"/>
    <n v="28"/>
    <n v="50"/>
    <n v="653"/>
    <n v="118"/>
    <n v="841"/>
    <x v="0"/>
    <x v="1"/>
  </r>
  <r>
    <n v="500"/>
    <x v="486"/>
    <x v="83"/>
    <d v="2024-01-20T22:00:56"/>
    <d v="2024-01-20T23:24:56"/>
    <x v="67"/>
    <x v="143"/>
    <x v="4"/>
    <x v="0"/>
    <x v="3"/>
    <n v="190"/>
    <n v="49"/>
    <n v="150"/>
    <n v="1395"/>
    <n v="89"/>
    <n v="1654"/>
    <x v="0"/>
    <x v="2"/>
  </r>
  <r>
    <n v="501"/>
    <x v="487"/>
    <x v="387"/>
    <d v="2024-01-07T10:28:30"/>
    <d v="2024-01-07T11:14:30"/>
    <x v="3"/>
    <x v="442"/>
    <x v="3"/>
    <x v="2"/>
    <x v="0"/>
    <n v="82"/>
    <n v="31"/>
    <n v="100"/>
    <n v="899"/>
    <n v="13"/>
    <n v="1062"/>
    <x v="0"/>
    <x v="2"/>
  </r>
  <r>
    <n v="502"/>
    <x v="488"/>
    <x v="227"/>
    <d v="2024-01-12T03:49:23"/>
    <d v="2024-01-12T04:27:23"/>
    <x v="63"/>
    <x v="443"/>
    <x v="1"/>
    <x v="0"/>
    <x v="2"/>
    <n v="182"/>
    <n v="27"/>
    <n v="50"/>
    <n v="1200"/>
    <n v="159"/>
    <n v="1449"/>
    <x v="0"/>
    <x v="1"/>
  </r>
  <r>
    <n v="503"/>
    <x v="489"/>
    <x v="89"/>
    <d v="2024-02-04T20:48:59"/>
    <d v="2024-02-04T22:45:59"/>
    <x v="45"/>
    <x v="444"/>
    <x v="2"/>
    <x v="2"/>
    <x v="2"/>
    <n v="126"/>
    <n v="32"/>
    <n v="0"/>
    <n v="812"/>
    <n v="158"/>
    <n v="1000"/>
    <x v="0"/>
    <x v="3"/>
  </r>
  <r>
    <n v="504"/>
    <x v="490"/>
    <x v="22"/>
    <d v="2024-01-18T17:14:51"/>
    <d v="2024-01-18T18:27:51"/>
    <x v="54"/>
    <x v="178"/>
    <x v="3"/>
    <x v="2"/>
    <x v="2"/>
    <n v="170"/>
    <n v="11"/>
    <n v="0"/>
    <n v="-69"/>
    <n v="181"/>
    <n v="162"/>
    <x v="0"/>
    <x v="2"/>
  </r>
  <r>
    <n v="505"/>
    <x v="491"/>
    <x v="388"/>
    <d v="2024-01-01T02:12:47"/>
    <d v="2024-01-01T03:59:47"/>
    <x v="78"/>
    <x v="17"/>
    <x v="4"/>
    <x v="2"/>
    <x v="1"/>
    <n v="177"/>
    <n v="20"/>
    <n v="0"/>
    <n v="510"/>
    <n v="197"/>
    <n v="727"/>
    <x v="0"/>
    <x v="0"/>
  </r>
  <r>
    <n v="506"/>
    <x v="492"/>
    <x v="332"/>
    <d v="2024-01-27T21:08:43"/>
    <d v="2024-01-27T22:23:43"/>
    <x v="51"/>
    <x v="445"/>
    <x v="3"/>
    <x v="0"/>
    <x v="1"/>
    <n v="127"/>
    <n v="40"/>
    <n v="50"/>
    <n v="430"/>
    <n v="117"/>
    <n v="647"/>
    <x v="0"/>
    <x v="2"/>
  </r>
  <r>
    <n v="507"/>
    <x v="493"/>
    <x v="389"/>
    <d v="2024-01-15T13:11:40"/>
    <d v="2024-01-15T13:48:40"/>
    <x v="28"/>
    <x v="446"/>
    <x v="0"/>
    <x v="2"/>
    <x v="4"/>
    <n v="116"/>
    <n v="42"/>
    <n v="0"/>
    <n v="1698"/>
    <n v="158"/>
    <n v="1856"/>
    <x v="0"/>
    <x v="0"/>
  </r>
  <r>
    <n v="508"/>
    <x v="494"/>
    <x v="26"/>
    <d v="2024-01-15T01:01:01"/>
    <d v="2024-01-15T02:07:01"/>
    <x v="26"/>
    <x v="299"/>
    <x v="4"/>
    <x v="0"/>
    <x v="1"/>
    <n v="164"/>
    <n v="23"/>
    <n v="0"/>
    <n v="150"/>
    <n v="187"/>
    <n v="357"/>
    <x v="0"/>
    <x v="2"/>
  </r>
  <r>
    <n v="509"/>
    <x v="107"/>
    <x v="303"/>
    <d v="2024-01-07T09:27:47"/>
    <d v="2024-01-07T10:15:47"/>
    <x v="77"/>
    <x v="177"/>
    <x v="0"/>
    <x v="2"/>
    <x v="1"/>
    <n v="112"/>
    <n v="25"/>
    <n v="0"/>
    <n v="1080"/>
    <n v="137"/>
    <n v="1217"/>
    <x v="1"/>
    <x v="1"/>
  </r>
  <r>
    <n v="510"/>
    <x v="495"/>
    <x v="390"/>
    <d v="2024-01-03T21:52:17"/>
    <d v="2024-01-03T23:24:17"/>
    <x v="55"/>
    <x v="282"/>
    <x v="4"/>
    <x v="2"/>
    <x v="1"/>
    <n v="162"/>
    <n v="20"/>
    <n v="0"/>
    <n v="1279"/>
    <n v="182"/>
    <n v="1481"/>
    <x v="0"/>
    <x v="0"/>
  </r>
  <r>
    <n v="511"/>
    <x v="496"/>
    <x v="391"/>
    <d v="2024-01-21T07:48:44"/>
    <d v="2024-01-21T09:03:44"/>
    <x v="51"/>
    <x v="62"/>
    <x v="3"/>
    <x v="1"/>
    <x v="0"/>
    <n v="143"/>
    <n v="42"/>
    <n v="0"/>
    <n v="695"/>
    <n v="185"/>
    <n v="930"/>
    <x v="0"/>
    <x v="0"/>
  </r>
  <r>
    <n v="512"/>
    <x v="497"/>
    <x v="392"/>
    <d v="2024-01-10T17:45:31"/>
    <d v="2024-01-10T19:25:31"/>
    <x v="13"/>
    <x v="447"/>
    <x v="1"/>
    <x v="1"/>
    <x v="1"/>
    <n v="97"/>
    <n v="16"/>
    <n v="0"/>
    <n v="1181"/>
    <n v="113"/>
    <n v="1334"/>
    <x v="0"/>
    <x v="0"/>
  </r>
  <r>
    <n v="513"/>
    <x v="498"/>
    <x v="393"/>
    <d v="2024-01-11T00:10:45"/>
    <d v="2024-01-11T01:05:45"/>
    <x v="27"/>
    <x v="448"/>
    <x v="2"/>
    <x v="1"/>
    <x v="3"/>
    <n v="61"/>
    <n v="40"/>
    <n v="0"/>
    <n v="604"/>
    <n v="101"/>
    <n v="735"/>
    <x v="0"/>
    <x v="2"/>
  </r>
  <r>
    <n v="514"/>
    <x v="452"/>
    <x v="394"/>
    <d v="2024-01-17T12:42:07"/>
    <d v="2024-01-17T13:57:07"/>
    <x v="51"/>
    <x v="449"/>
    <x v="0"/>
    <x v="0"/>
    <x v="3"/>
    <n v="194"/>
    <n v="23"/>
    <n v="150"/>
    <n v="543"/>
    <n v="67"/>
    <n v="760"/>
    <x v="2"/>
    <x v="0"/>
  </r>
  <r>
    <n v="515"/>
    <x v="499"/>
    <x v="395"/>
    <d v="2024-01-11T19:56:12"/>
    <d v="2024-01-11T21:11:12"/>
    <x v="51"/>
    <x v="450"/>
    <x v="3"/>
    <x v="0"/>
    <x v="4"/>
    <n v="89"/>
    <n v="37"/>
    <n v="0"/>
    <n v="1621"/>
    <n v="126"/>
    <n v="1797"/>
    <x v="0"/>
    <x v="2"/>
  </r>
  <r>
    <n v="516"/>
    <x v="500"/>
    <x v="396"/>
    <d v="2024-01-06T10:51:22"/>
    <d v="2024-01-06T12:35:22"/>
    <x v="59"/>
    <x v="131"/>
    <x v="1"/>
    <x v="2"/>
    <x v="0"/>
    <n v="134"/>
    <n v="25"/>
    <n v="50"/>
    <n v="1531"/>
    <n v="109"/>
    <n v="1730"/>
    <x v="2"/>
    <x v="0"/>
  </r>
  <r>
    <n v="517"/>
    <x v="501"/>
    <x v="265"/>
    <d v="2024-01-23T05:41:17"/>
    <d v="2024-01-23T06:24:17"/>
    <x v="39"/>
    <x v="325"/>
    <x v="3"/>
    <x v="2"/>
    <x v="3"/>
    <n v="106"/>
    <n v="28"/>
    <n v="0"/>
    <n v="814"/>
    <n v="134"/>
    <n v="998"/>
    <x v="0"/>
    <x v="2"/>
  </r>
  <r>
    <n v="518"/>
    <x v="502"/>
    <x v="397"/>
    <d v="2024-01-01T16:49:05"/>
    <d v="2024-01-01T18:43:05"/>
    <x v="8"/>
    <x v="318"/>
    <x v="0"/>
    <x v="2"/>
    <x v="0"/>
    <n v="136"/>
    <n v="26"/>
    <n v="150"/>
    <n v="873"/>
    <n v="12"/>
    <n v="1035"/>
    <x v="0"/>
    <x v="3"/>
  </r>
  <r>
    <n v="519"/>
    <x v="503"/>
    <x v="398"/>
    <d v="2024-01-27T20:44:06"/>
    <d v="2024-01-27T22:16:06"/>
    <x v="55"/>
    <x v="451"/>
    <x v="2"/>
    <x v="2"/>
    <x v="0"/>
    <n v="133"/>
    <n v="35"/>
    <n v="100"/>
    <n v="1422"/>
    <n v="68"/>
    <n v="1620"/>
    <x v="0"/>
    <x v="0"/>
  </r>
  <r>
    <n v="520"/>
    <x v="504"/>
    <x v="399"/>
    <d v="2024-02-02T16:37:38"/>
    <d v="2024-02-02T18:18:38"/>
    <x v="71"/>
    <x v="199"/>
    <x v="3"/>
    <x v="0"/>
    <x v="4"/>
    <n v="170"/>
    <n v="15"/>
    <n v="100"/>
    <n v="542"/>
    <n v="85"/>
    <n v="777"/>
    <x v="0"/>
    <x v="0"/>
  </r>
  <r>
    <n v="521"/>
    <x v="505"/>
    <x v="397"/>
    <d v="2024-02-05T17:23:42"/>
    <d v="2024-02-05T17:55:42"/>
    <x v="66"/>
    <x v="452"/>
    <x v="4"/>
    <x v="2"/>
    <x v="0"/>
    <n v="123"/>
    <n v="18"/>
    <n v="100"/>
    <n v="101"/>
    <n v="41"/>
    <n v="262"/>
    <x v="0"/>
    <x v="3"/>
  </r>
  <r>
    <n v="522"/>
    <x v="506"/>
    <x v="97"/>
    <d v="2024-01-25T06:23:14"/>
    <d v="2024-01-25T07:20:14"/>
    <x v="64"/>
    <x v="453"/>
    <x v="1"/>
    <x v="2"/>
    <x v="1"/>
    <n v="156"/>
    <n v="26"/>
    <n v="0"/>
    <n v="1142"/>
    <n v="182"/>
    <n v="1364"/>
    <x v="2"/>
    <x v="2"/>
  </r>
  <r>
    <n v="523"/>
    <x v="507"/>
    <x v="400"/>
    <d v="2024-01-19T16:49:37"/>
    <d v="2024-01-19T17:47:37"/>
    <x v="2"/>
    <x v="454"/>
    <x v="3"/>
    <x v="1"/>
    <x v="0"/>
    <n v="173"/>
    <n v="40"/>
    <n v="100"/>
    <n v="1090"/>
    <n v="113"/>
    <n v="1353"/>
    <x v="0"/>
    <x v="0"/>
  </r>
  <r>
    <n v="524"/>
    <x v="508"/>
    <x v="386"/>
    <d v="2024-01-28T04:07:29"/>
    <d v="2024-01-28T06:03:29"/>
    <x v="57"/>
    <x v="455"/>
    <x v="1"/>
    <x v="2"/>
    <x v="4"/>
    <n v="149"/>
    <n v="21"/>
    <n v="0"/>
    <n v="643"/>
    <n v="170"/>
    <n v="853"/>
    <x v="0"/>
    <x v="3"/>
  </r>
  <r>
    <n v="525"/>
    <x v="509"/>
    <x v="401"/>
    <d v="2024-01-12T06:19:41"/>
    <d v="2024-01-12T07:06:41"/>
    <x v="79"/>
    <x v="456"/>
    <x v="4"/>
    <x v="2"/>
    <x v="4"/>
    <n v="92"/>
    <n v="32"/>
    <n v="0"/>
    <n v="1363"/>
    <n v="124"/>
    <n v="1507"/>
    <x v="0"/>
    <x v="1"/>
  </r>
  <r>
    <n v="526"/>
    <x v="510"/>
    <x v="402"/>
    <d v="2024-02-06T01:46:50"/>
    <d v="2024-02-06T02:50:50"/>
    <x v="33"/>
    <x v="457"/>
    <x v="2"/>
    <x v="2"/>
    <x v="4"/>
    <n v="168"/>
    <n v="14"/>
    <n v="0"/>
    <n v="396"/>
    <n v="182"/>
    <n v="608"/>
    <x v="0"/>
    <x v="1"/>
  </r>
  <r>
    <n v="527"/>
    <x v="511"/>
    <x v="233"/>
    <d v="2024-01-18T06:20:33"/>
    <d v="2024-01-18T08:06:33"/>
    <x v="23"/>
    <x v="458"/>
    <x v="2"/>
    <x v="0"/>
    <x v="3"/>
    <n v="72"/>
    <n v="45"/>
    <n v="100"/>
    <n v="547"/>
    <n v="17"/>
    <n v="694"/>
    <x v="0"/>
    <x v="5"/>
  </r>
  <r>
    <n v="528"/>
    <x v="512"/>
    <x v="16"/>
    <d v="2024-01-09T02:54:52"/>
    <d v="2024-01-09T04:39:52"/>
    <x v="24"/>
    <x v="135"/>
    <x v="4"/>
    <x v="1"/>
    <x v="1"/>
    <n v="86"/>
    <n v="45"/>
    <n v="0"/>
    <n v="439"/>
    <n v="131"/>
    <n v="590"/>
    <x v="2"/>
    <x v="3"/>
  </r>
  <r>
    <n v="529"/>
    <x v="111"/>
    <x v="107"/>
    <d v="2024-01-18T18:04:14"/>
    <d v="2024-01-18T19:20:14"/>
    <x v="37"/>
    <x v="459"/>
    <x v="1"/>
    <x v="2"/>
    <x v="3"/>
    <n v="183"/>
    <n v="12"/>
    <n v="150"/>
    <n v="288"/>
    <n v="45"/>
    <n v="523"/>
    <x v="2"/>
    <x v="2"/>
  </r>
  <r>
    <n v="530"/>
    <x v="513"/>
    <x v="403"/>
    <d v="2024-02-04T18:17:27"/>
    <d v="2024-02-04T18:51:27"/>
    <x v="58"/>
    <x v="460"/>
    <x v="3"/>
    <x v="2"/>
    <x v="2"/>
    <n v="114"/>
    <n v="33"/>
    <n v="0"/>
    <n v="1668"/>
    <n v="147"/>
    <n v="1865"/>
    <x v="0"/>
    <x v="0"/>
  </r>
  <r>
    <n v="531"/>
    <x v="514"/>
    <x v="377"/>
    <d v="2024-01-24T20:42:54"/>
    <d v="2024-01-24T22:26:54"/>
    <x v="59"/>
    <x v="196"/>
    <x v="4"/>
    <x v="1"/>
    <x v="1"/>
    <n v="183"/>
    <n v="26"/>
    <n v="150"/>
    <n v="816"/>
    <n v="59"/>
    <n v="1045"/>
    <x v="0"/>
    <x v="2"/>
  </r>
  <r>
    <n v="532"/>
    <x v="515"/>
    <x v="404"/>
    <d v="2024-01-14T22:38:00"/>
    <d v="2024-01-15T00:06:00"/>
    <x v="0"/>
    <x v="461"/>
    <x v="0"/>
    <x v="2"/>
    <x v="0"/>
    <n v="71"/>
    <n v="48"/>
    <n v="50"/>
    <n v="397"/>
    <n v="69"/>
    <n v="516"/>
    <x v="0"/>
    <x v="0"/>
  </r>
  <r>
    <n v="533"/>
    <x v="516"/>
    <x v="386"/>
    <d v="2024-02-02T07:05:58"/>
    <d v="2024-02-02T08:49:58"/>
    <x v="59"/>
    <x v="462"/>
    <x v="1"/>
    <x v="0"/>
    <x v="4"/>
    <n v="154"/>
    <n v="35"/>
    <n v="150"/>
    <n v="1759"/>
    <n v="39"/>
    <n v="1988"/>
    <x v="0"/>
    <x v="3"/>
  </r>
  <r>
    <n v="534"/>
    <x v="517"/>
    <x v="222"/>
    <d v="2024-02-06T22:17:44"/>
    <d v="2024-02-06T23:45:44"/>
    <x v="0"/>
    <x v="402"/>
    <x v="2"/>
    <x v="2"/>
    <x v="2"/>
    <n v="137"/>
    <n v="13"/>
    <n v="0"/>
    <n v="257"/>
    <n v="150"/>
    <n v="437"/>
    <x v="0"/>
    <x v="3"/>
  </r>
  <r>
    <n v="535"/>
    <x v="518"/>
    <x v="386"/>
    <d v="2024-02-02T04:51:46"/>
    <d v="2024-02-02T06:07:46"/>
    <x v="37"/>
    <x v="463"/>
    <x v="4"/>
    <x v="0"/>
    <x v="1"/>
    <n v="174"/>
    <n v="21"/>
    <n v="0"/>
    <n v="553"/>
    <n v="195"/>
    <n v="768"/>
    <x v="0"/>
    <x v="3"/>
  </r>
  <r>
    <n v="536"/>
    <x v="519"/>
    <x v="405"/>
    <d v="2024-01-21T10:25:24"/>
    <d v="2024-01-21T11:07:24"/>
    <x v="82"/>
    <x v="464"/>
    <x v="2"/>
    <x v="0"/>
    <x v="3"/>
    <n v="128"/>
    <n v="10"/>
    <n v="0"/>
    <n v="1679"/>
    <n v="138"/>
    <n v="1847"/>
    <x v="2"/>
    <x v="0"/>
  </r>
  <r>
    <n v="537"/>
    <x v="520"/>
    <x v="397"/>
    <d v="2024-01-15T11:23:52"/>
    <d v="2024-01-15T13:10:52"/>
    <x v="78"/>
    <x v="465"/>
    <x v="1"/>
    <x v="2"/>
    <x v="4"/>
    <n v="139"/>
    <n v="30"/>
    <n v="0"/>
    <n v="1321"/>
    <n v="169"/>
    <n v="1530"/>
    <x v="0"/>
    <x v="3"/>
  </r>
  <r>
    <n v="538"/>
    <x v="521"/>
    <x v="153"/>
    <d v="2024-01-24T08:06:51"/>
    <d v="2024-01-24T10:04:51"/>
    <x v="72"/>
    <x v="466"/>
    <x v="2"/>
    <x v="1"/>
    <x v="3"/>
    <n v="100"/>
    <n v="28"/>
    <n v="150"/>
    <n v="996"/>
    <n v="-22"/>
    <n v="1154"/>
    <x v="0"/>
    <x v="2"/>
  </r>
  <r>
    <n v="539"/>
    <x v="522"/>
    <x v="191"/>
    <d v="2024-01-27T21:10:21"/>
    <d v="2024-01-27T22:12:21"/>
    <x v="80"/>
    <x v="467"/>
    <x v="4"/>
    <x v="0"/>
    <x v="1"/>
    <n v="151"/>
    <n v="30"/>
    <n v="0"/>
    <n v="986"/>
    <n v="181"/>
    <n v="1187"/>
    <x v="0"/>
    <x v="2"/>
  </r>
  <r>
    <n v="540"/>
    <x v="523"/>
    <x v="406"/>
    <d v="2024-02-06T17:37:49"/>
    <d v="2024-02-06T19:08:49"/>
    <x v="25"/>
    <x v="468"/>
    <x v="1"/>
    <x v="1"/>
    <x v="1"/>
    <n v="155"/>
    <n v="27"/>
    <n v="0"/>
    <n v="656"/>
    <n v="182"/>
    <n v="878"/>
    <x v="2"/>
    <x v="0"/>
  </r>
  <r>
    <n v="541"/>
    <x v="524"/>
    <x v="235"/>
    <d v="2024-01-23T20:39:14"/>
    <d v="2024-01-23T22:27:14"/>
    <x v="88"/>
    <x v="469"/>
    <x v="0"/>
    <x v="2"/>
    <x v="2"/>
    <n v="109"/>
    <n v="12"/>
    <n v="0"/>
    <n v="1845"/>
    <n v="121"/>
    <n v="1966"/>
    <x v="0"/>
    <x v="1"/>
  </r>
  <r>
    <n v="542"/>
    <x v="525"/>
    <x v="62"/>
    <d v="2024-01-02T14:11:18"/>
    <d v="2024-01-02T14:56:18"/>
    <x v="83"/>
    <x v="244"/>
    <x v="4"/>
    <x v="0"/>
    <x v="0"/>
    <n v="95"/>
    <n v="41"/>
    <n v="0"/>
    <n v="1085"/>
    <n v="136"/>
    <n v="1241"/>
    <x v="0"/>
    <x v="1"/>
  </r>
  <r>
    <n v="543"/>
    <x v="526"/>
    <x v="407"/>
    <d v="2024-02-07T12:51:27"/>
    <d v="2024-02-07T14:04:27"/>
    <x v="54"/>
    <x v="334"/>
    <x v="3"/>
    <x v="2"/>
    <x v="3"/>
    <n v="85"/>
    <n v="19"/>
    <n v="100"/>
    <n v="1739"/>
    <n v="4"/>
    <n v="1893"/>
    <x v="0"/>
    <x v="0"/>
  </r>
  <r>
    <n v="544"/>
    <x v="527"/>
    <x v="151"/>
    <d v="2024-01-11T12:41:51"/>
    <d v="2024-01-11T14:08:51"/>
    <x v="76"/>
    <x v="470"/>
    <x v="4"/>
    <x v="1"/>
    <x v="2"/>
    <n v="60"/>
    <n v="49"/>
    <n v="0"/>
    <n v="1279"/>
    <n v="109"/>
    <n v="1408"/>
    <x v="0"/>
    <x v="2"/>
  </r>
  <r>
    <n v="545"/>
    <x v="528"/>
    <x v="408"/>
    <d v="2024-02-01T11:16:19"/>
    <d v="2024-02-01T11:51:19"/>
    <x v="1"/>
    <x v="471"/>
    <x v="1"/>
    <x v="2"/>
    <x v="4"/>
    <n v="61"/>
    <n v="24"/>
    <n v="0"/>
    <n v="1838"/>
    <n v="85"/>
    <n v="1963"/>
    <x v="0"/>
    <x v="2"/>
  </r>
  <r>
    <n v="546"/>
    <x v="529"/>
    <x v="409"/>
    <d v="2024-01-19T17:55:15"/>
    <d v="2024-01-19T19:53:15"/>
    <x v="72"/>
    <x v="472"/>
    <x v="4"/>
    <x v="2"/>
    <x v="0"/>
    <n v="88"/>
    <n v="14"/>
    <n v="0"/>
    <n v="1804"/>
    <n v="102"/>
    <n v="1926"/>
    <x v="0"/>
    <x v="2"/>
  </r>
  <r>
    <n v="547"/>
    <x v="134"/>
    <x v="250"/>
    <d v="2024-01-30T23:31:50"/>
    <d v="2024-01-31T00:15:50"/>
    <x v="22"/>
    <x v="473"/>
    <x v="0"/>
    <x v="0"/>
    <x v="2"/>
    <n v="188"/>
    <n v="13"/>
    <n v="150"/>
    <n v="38"/>
    <n v="51"/>
    <n v="239"/>
    <x v="2"/>
    <x v="3"/>
  </r>
  <r>
    <n v="548"/>
    <x v="530"/>
    <x v="250"/>
    <d v="2024-01-19T20:08:07"/>
    <d v="2024-01-19T20:41:07"/>
    <x v="30"/>
    <x v="474"/>
    <x v="0"/>
    <x v="2"/>
    <x v="3"/>
    <n v="85"/>
    <n v="37"/>
    <n v="150"/>
    <n v="1482"/>
    <n v="-28"/>
    <n v="1604"/>
    <x v="2"/>
    <x v="3"/>
  </r>
  <r>
    <n v="549"/>
    <x v="531"/>
    <x v="410"/>
    <d v="2024-01-25T13:01:04"/>
    <d v="2024-01-25T14:26:04"/>
    <x v="12"/>
    <x v="377"/>
    <x v="3"/>
    <x v="2"/>
    <x v="1"/>
    <n v="101"/>
    <n v="13"/>
    <n v="0"/>
    <n v="1246"/>
    <n v="114"/>
    <n v="1410"/>
    <x v="0"/>
    <x v="0"/>
  </r>
  <r>
    <n v="550"/>
    <x v="532"/>
    <x v="411"/>
    <d v="2024-01-12T02:50:12"/>
    <d v="2024-01-12T04:23:12"/>
    <x v="73"/>
    <x v="475"/>
    <x v="2"/>
    <x v="2"/>
    <x v="4"/>
    <n v="80"/>
    <n v="24"/>
    <n v="0"/>
    <n v="969"/>
    <n v="104"/>
    <n v="1103"/>
    <x v="0"/>
    <x v="0"/>
  </r>
  <r>
    <n v="551"/>
    <x v="533"/>
    <x v="304"/>
    <d v="2024-01-05T22:43:07"/>
    <d v="2024-01-06T00:20:07"/>
    <x v="40"/>
    <x v="359"/>
    <x v="1"/>
    <x v="0"/>
    <x v="3"/>
    <n v="82"/>
    <n v="26"/>
    <n v="0"/>
    <n v="1008"/>
    <n v="108"/>
    <n v="1156"/>
    <x v="0"/>
    <x v="1"/>
  </r>
  <r>
    <n v="552"/>
    <x v="534"/>
    <x v="166"/>
    <d v="2024-01-30T07:22:27"/>
    <d v="2024-01-30T08:25:27"/>
    <x v="43"/>
    <x v="476"/>
    <x v="1"/>
    <x v="1"/>
    <x v="0"/>
    <n v="190"/>
    <n v="12"/>
    <n v="50"/>
    <n v="850"/>
    <n v="152"/>
    <n v="1092"/>
    <x v="0"/>
    <x v="1"/>
  </r>
  <r>
    <n v="553"/>
    <x v="535"/>
    <x v="412"/>
    <d v="2024-01-23T09:08:51"/>
    <d v="2024-01-23T10:33:51"/>
    <x v="12"/>
    <x v="266"/>
    <x v="2"/>
    <x v="1"/>
    <x v="0"/>
    <n v="195"/>
    <n v="19"/>
    <n v="0"/>
    <n v="789"/>
    <n v="214"/>
    <n v="1033"/>
    <x v="2"/>
    <x v="2"/>
  </r>
  <r>
    <n v="554"/>
    <x v="536"/>
    <x v="413"/>
    <d v="2024-02-03T12:26:35"/>
    <d v="2024-02-03T13:27:35"/>
    <x v="89"/>
    <x v="385"/>
    <x v="0"/>
    <x v="2"/>
    <x v="1"/>
    <n v="107"/>
    <n v="32"/>
    <n v="50"/>
    <n v="32"/>
    <n v="89"/>
    <n v="171"/>
    <x v="0"/>
    <x v="0"/>
  </r>
  <r>
    <n v="555"/>
    <x v="537"/>
    <x v="169"/>
    <d v="2024-01-18T21:03:33"/>
    <d v="2024-01-18T21:41:33"/>
    <x v="63"/>
    <x v="477"/>
    <x v="0"/>
    <x v="0"/>
    <x v="1"/>
    <n v="177"/>
    <n v="27"/>
    <n v="0"/>
    <n v="1586"/>
    <n v="204"/>
    <n v="1790"/>
    <x v="0"/>
    <x v="1"/>
  </r>
  <r>
    <n v="556"/>
    <x v="538"/>
    <x v="300"/>
    <d v="2024-01-16T00:27:18"/>
    <d v="2024-01-16T01:59:18"/>
    <x v="55"/>
    <x v="293"/>
    <x v="4"/>
    <x v="2"/>
    <x v="4"/>
    <n v="80"/>
    <n v="10"/>
    <n v="0"/>
    <n v="1223"/>
    <n v="90"/>
    <n v="1333"/>
    <x v="0"/>
    <x v="1"/>
  </r>
  <r>
    <n v="557"/>
    <x v="506"/>
    <x v="132"/>
    <d v="2024-02-04T00:49:53"/>
    <d v="2024-02-04T02:30:53"/>
    <x v="71"/>
    <x v="237"/>
    <x v="3"/>
    <x v="1"/>
    <x v="4"/>
    <n v="104"/>
    <n v="44"/>
    <n v="0"/>
    <n v="1243"/>
    <n v="148"/>
    <n v="1441"/>
    <x v="2"/>
    <x v="3"/>
  </r>
  <r>
    <n v="558"/>
    <x v="539"/>
    <x v="414"/>
    <d v="2024-01-06T01:01:24"/>
    <d v="2024-01-06T02:48:24"/>
    <x v="78"/>
    <x v="478"/>
    <x v="3"/>
    <x v="0"/>
    <x v="1"/>
    <n v="59"/>
    <n v="40"/>
    <n v="0"/>
    <n v="1345"/>
    <n v="99"/>
    <n v="1494"/>
    <x v="0"/>
    <x v="0"/>
  </r>
  <r>
    <n v="559"/>
    <x v="540"/>
    <x v="415"/>
    <d v="2024-01-25T22:22:54"/>
    <d v="2024-01-25T23:24:54"/>
    <x v="80"/>
    <x v="479"/>
    <x v="3"/>
    <x v="1"/>
    <x v="1"/>
    <n v="179"/>
    <n v="10"/>
    <n v="0"/>
    <n v="17"/>
    <n v="189"/>
    <n v="256"/>
    <x v="0"/>
    <x v="2"/>
  </r>
  <r>
    <n v="560"/>
    <x v="541"/>
    <x v="416"/>
    <d v="2024-01-29T03:08:45"/>
    <d v="2024-01-29T05:04:45"/>
    <x v="57"/>
    <x v="480"/>
    <x v="4"/>
    <x v="1"/>
    <x v="0"/>
    <n v="64"/>
    <n v="12"/>
    <n v="0"/>
    <n v="1279"/>
    <n v="76"/>
    <n v="1375"/>
    <x v="0"/>
    <x v="0"/>
  </r>
  <r>
    <n v="561"/>
    <x v="542"/>
    <x v="68"/>
    <d v="2024-02-07T13:19:59"/>
    <d v="2024-02-07T14:09:59"/>
    <x v="19"/>
    <x v="481"/>
    <x v="3"/>
    <x v="0"/>
    <x v="1"/>
    <n v="52"/>
    <n v="12"/>
    <n v="150"/>
    <n v="1101"/>
    <n v="-86"/>
    <n v="1215"/>
    <x v="0"/>
    <x v="3"/>
  </r>
  <r>
    <n v="562"/>
    <x v="543"/>
    <x v="56"/>
    <d v="2024-01-15T05:54:04"/>
    <d v="2024-01-15T07:18:04"/>
    <x v="67"/>
    <x v="401"/>
    <x v="2"/>
    <x v="0"/>
    <x v="2"/>
    <n v="92"/>
    <n v="46"/>
    <n v="0"/>
    <n v="1687"/>
    <n v="138"/>
    <n v="1855"/>
    <x v="0"/>
    <x v="3"/>
  </r>
  <r>
    <n v="563"/>
    <x v="209"/>
    <x v="417"/>
    <d v="2024-02-05T19:43:30"/>
    <d v="2024-02-05T21:28:30"/>
    <x v="24"/>
    <x v="482"/>
    <x v="4"/>
    <x v="2"/>
    <x v="3"/>
    <n v="116"/>
    <n v="28"/>
    <n v="0"/>
    <n v="838"/>
    <n v="144"/>
    <n v="1002"/>
    <x v="2"/>
    <x v="0"/>
  </r>
  <r>
    <n v="564"/>
    <x v="544"/>
    <x v="418"/>
    <d v="2024-01-29T10:14:30"/>
    <d v="2024-01-29T11:40:30"/>
    <x v="18"/>
    <x v="483"/>
    <x v="2"/>
    <x v="2"/>
    <x v="1"/>
    <n v="105"/>
    <n v="38"/>
    <n v="0"/>
    <n v="95"/>
    <n v="143"/>
    <n v="268"/>
    <x v="0"/>
    <x v="0"/>
  </r>
  <r>
    <n v="565"/>
    <x v="545"/>
    <x v="412"/>
    <d v="2024-01-06T16:00:26"/>
    <d v="2024-01-06T16:31:26"/>
    <x v="60"/>
    <x v="484"/>
    <x v="4"/>
    <x v="1"/>
    <x v="4"/>
    <n v="112"/>
    <n v="34"/>
    <n v="100"/>
    <n v="568"/>
    <n v="46"/>
    <n v="734"/>
    <x v="0"/>
    <x v="2"/>
  </r>
  <r>
    <n v="566"/>
    <x v="546"/>
    <x v="419"/>
    <d v="2024-01-04T08:14:19"/>
    <d v="2024-01-04T08:56:19"/>
    <x v="82"/>
    <x v="485"/>
    <x v="3"/>
    <x v="0"/>
    <x v="2"/>
    <n v="64"/>
    <n v="42"/>
    <n v="0"/>
    <n v="1700"/>
    <n v="106"/>
    <n v="1856"/>
    <x v="0"/>
    <x v="0"/>
  </r>
  <r>
    <n v="567"/>
    <x v="547"/>
    <x v="28"/>
    <d v="2024-01-10T10:07:17"/>
    <d v="2024-01-10T10:40:17"/>
    <x v="30"/>
    <x v="486"/>
    <x v="2"/>
    <x v="0"/>
    <x v="4"/>
    <n v="158"/>
    <n v="45"/>
    <n v="0"/>
    <n v="759"/>
    <n v="203"/>
    <n v="992"/>
    <x v="0"/>
    <x v="2"/>
  </r>
  <r>
    <n v="568"/>
    <x v="548"/>
    <x v="420"/>
    <d v="2024-01-20T08:38:37"/>
    <d v="2024-01-20T10:31:37"/>
    <x v="42"/>
    <x v="487"/>
    <x v="2"/>
    <x v="2"/>
    <x v="2"/>
    <n v="165"/>
    <n v="38"/>
    <n v="0"/>
    <n v="169"/>
    <n v="203"/>
    <n v="402"/>
    <x v="0"/>
    <x v="0"/>
  </r>
  <r>
    <n v="569"/>
    <x v="549"/>
    <x v="421"/>
    <d v="2024-01-07T10:17:42"/>
    <d v="2024-01-07T11:36:42"/>
    <x v="10"/>
    <x v="474"/>
    <x v="2"/>
    <x v="1"/>
    <x v="1"/>
    <n v="141"/>
    <n v="35"/>
    <n v="0"/>
    <n v="1428"/>
    <n v="176"/>
    <n v="1634"/>
    <x v="0"/>
    <x v="0"/>
  </r>
  <r>
    <n v="570"/>
    <x v="550"/>
    <x v="297"/>
    <d v="2024-01-11T17:37:40"/>
    <d v="2024-01-11T18:54:40"/>
    <x v="17"/>
    <x v="488"/>
    <x v="4"/>
    <x v="1"/>
    <x v="3"/>
    <n v="187"/>
    <n v="13"/>
    <n v="50"/>
    <n v="315"/>
    <n v="150"/>
    <n v="535"/>
    <x v="0"/>
    <x v="2"/>
  </r>
  <r>
    <n v="571"/>
    <x v="551"/>
    <x v="422"/>
    <d v="2024-01-18T21:30:36"/>
    <d v="2024-01-18T23:17:36"/>
    <x v="78"/>
    <x v="489"/>
    <x v="1"/>
    <x v="2"/>
    <x v="4"/>
    <n v="96"/>
    <n v="23"/>
    <n v="0"/>
    <n v="486"/>
    <n v="119"/>
    <n v="645"/>
    <x v="0"/>
    <x v="0"/>
  </r>
  <r>
    <n v="572"/>
    <x v="552"/>
    <x v="423"/>
    <d v="2024-02-07T07:01:41"/>
    <d v="2024-02-07T08:00:41"/>
    <x v="44"/>
    <x v="490"/>
    <x v="3"/>
    <x v="0"/>
    <x v="2"/>
    <n v="106"/>
    <n v="36"/>
    <n v="0"/>
    <n v="690"/>
    <n v="142"/>
    <n v="882"/>
    <x v="2"/>
    <x v="2"/>
  </r>
  <r>
    <n v="573"/>
    <x v="553"/>
    <x v="166"/>
    <d v="2024-01-15T08:53:17"/>
    <d v="2024-01-15T09:51:17"/>
    <x v="2"/>
    <x v="491"/>
    <x v="2"/>
    <x v="2"/>
    <x v="0"/>
    <n v="99"/>
    <n v="42"/>
    <n v="0"/>
    <n v="1707"/>
    <n v="141"/>
    <n v="1878"/>
    <x v="0"/>
    <x v="1"/>
  </r>
  <r>
    <n v="574"/>
    <x v="554"/>
    <x v="424"/>
    <d v="2024-01-27T12:21:10"/>
    <d v="2024-01-27T12:58:10"/>
    <x v="28"/>
    <x v="89"/>
    <x v="1"/>
    <x v="2"/>
    <x v="1"/>
    <n v="120"/>
    <n v="31"/>
    <n v="0"/>
    <n v="1825"/>
    <n v="151"/>
    <n v="2016"/>
    <x v="0"/>
    <x v="0"/>
  </r>
  <r>
    <n v="575"/>
    <x v="555"/>
    <x v="326"/>
    <d v="2024-01-07T21:05:05"/>
    <d v="2024-01-07T21:46:05"/>
    <x v="53"/>
    <x v="492"/>
    <x v="3"/>
    <x v="2"/>
    <x v="3"/>
    <n v="192"/>
    <n v="12"/>
    <n v="0"/>
    <n v="319"/>
    <n v="204"/>
    <n v="573"/>
    <x v="0"/>
    <x v="2"/>
  </r>
  <r>
    <n v="576"/>
    <x v="556"/>
    <x v="425"/>
    <d v="2024-01-01T17:30:37"/>
    <d v="2024-01-01T18:40:37"/>
    <x v="36"/>
    <x v="493"/>
    <x v="3"/>
    <x v="2"/>
    <x v="1"/>
    <n v="195"/>
    <n v="32"/>
    <n v="150"/>
    <n v="1303"/>
    <n v="77"/>
    <n v="1580"/>
    <x v="0"/>
    <x v="0"/>
  </r>
  <r>
    <n v="577"/>
    <x v="557"/>
    <x v="426"/>
    <d v="2024-01-31T09:59:48"/>
    <d v="2024-01-31T10:54:48"/>
    <x v="27"/>
    <x v="494"/>
    <x v="2"/>
    <x v="0"/>
    <x v="0"/>
    <n v="131"/>
    <n v="30"/>
    <n v="0"/>
    <n v="1530"/>
    <n v="161"/>
    <n v="1721"/>
    <x v="0"/>
    <x v="0"/>
  </r>
  <r>
    <n v="578"/>
    <x v="558"/>
    <x v="69"/>
    <d v="2024-02-01T16:40:21"/>
    <d v="2024-02-01T17:59:21"/>
    <x v="10"/>
    <x v="495"/>
    <x v="2"/>
    <x v="2"/>
    <x v="3"/>
    <n v="165"/>
    <n v="50"/>
    <n v="0"/>
    <n v="274"/>
    <n v="215"/>
    <n v="519"/>
    <x v="0"/>
    <x v="2"/>
  </r>
  <r>
    <n v="579"/>
    <x v="559"/>
    <x v="132"/>
    <d v="2024-01-15T20:19:49"/>
    <d v="2024-01-15T20:50:49"/>
    <x v="60"/>
    <x v="496"/>
    <x v="4"/>
    <x v="0"/>
    <x v="0"/>
    <n v="154"/>
    <n v="32"/>
    <n v="50"/>
    <n v="255"/>
    <n v="136"/>
    <n v="461"/>
    <x v="0"/>
    <x v="3"/>
  </r>
  <r>
    <n v="580"/>
    <x v="560"/>
    <x v="427"/>
    <d v="2024-01-03T08:46:06"/>
    <d v="2024-01-03T10:10:06"/>
    <x v="67"/>
    <x v="497"/>
    <x v="1"/>
    <x v="2"/>
    <x v="1"/>
    <n v="137"/>
    <n v="13"/>
    <n v="0"/>
    <n v="895"/>
    <n v="150"/>
    <n v="1085"/>
    <x v="0"/>
    <x v="0"/>
  </r>
  <r>
    <n v="581"/>
    <x v="561"/>
    <x v="428"/>
    <d v="2024-01-06T19:33:40"/>
    <d v="2024-01-06T20:58:40"/>
    <x v="12"/>
    <x v="498"/>
    <x v="1"/>
    <x v="1"/>
    <x v="2"/>
    <n v="51"/>
    <n v="30"/>
    <n v="50"/>
    <n v="632"/>
    <n v="31"/>
    <n v="753"/>
    <x v="0"/>
    <x v="0"/>
  </r>
  <r>
    <n v="582"/>
    <x v="562"/>
    <x v="429"/>
    <d v="2024-01-27T01:23:21"/>
    <d v="2024-01-27T02:06:21"/>
    <x v="39"/>
    <x v="499"/>
    <x v="2"/>
    <x v="0"/>
    <x v="1"/>
    <n v="153"/>
    <n v="46"/>
    <n v="150"/>
    <n v="393"/>
    <n v="49"/>
    <n v="622"/>
    <x v="0"/>
    <x v="2"/>
  </r>
  <r>
    <n v="583"/>
    <x v="563"/>
    <x v="430"/>
    <d v="2024-01-16T10:45:42"/>
    <d v="2024-01-16T11:20:42"/>
    <x v="1"/>
    <x v="265"/>
    <x v="3"/>
    <x v="1"/>
    <x v="1"/>
    <n v="133"/>
    <n v="40"/>
    <n v="0"/>
    <n v="118"/>
    <n v="173"/>
    <n v="341"/>
    <x v="0"/>
    <x v="1"/>
  </r>
  <r>
    <n v="584"/>
    <x v="564"/>
    <x v="223"/>
    <d v="2024-01-20T10:26:01"/>
    <d v="2024-01-20T12:16:01"/>
    <x v="7"/>
    <x v="67"/>
    <x v="2"/>
    <x v="2"/>
    <x v="1"/>
    <n v="92"/>
    <n v="30"/>
    <n v="0"/>
    <n v="476"/>
    <n v="122"/>
    <n v="628"/>
    <x v="0"/>
    <x v="4"/>
  </r>
  <r>
    <n v="585"/>
    <x v="565"/>
    <x v="431"/>
    <d v="2024-01-13T00:23:19"/>
    <d v="2024-01-13T02:21:19"/>
    <x v="72"/>
    <x v="500"/>
    <x v="3"/>
    <x v="2"/>
    <x v="4"/>
    <n v="120"/>
    <n v="35"/>
    <n v="100"/>
    <n v="766"/>
    <n v="55"/>
    <n v="971"/>
    <x v="0"/>
    <x v="2"/>
  </r>
  <r>
    <n v="586"/>
    <x v="566"/>
    <x v="112"/>
    <d v="2024-01-08T15:35:02"/>
    <d v="2024-01-08T17:05:02"/>
    <x v="38"/>
    <x v="501"/>
    <x v="3"/>
    <x v="2"/>
    <x v="0"/>
    <n v="143"/>
    <n v="50"/>
    <n v="0"/>
    <n v="1642"/>
    <n v="193"/>
    <n v="1885"/>
    <x v="0"/>
    <x v="2"/>
  </r>
  <r>
    <n v="587"/>
    <x v="567"/>
    <x v="402"/>
    <d v="2024-01-18T19:15:12"/>
    <d v="2024-01-18T19:56:12"/>
    <x v="53"/>
    <x v="502"/>
    <x v="2"/>
    <x v="0"/>
    <x v="0"/>
    <n v="91"/>
    <n v="44"/>
    <n v="0"/>
    <n v="1221"/>
    <n v="135"/>
    <n v="1386"/>
    <x v="0"/>
    <x v="1"/>
  </r>
  <r>
    <n v="588"/>
    <x v="568"/>
    <x v="432"/>
    <d v="2024-01-13T20:03:24"/>
    <d v="2024-01-13T20:45:24"/>
    <x v="82"/>
    <x v="344"/>
    <x v="0"/>
    <x v="1"/>
    <x v="0"/>
    <n v="182"/>
    <n v="47"/>
    <n v="0"/>
    <n v="97"/>
    <n v="229"/>
    <n v="326"/>
    <x v="0"/>
    <x v="0"/>
  </r>
  <r>
    <n v="589"/>
    <x v="569"/>
    <x v="433"/>
    <d v="2024-01-20T23:37:56"/>
    <d v="2024-01-21T00:25:56"/>
    <x v="77"/>
    <x v="316"/>
    <x v="1"/>
    <x v="0"/>
    <x v="4"/>
    <n v="188"/>
    <n v="33"/>
    <n v="0"/>
    <n v="1273"/>
    <n v="221"/>
    <n v="1534"/>
    <x v="0"/>
    <x v="2"/>
  </r>
  <r>
    <n v="590"/>
    <x v="570"/>
    <x v="415"/>
    <d v="2024-01-16T20:34:33"/>
    <d v="2024-01-16T21:47:33"/>
    <x v="54"/>
    <x v="483"/>
    <x v="3"/>
    <x v="0"/>
    <x v="2"/>
    <n v="114"/>
    <n v="20"/>
    <n v="0"/>
    <n v="104"/>
    <n v="134"/>
    <n v="288"/>
    <x v="0"/>
    <x v="2"/>
  </r>
  <r>
    <n v="591"/>
    <x v="571"/>
    <x v="179"/>
    <d v="2024-01-20T12:19:56"/>
    <d v="2024-01-20T14:17:56"/>
    <x v="72"/>
    <x v="503"/>
    <x v="3"/>
    <x v="2"/>
    <x v="1"/>
    <n v="83"/>
    <n v="50"/>
    <n v="100"/>
    <n v="822"/>
    <n v="33"/>
    <n v="1005"/>
    <x v="0"/>
    <x v="2"/>
  </r>
  <r>
    <n v="592"/>
    <x v="572"/>
    <x v="434"/>
    <d v="2024-01-15T07:23:00"/>
    <d v="2024-01-15T08:51:00"/>
    <x v="0"/>
    <x v="504"/>
    <x v="0"/>
    <x v="1"/>
    <x v="2"/>
    <n v="169"/>
    <n v="38"/>
    <n v="100"/>
    <n v="709"/>
    <n v="107"/>
    <n v="916"/>
    <x v="0"/>
    <x v="2"/>
  </r>
  <r>
    <n v="593"/>
    <x v="573"/>
    <x v="135"/>
    <d v="2024-01-31T12:38:12"/>
    <d v="2024-01-31T13:44:12"/>
    <x v="26"/>
    <x v="505"/>
    <x v="4"/>
    <x v="2"/>
    <x v="4"/>
    <n v="50"/>
    <n v="12"/>
    <n v="0"/>
    <n v="1210"/>
    <n v="62"/>
    <n v="1292"/>
    <x v="0"/>
    <x v="4"/>
  </r>
  <r>
    <n v="594"/>
    <x v="574"/>
    <x v="435"/>
    <d v="2024-02-07T13:46:57"/>
    <d v="2024-02-07T14:40:57"/>
    <x v="32"/>
    <x v="506"/>
    <x v="0"/>
    <x v="0"/>
    <x v="0"/>
    <n v="179"/>
    <n v="10"/>
    <n v="0"/>
    <n v="1049"/>
    <n v="189"/>
    <n v="1238"/>
    <x v="0"/>
    <x v="0"/>
  </r>
  <r>
    <n v="595"/>
    <x v="575"/>
    <x v="270"/>
    <d v="2024-01-09T03:07:16"/>
    <d v="2024-01-09T03:52:16"/>
    <x v="83"/>
    <x v="100"/>
    <x v="0"/>
    <x v="2"/>
    <x v="1"/>
    <n v="197"/>
    <n v="28"/>
    <n v="0"/>
    <n v="1348"/>
    <n v="225"/>
    <n v="1573"/>
    <x v="2"/>
    <x v="1"/>
  </r>
  <r>
    <n v="596"/>
    <x v="576"/>
    <x v="222"/>
    <d v="2024-01-30T10:36:28"/>
    <d v="2024-01-30T11:43:28"/>
    <x v="48"/>
    <x v="507"/>
    <x v="3"/>
    <x v="1"/>
    <x v="3"/>
    <n v="110"/>
    <n v="31"/>
    <n v="0"/>
    <n v="1045"/>
    <n v="141"/>
    <n v="1236"/>
    <x v="0"/>
    <x v="3"/>
  </r>
  <r>
    <n v="597"/>
    <x v="577"/>
    <x v="68"/>
    <d v="2024-02-01T20:46:23"/>
    <d v="2024-02-01T21:58:23"/>
    <x v="35"/>
    <x v="35"/>
    <x v="1"/>
    <x v="2"/>
    <x v="3"/>
    <n v="198"/>
    <n v="23"/>
    <n v="0"/>
    <n v="-18"/>
    <n v="221"/>
    <n v="243"/>
    <x v="0"/>
    <x v="3"/>
  </r>
  <r>
    <n v="598"/>
    <x v="578"/>
    <x v="436"/>
    <d v="2024-01-28T07:24:19"/>
    <d v="2024-01-28T09:20:19"/>
    <x v="57"/>
    <x v="147"/>
    <x v="0"/>
    <x v="1"/>
    <x v="2"/>
    <n v="137"/>
    <n v="23"/>
    <n v="100"/>
    <n v="1814"/>
    <n v="60"/>
    <n v="1974"/>
    <x v="0"/>
    <x v="0"/>
  </r>
  <r>
    <n v="599"/>
    <x v="579"/>
    <x v="437"/>
    <d v="2024-01-16T15:35:44"/>
    <d v="2024-01-16T16:18:44"/>
    <x v="39"/>
    <x v="444"/>
    <x v="4"/>
    <x v="1"/>
    <x v="0"/>
    <n v="117"/>
    <n v="25"/>
    <n v="0"/>
    <n v="828"/>
    <n v="142"/>
    <n v="990"/>
    <x v="0"/>
    <x v="0"/>
  </r>
  <r>
    <n v="600"/>
    <x v="580"/>
    <x v="201"/>
    <d v="2024-01-18T22:55:30"/>
    <d v="2024-01-18T23:30:30"/>
    <x v="1"/>
    <x v="508"/>
    <x v="2"/>
    <x v="2"/>
    <x v="3"/>
    <n v="176"/>
    <n v="42"/>
    <n v="0"/>
    <n v="549"/>
    <n v="218"/>
    <n v="797"/>
    <x v="2"/>
    <x v="2"/>
  </r>
  <r>
    <n v="601"/>
    <x v="581"/>
    <x v="438"/>
    <d v="2024-01-12T05:47:28"/>
    <d v="2024-01-12T07:45:28"/>
    <x v="72"/>
    <x v="487"/>
    <x v="0"/>
    <x v="0"/>
    <x v="2"/>
    <n v="189"/>
    <n v="22"/>
    <n v="0"/>
    <n v="161"/>
    <n v="211"/>
    <n v="372"/>
    <x v="0"/>
    <x v="0"/>
  </r>
  <r>
    <n v="602"/>
    <x v="582"/>
    <x v="439"/>
    <d v="2024-01-06T08:45:47"/>
    <d v="2024-01-06T09:37:47"/>
    <x v="52"/>
    <x v="509"/>
    <x v="0"/>
    <x v="2"/>
    <x v="4"/>
    <n v="71"/>
    <n v="47"/>
    <n v="0"/>
    <n v="1011"/>
    <n v="118"/>
    <n v="1129"/>
    <x v="0"/>
    <x v="0"/>
  </r>
  <r>
    <n v="603"/>
    <x v="583"/>
    <x v="195"/>
    <d v="2024-01-29T22:43:22"/>
    <d v="2024-01-30T00:12:22"/>
    <x v="4"/>
    <x v="510"/>
    <x v="4"/>
    <x v="0"/>
    <x v="2"/>
    <n v="197"/>
    <n v="21"/>
    <n v="0"/>
    <n v="1052"/>
    <n v="218"/>
    <n v="1290"/>
    <x v="0"/>
    <x v="2"/>
  </r>
  <r>
    <n v="604"/>
    <x v="584"/>
    <x v="302"/>
    <d v="2024-01-14T17:00:46"/>
    <d v="2024-01-14T17:41:46"/>
    <x v="53"/>
    <x v="311"/>
    <x v="1"/>
    <x v="0"/>
    <x v="2"/>
    <n v="131"/>
    <n v="47"/>
    <n v="150"/>
    <n v="105"/>
    <n v="28"/>
    <n v="323"/>
    <x v="0"/>
    <x v="2"/>
  </r>
  <r>
    <n v="605"/>
    <x v="585"/>
    <x v="155"/>
    <d v="2024-01-16T10:19:00"/>
    <d v="2024-01-16T11:01:00"/>
    <x v="82"/>
    <x v="511"/>
    <x v="0"/>
    <x v="2"/>
    <x v="2"/>
    <n v="178"/>
    <n v="48"/>
    <n v="0"/>
    <n v="925"/>
    <n v="226"/>
    <n v="1151"/>
    <x v="0"/>
    <x v="1"/>
  </r>
  <r>
    <n v="606"/>
    <x v="586"/>
    <x v="440"/>
    <d v="2024-01-31T04:16:51"/>
    <d v="2024-01-31T04:51:51"/>
    <x v="1"/>
    <x v="43"/>
    <x v="0"/>
    <x v="0"/>
    <x v="1"/>
    <n v="79"/>
    <n v="42"/>
    <n v="150"/>
    <n v="1552"/>
    <n v="-29"/>
    <n v="1673"/>
    <x v="0"/>
    <x v="0"/>
  </r>
  <r>
    <n v="607"/>
    <x v="587"/>
    <x v="434"/>
    <d v="2024-01-20T14:23:59"/>
    <d v="2024-01-20T15:55:59"/>
    <x v="55"/>
    <x v="512"/>
    <x v="1"/>
    <x v="0"/>
    <x v="2"/>
    <n v="175"/>
    <n v="42"/>
    <n v="0"/>
    <n v="1025"/>
    <n v="217"/>
    <n v="1282"/>
    <x v="0"/>
    <x v="2"/>
  </r>
  <r>
    <n v="608"/>
    <x v="107"/>
    <x v="402"/>
    <d v="2024-01-22T04:38:14"/>
    <d v="2024-01-22T05:45:14"/>
    <x v="48"/>
    <x v="513"/>
    <x v="4"/>
    <x v="2"/>
    <x v="2"/>
    <n v="146"/>
    <n v="38"/>
    <n v="0"/>
    <n v="208"/>
    <n v="184"/>
    <n v="412"/>
    <x v="1"/>
    <x v="1"/>
  </r>
  <r>
    <n v="609"/>
    <x v="588"/>
    <x v="441"/>
    <d v="2024-01-13T06:15:25"/>
    <d v="2024-01-13T07:34:25"/>
    <x v="10"/>
    <x v="316"/>
    <x v="0"/>
    <x v="2"/>
    <x v="1"/>
    <n v="73"/>
    <n v="14"/>
    <n v="0"/>
    <n v="1407"/>
    <n v="87"/>
    <n v="1494"/>
    <x v="0"/>
    <x v="2"/>
  </r>
  <r>
    <n v="610"/>
    <x v="401"/>
    <x v="442"/>
    <d v="2024-02-01T13:06:11"/>
    <d v="2024-02-01T14:27:11"/>
    <x v="50"/>
    <x v="514"/>
    <x v="1"/>
    <x v="2"/>
    <x v="1"/>
    <n v="63"/>
    <n v="15"/>
    <n v="0"/>
    <n v="1289"/>
    <n v="78"/>
    <n v="1407"/>
    <x v="2"/>
    <x v="2"/>
  </r>
  <r>
    <n v="611"/>
    <x v="589"/>
    <x v="443"/>
    <d v="2024-01-21T00:17:37"/>
    <d v="2024-01-21T01:26:37"/>
    <x v="87"/>
    <x v="515"/>
    <x v="0"/>
    <x v="0"/>
    <x v="4"/>
    <n v="85"/>
    <n v="40"/>
    <n v="100"/>
    <n v="1578"/>
    <n v="25"/>
    <n v="1703"/>
    <x v="0"/>
    <x v="0"/>
  </r>
  <r>
    <n v="612"/>
    <x v="465"/>
    <x v="444"/>
    <d v="2024-01-23T17:26:11"/>
    <d v="2024-01-23T18:03:11"/>
    <x v="28"/>
    <x v="155"/>
    <x v="2"/>
    <x v="1"/>
    <x v="0"/>
    <n v="73"/>
    <n v="25"/>
    <n v="0"/>
    <n v="1751"/>
    <n v="98"/>
    <n v="1879"/>
    <x v="2"/>
    <x v="0"/>
  </r>
  <r>
    <n v="613"/>
    <x v="500"/>
    <x v="261"/>
    <d v="2024-01-16T14:30:07"/>
    <d v="2024-01-16T16:00:07"/>
    <x v="38"/>
    <x v="329"/>
    <x v="3"/>
    <x v="0"/>
    <x v="3"/>
    <n v="144"/>
    <n v="40"/>
    <n v="100"/>
    <n v="1157"/>
    <n v="84"/>
    <n v="1391"/>
    <x v="2"/>
    <x v="1"/>
  </r>
  <r>
    <n v="614"/>
    <x v="590"/>
    <x v="445"/>
    <d v="2024-01-03T14:30:19"/>
    <d v="2024-01-03T15:07:19"/>
    <x v="28"/>
    <x v="516"/>
    <x v="2"/>
    <x v="1"/>
    <x v="3"/>
    <n v="104"/>
    <n v="34"/>
    <n v="0"/>
    <n v="138"/>
    <n v="138"/>
    <n v="306"/>
    <x v="0"/>
    <x v="0"/>
  </r>
  <r>
    <n v="615"/>
    <x v="591"/>
    <x v="395"/>
    <d v="2024-01-18T01:45:53"/>
    <d v="2024-01-18T02:48:53"/>
    <x v="43"/>
    <x v="517"/>
    <x v="0"/>
    <x v="2"/>
    <x v="2"/>
    <n v="73"/>
    <n v="42"/>
    <n v="0"/>
    <n v="1307"/>
    <n v="115"/>
    <n v="1422"/>
    <x v="0"/>
    <x v="2"/>
  </r>
  <r>
    <n v="616"/>
    <x v="592"/>
    <x v="430"/>
    <d v="2024-01-22T11:37:11"/>
    <d v="2024-01-22T13:25:11"/>
    <x v="88"/>
    <x v="518"/>
    <x v="4"/>
    <x v="1"/>
    <x v="4"/>
    <n v="75"/>
    <n v="22"/>
    <n v="50"/>
    <n v="1702"/>
    <n v="47"/>
    <n v="1819"/>
    <x v="0"/>
    <x v="1"/>
  </r>
  <r>
    <n v="617"/>
    <x v="593"/>
    <x v="118"/>
    <d v="2024-01-07T21:53:38"/>
    <d v="2024-01-07T23:22:38"/>
    <x v="4"/>
    <x v="519"/>
    <x v="3"/>
    <x v="2"/>
    <x v="2"/>
    <n v="129"/>
    <n v="19"/>
    <n v="0"/>
    <n v="9"/>
    <n v="148"/>
    <n v="207"/>
    <x v="0"/>
    <x v="2"/>
  </r>
  <r>
    <n v="618"/>
    <x v="594"/>
    <x v="446"/>
    <d v="2024-01-10T10:57:32"/>
    <d v="2024-01-10T12:23:32"/>
    <x v="18"/>
    <x v="520"/>
    <x v="2"/>
    <x v="2"/>
    <x v="3"/>
    <n v="114"/>
    <n v="33"/>
    <n v="0"/>
    <n v="1245"/>
    <n v="147"/>
    <n v="1422"/>
    <x v="0"/>
    <x v="0"/>
  </r>
  <r>
    <n v="619"/>
    <x v="595"/>
    <x v="74"/>
    <d v="2024-01-23T23:39:17"/>
    <d v="2024-01-24T00:54:17"/>
    <x v="51"/>
    <x v="402"/>
    <x v="1"/>
    <x v="1"/>
    <x v="1"/>
    <n v="124"/>
    <n v="19"/>
    <n v="100"/>
    <n v="264"/>
    <n v="43"/>
    <n v="447"/>
    <x v="2"/>
    <x v="1"/>
  </r>
  <r>
    <n v="620"/>
    <x v="596"/>
    <x v="447"/>
    <d v="2024-01-09T07:50:01"/>
    <d v="2024-01-09T08:41:01"/>
    <x v="5"/>
    <x v="521"/>
    <x v="4"/>
    <x v="2"/>
    <x v="0"/>
    <n v="92"/>
    <n v="50"/>
    <n v="0"/>
    <n v="1551"/>
    <n v="142"/>
    <n v="1713"/>
    <x v="0"/>
    <x v="0"/>
  </r>
  <r>
    <n v="621"/>
    <x v="597"/>
    <x v="448"/>
    <d v="2024-01-25T00:23:40"/>
    <d v="2024-01-25T02:19:40"/>
    <x v="57"/>
    <x v="522"/>
    <x v="2"/>
    <x v="1"/>
    <x v="4"/>
    <n v="78"/>
    <n v="40"/>
    <n v="0"/>
    <n v="1293"/>
    <n v="118"/>
    <n v="1441"/>
    <x v="0"/>
    <x v="0"/>
  </r>
  <r>
    <n v="622"/>
    <x v="470"/>
    <x v="449"/>
    <d v="2024-01-17T12:41:20"/>
    <d v="2024-01-17T13:50:20"/>
    <x v="87"/>
    <x v="523"/>
    <x v="1"/>
    <x v="2"/>
    <x v="1"/>
    <n v="130"/>
    <n v="22"/>
    <n v="0"/>
    <n v="924"/>
    <n v="152"/>
    <n v="1116"/>
    <x v="2"/>
    <x v="2"/>
  </r>
  <r>
    <n v="623"/>
    <x v="598"/>
    <x v="327"/>
    <d v="2024-01-13T18:05:28"/>
    <d v="2024-01-13T19:19:28"/>
    <x v="68"/>
    <x v="524"/>
    <x v="0"/>
    <x v="0"/>
    <x v="0"/>
    <n v="103"/>
    <n v="12"/>
    <n v="0"/>
    <n v="1113"/>
    <n v="115"/>
    <n v="1228"/>
    <x v="0"/>
    <x v="2"/>
  </r>
  <r>
    <n v="624"/>
    <x v="599"/>
    <x v="150"/>
    <d v="2024-01-30T04:21:19"/>
    <d v="2024-01-30T05:45:19"/>
    <x v="67"/>
    <x v="525"/>
    <x v="1"/>
    <x v="0"/>
    <x v="4"/>
    <n v="88"/>
    <n v="43"/>
    <n v="0"/>
    <n v="1220"/>
    <n v="131"/>
    <n v="1391"/>
    <x v="0"/>
    <x v="2"/>
  </r>
  <r>
    <n v="625"/>
    <x v="600"/>
    <x v="450"/>
    <d v="2024-01-25T07:25:43"/>
    <d v="2024-01-25T08:45:43"/>
    <x v="9"/>
    <x v="304"/>
    <x v="2"/>
    <x v="2"/>
    <x v="4"/>
    <n v="91"/>
    <n v="37"/>
    <n v="0"/>
    <n v="1242"/>
    <n v="128"/>
    <n v="1400"/>
    <x v="0"/>
    <x v="0"/>
  </r>
  <r>
    <n v="626"/>
    <x v="601"/>
    <x v="135"/>
    <d v="2024-01-23T06:52:24"/>
    <d v="2024-01-23T08:47:24"/>
    <x v="86"/>
    <x v="526"/>
    <x v="2"/>
    <x v="2"/>
    <x v="3"/>
    <n v="78"/>
    <n v="28"/>
    <n v="100"/>
    <n v="693"/>
    <n v="6"/>
    <n v="829"/>
    <x v="0"/>
    <x v="4"/>
  </r>
  <r>
    <n v="627"/>
    <x v="602"/>
    <x v="223"/>
    <d v="2024-02-01T13:13:36"/>
    <d v="2024-02-01T13:47:36"/>
    <x v="58"/>
    <x v="527"/>
    <x v="0"/>
    <x v="1"/>
    <x v="1"/>
    <n v="180"/>
    <n v="32"/>
    <n v="0"/>
    <n v="1405"/>
    <n v="212"/>
    <n v="1617"/>
    <x v="0"/>
    <x v="4"/>
  </r>
  <r>
    <n v="628"/>
    <x v="603"/>
    <x v="451"/>
    <d v="2024-01-15T09:38:09"/>
    <d v="2024-01-15T10:20:09"/>
    <x v="82"/>
    <x v="528"/>
    <x v="1"/>
    <x v="0"/>
    <x v="4"/>
    <n v="187"/>
    <n v="41"/>
    <n v="100"/>
    <n v="-46"/>
    <n v="128"/>
    <n v="222"/>
    <x v="2"/>
    <x v="2"/>
  </r>
  <r>
    <n v="629"/>
    <x v="315"/>
    <x v="158"/>
    <d v="2024-01-06T03:02:19"/>
    <d v="2024-01-06T03:59:19"/>
    <x v="64"/>
    <x v="529"/>
    <x v="1"/>
    <x v="1"/>
    <x v="4"/>
    <n v="191"/>
    <n v="22"/>
    <n v="0"/>
    <n v="1096"/>
    <n v="213"/>
    <n v="1349"/>
    <x v="2"/>
    <x v="3"/>
  </r>
  <r>
    <n v="630"/>
    <x v="604"/>
    <x v="156"/>
    <d v="2024-01-13T04:16:47"/>
    <d v="2024-01-13T06:09:47"/>
    <x v="42"/>
    <x v="530"/>
    <x v="0"/>
    <x v="2"/>
    <x v="0"/>
    <n v="91"/>
    <n v="42"/>
    <n v="100"/>
    <n v="218"/>
    <n v="33"/>
    <n v="351"/>
    <x v="0"/>
    <x v="2"/>
  </r>
  <r>
    <n v="631"/>
    <x v="605"/>
    <x v="452"/>
    <d v="2024-02-07T23:56:12"/>
    <d v="2024-02-08T01:45:12"/>
    <x v="49"/>
    <x v="85"/>
    <x v="1"/>
    <x v="2"/>
    <x v="3"/>
    <n v="143"/>
    <n v="43"/>
    <n v="100"/>
    <n v="1292"/>
    <n v="86"/>
    <n v="1518"/>
    <x v="0"/>
    <x v="0"/>
  </r>
  <r>
    <n v="632"/>
    <x v="606"/>
    <x v="167"/>
    <d v="2024-01-04T12:30:24"/>
    <d v="2024-01-04T14:01:24"/>
    <x v="25"/>
    <x v="531"/>
    <x v="0"/>
    <x v="1"/>
    <x v="2"/>
    <n v="81"/>
    <n v="42"/>
    <n v="0"/>
    <n v="1750"/>
    <n v="123"/>
    <n v="1873"/>
    <x v="0"/>
    <x v="1"/>
  </r>
  <r>
    <n v="633"/>
    <x v="607"/>
    <x v="453"/>
    <d v="2024-01-03T13:09:29"/>
    <d v="2024-01-03T15:05:29"/>
    <x v="57"/>
    <x v="532"/>
    <x v="4"/>
    <x v="2"/>
    <x v="3"/>
    <n v="75"/>
    <n v="14"/>
    <n v="0"/>
    <n v="1906"/>
    <n v="89"/>
    <n v="2015"/>
    <x v="0"/>
    <x v="1"/>
  </r>
  <r>
    <n v="634"/>
    <x v="608"/>
    <x v="454"/>
    <d v="2024-02-01T09:16:33"/>
    <d v="2024-02-01T10:09:33"/>
    <x v="6"/>
    <x v="533"/>
    <x v="2"/>
    <x v="0"/>
    <x v="2"/>
    <n v="164"/>
    <n v="12"/>
    <n v="0"/>
    <n v="1643"/>
    <n v="176"/>
    <n v="1849"/>
    <x v="0"/>
    <x v="0"/>
  </r>
  <r>
    <n v="635"/>
    <x v="609"/>
    <x v="42"/>
    <d v="2024-01-17T22:07:53"/>
    <d v="2024-01-17T22:43:53"/>
    <x v="46"/>
    <x v="534"/>
    <x v="4"/>
    <x v="1"/>
    <x v="1"/>
    <n v="178"/>
    <n v="16"/>
    <n v="0"/>
    <n v="701"/>
    <n v="194"/>
    <n v="915"/>
    <x v="0"/>
    <x v="1"/>
  </r>
  <r>
    <n v="636"/>
    <x v="610"/>
    <x v="455"/>
    <d v="2024-01-07T09:35:59"/>
    <d v="2024-01-07T10:42:59"/>
    <x v="48"/>
    <x v="535"/>
    <x v="3"/>
    <x v="0"/>
    <x v="1"/>
    <n v="105"/>
    <n v="33"/>
    <n v="0"/>
    <n v="858"/>
    <n v="138"/>
    <n v="1046"/>
    <x v="0"/>
    <x v="0"/>
  </r>
  <r>
    <n v="637"/>
    <x v="611"/>
    <x v="456"/>
    <d v="2024-01-20T15:01:15"/>
    <d v="2024-01-20T16:07:15"/>
    <x v="26"/>
    <x v="536"/>
    <x v="3"/>
    <x v="0"/>
    <x v="4"/>
    <n v="171"/>
    <n v="31"/>
    <n v="100"/>
    <n v="107"/>
    <n v="102"/>
    <n v="359"/>
    <x v="0"/>
    <x v="0"/>
  </r>
  <r>
    <n v="638"/>
    <x v="612"/>
    <x v="457"/>
    <d v="2024-01-27T20:12:04"/>
    <d v="2024-01-27T21:49:04"/>
    <x v="40"/>
    <x v="537"/>
    <x v="3"/>
    <x v="0"/>
    <x v="1"/>
    <n v="155"/>
    <n v="32"/>
    <n v="0"/>
    <n v="728"/>
    <n v="187"/>
    <n v="965"/>
    <x v="0"/>
    <x v="0"/>
  </r>
  <r>
    <n v="639"/>
    <x v="613"/>
    <x v="458"/>
    <d v="2024-01-24T23:54:50"/>
    <d v="2024-01-25T01:05:50"/>
    <x v="14"/>
    <x v="260"/>
    <x v="0"/>
    <x v="1"/>
    <x v="4"/>
    <n v="179"/>
    <n v="39"/>
    <n v="50"/>
    <n v="1713"/>
    <n v="168"/>
    <n v="1931"/>
    <x v="0"/>
    <x v="0"/>
  </r>
  <r>
    <n v="640"/>
    <x v="614"/>
    <x v="459"/>
    <d v="2024-01-17T15:34:14"/>
    <d v="2024-01-17T17:29:14"/>
    <x v="86"/>
    <x v="538"/>
    <x v="1"/>
    <x v="2"/>
    <x v="3"/>
    <n v="130"/>
    <n v="27"/>
    <n v="100"/>
    <n v="551"/>
    <n v="57"/>
    <n v="748"/>
    <x v="0"/>
    <x v="2"/>
  </r>
  <r>
    <n v="641"/>
    <x v="615"/>
    <x v="67"/>
    <d v="2024-01-09T15:52:01"/>
    <d v="2024-01-09T16:26:01"/>
    <x v="58"/>
    <x v="336"/>
    <x v="4"/>
    <x v="0"/>
    <x v="1"/>
    <n v="169"/>
    <n v="41"/>
    <n v="150"/>
    <n v="336"/>
    <n v="60"/>
    <n v="566"/>
    <x v="0"/>
    <x v="1"/>
  </r>
  <r>
    <n v="642"/>
    <x v="616"/>
    <x v="460"/>
    <d v="2024-01-31T03:50:31"/>
    <d v="2024-01-31T05:23:31"/>
    <x v="73"/>
    <x v="539"/>
    <x v="4"/>
    <x v="0"/>
    <x v="3"/>
    <n v="101"/>
    <n v="16"/>
    <n v="150"/>
    <n v="442"/>
    <n v="-33"/>
    <n v="579"/>
    <x v="0"/>
    <x v="2"/>
  </r>
  <r>
    <n v="643"/>
    <x v="617"/>
    <x v="178"/>
    <d v="2024-01-30T03:42:50"/>
    <d v="2024-01-30T05:01:50"/>
    <x v="10"/>
    <x v="540"/>
    <x v="4"/>
    <x v="0"/>
    <x v="3"/>
    <n v="140"/>
    <n v="42"/>
    <n v="0"/>
    <n v="885"/>
    <n v="182"/>
    <n v="1087"/>
    <x v="0"/>
    <x v="2"/>
  </r>
  <r>
    <n v="644"/>
    <x v="618"/>
    <x v="461"/>
    <d v="2024-01-20T23:50:08"/>
    <d v="2024-01-21T01:46:08"/>
    <x v="57"/>
    <x v="541"/>
    <x v="4"/>
    <x v="2"/>
    <x v="1"/>
    <n v="186"/>
    <n v="14"/>
    <n v="150"/>
    <n v="371"/>
    <n v="50"/>
    <n v="591"/>
    <x v="0"/>
    <x v="0"/>
  </r>
  <r>
    <n v="645"/>
    <x v="619"/>
    <x v="183"/>
    <d v="2024-02-02T10:15:42"/>
    <d v="2024-02-02T10:59:42"/>
    <x v="22"/>
    <x v="334"/>
    <x v="3"/>
    <x v="2"/>
    <x v="3"/>
    <n v="71"/>
    <n v="37"/>
    <n v="0"/>
    <n v="1735"/>
    <n v="108"/>
    <n v="1893"/>
    <x v="0"/>
    <x v="2"/>
  </r>
  <r>
    <n v="646"/>
    <x v="620"/>
    <x v="462"/>
    <d v="2024-02-05T17:51:12"/>
    <d v="2024-02-05T19:33:12"/>
    <x v="29"/>
    <x v="542"/>
    <x v="4"/>
    <x v="1"/>
    <x v="1"/>
    <n v="83"/>
    <n v="17"/>
    <n v="0"/>
    <n v="369"/>
    <n v="100"/>
    <n v="489"/>
    <x v="0"/>
    <x v="0"/>
  </r>
  <r>
    <n v="647"/>
    <x v="621"/>
    <x v="64"/>
    <d v="2024-01-13T05:14:35"/>
    <d v="2024-01-13T06:36:35"/>
    <x v="41"/>
    <x v="543"/>
    <x v="1"/>
    <x v="2"/>
    <x v="1"/>
    <n v="159"/>
    <n v="24"/>
    <n v="0"/>
    <n v="816"/>
    <n v="183"/>
    <n v="1039"/>
    <x v="0"/>
    <x v="1"/>
  </r>
  <r>
    <n v="648"/>
    <x v="622"/>
    <x v="463"/>
    <d v="2024-01-22T02:15:50"/>
    <d v="2024-01-22T03:09:50"/>
    <x v="32"/>
    <x v="544"/>
    <x v="3"/>
    <x v="1"/>
    <x v="1"/>
    <n v="98"/>
    <n v="13"/>
    <n v="0"/>
    <n v="1504"/>
    <n v="111"/>
    <n v="1665"/>
    <x v="0"/>
    <x v="0"/>
  </r>
  <r>
    <n v="649"/>
    <x v="623"/>
    <x v="56"/>
    <d v="2024-01-31T23:52:12"/>
    <d v="2024-02-01T01:50:12"/>
    <x v="72"/>
    <x v="545"/>
    <x v="4"/>
    <x v="1"/>
    <x v="2"/>
    <n v="178"/>
    <n v="43"/>
    <n v="0"/>
    <n v="801"/>
    <n v="221"/>
    <n v="1042"/>
    <x v="0"/>
    <x v="3"/>
  </r>
  <r>
    <n v="650"/>
    <x v="624"/>
    <x v="124"/>
    <d v="2024-02-07T12:40:50"/>
    <d v="2024-02-07T14:34:50"/>
    <x v="8"/>
    <x v="546"/>
    <x v="0"/>
    <x v="1"/>
    <x v="3"/>
    <n v="122"/>
    <n v="14"/>
    <n v="50"/>
    <n v="100"/>
    <n v="86"/>
    <n v="236"/>
    <x v="0"/>
    <x v="3"/>
  </r>
  <r>
    <n v="651"/>
    <x v="625"/>
    <x v="464"/>
    <d v="2024-01-12T04:06:28"/>
    <d v="2024-01-12T04:44:28"/>
    <x v="63"/>
    <x v="547"/>
    <x v="2"/>
    <x v="1"/>
    <x v="0"/>
    <n v="133"/>
    <n v="42"/>
    <n v="0"/>
    <n v="291"/>
    <n v="175"/>
    <n v="496"/>
    <x v="0"/>
    <x v="0"/>
  </r>
  <r>
    <n v="652"/>
    <x v="626"/>
    <x v="465"/>
    <d v="2024-01-07T09:59:59"/>
    <d v="2024-01-07T11:06:59"/>
    <x v="48"/>
    <x v="347"/>
    <x v="2"/>
    <x v="1"/>
    <x v="1"/>
    <n v="102"/>
    <n v="14"/>
    <n v="150"/>
    <n v="895"/>
    <n v="-34"/>
    <n v="1041"/>
    <x v="0"/>
    <x v="0"/>
  </r>
  <r>
    <n v="653"/>
    <x v="627"/>
    <x v="149"/>
    <d v="2024-01-26T00:18:08"/>
    <d v="2024-01-26T01:09:08"/>
    <x v="5"/>
    <x v="311"/>
    <x v="2"/>
    <x v="0"/>
    <x v="3"/>
    <n v="149"/>
    <n v="47"/>
    <n v="0"/>
    <n v="87"/>
    <n v="196"/>
    <n v="313"/>
    <x v="0"/>
    <x v="2"/>
  </r>
  <r>
    <n v="654"/>
    <x v="628"/>
    <x v="466"/>
    <d v="2024-01-27T20:34:44"/>
    <d v="2024-01-27T22:30:44"/>
    <x v="57"/>
    <x v="548"/>
    <x v="3"/>
    <x v="2"/>
    <x v="4"/>
    <n v="173"/>
    <n v="43"/>
    <n v="0"/>
    <n v="1495"/>
    <n v="216"/>
    <n v="1761"/>
    <x v="0"/>
    <x v="0"/>
  </r>
  <r>
    <n v="655"/>
    <x v="12"/>
    <x v="467"/>
    <d v="2024-02-02T16:09:48"/>
    <d v="2024-02-02T17:27:48"/>
    <x v="34"/>
    <x v="549"/>
    <x v="4"/>
    <x v="0"/>
    <x v="1"/>
    <n v="94"/>
    <n v="35"/>
    <n v="0"/>
    <n v="1281"/>
    <n v="129"/>
    <n v="1430"/>
    <x v="1"/>
    <x v="0"/>
  </r>
  <r>
    <n v="656"/>
    <x v="629"/>
    <x v="468"/>
    <d v="2024-01-06T15:25:10"/>
    <d v="2024-01-06T17:02:10"/>
    <x v="40"/>
    <x v="541"/>
    <x v="3"/>
    <x v="1"/>
    <x v="1"/>
    <n v="186"/>
    <n v="10"/>
    <n v="0"/>
    <n v="375"/>
    <n v="196"/>
    <n v="621"/>
    <x v="0"/>
    <x v="2"/>
  </r>
  <r>
    <n v="657"/>
    <x v="630"/>
    <x v="469"/>
    <d v="2024-01-26T00:11:22"/>
    <d v="2024-01-26T00:55:22"/>
    <x v="22"/>
    <x v="289"/>
    <x v="1"/>
    <x v="2"/>
    <x v="0"/>
    <n v="154"/>
    <n v="13"/>
    <n v="0"/>
    <n v="1331"/>
    <n v="167"/>
    <n v="1538"/>
    <x v="0"/>
    <x v="2"/>
  </r>
  <r>
    <n v="658"/>
    <x v="631"/>
    <x v="470"/>
    <d v="2024-01-19T12:42:26"/>
    <d v="2024-01-19T14:16:26"/>
    <x v="69"/>
    <x v="161"/>
    <x v="0"/>
    <x v="0"/>
    <x v="2"/>
    <n v="199"/>
    <n v="48"/>
    <n v="0"/>
    <n v="506"/>
    <n v="247"/>
    <n v="753"/>
    <x v="2"/>
    <x v="1"/>
  </r>
  <r>
    <n v="659"/>
    <x v="632"/>
    <x v="471"/>
    <d v="2024-01-20T08:57:59"/>
    <d v="2024-01-20T10:20:59"/>
    <x v="85"/>
    <x v="550"/>
    <x v="0"/>
    <x v="0"/>
    <x v="2"/>
    <n v="195"/>
    <n v="35"/>
    <n v="0"/>
    <n v="618"/>
    <n v="230"/>
    <n v="848"/>
    <x v="0"/>
    <x v="2"/>
  </r>
  <r>
    <n v="660"/>
    <x v="633"/>
    <x v="23"/>
    <d v="2024-01-21T14:39:12"/>
    <d v="2024-01-21T15:38:12"/>
    <x v="44"/>
    <x v="93"/>
    <x v="2"/>
    <x v="1"/>
    <x v="1"/>
    <n v="155"/>
    <n v="42"/>
    <n v="0"/>
    <n v="439"/>
    <n v="197"/>
    <n v="666"/>
    <x v="0"/>
    <x v="1"/>
  </r>
  <r>
    <n v="661"/>
    <x v="634"/>
    <x v="253"/>
    <d v="2024-01-23T04:56:36"/>
    <d v="2024-01-23T05:45:36"/>
    <x v="21"/>
    <x v="143"/>
    <x v="2"/>
    <x v="0"/>
    <x v="3"/>
    <n v="92"/>
    <n v="42"/>
    <n v="0"/>
    <n v="1500"/>
    <n v="134"/>
    <n v="1664"/>
    <x v="0"/>
    <x v="2"/>
  </r>
  <r>
    <n v="662"/>
    <x v="635"/>
    <x v="202"/>
    <d v="2024-01-11T02:59:32"/>
    <d v="2024-01-11T04:01:32"/>
    <x v="80"/>
    <x v="551"/>
    <x v="2"/>
    <x v="0"/>
    <x v="4"/>
    <n v="183"/>
    <n v="17"/>
    <n v="0"/>
    <n v="701"/>
    <n v="200"/>
    <n v="931"/>
    <x v="0"/>
    <x v="2"/>
  </r>
  <r>
    <n v="663"/>
    <x v="636"/>
    <x v="472"/>
    <d v="2024-02-05T09:51:53"/>
    <d v="2024-02-05T11:46:53"/>
    <x v="86"/>
    <x v="552"/>
    <x v="4"/>
    <x v="0"/>
    <x v="4"/>
    <n v="97"/>
    <n v="29"/>
    <n v="0"/>
    <n v="1576"/>
    <n v="126"/>
    <n v="1722"/>
    <x v="0"/>
    <x v="2"/>
  </r>
  <r>
    <n v="664"/>
    <x v="637"/>
    <x v="383"/>
    <d v="2024-01-02T15:13:34"/>
    <d v="2024-01-02T16:59:34"/>
    <x v="23"/>
    <x v="553"/>
    <x v="1"/>
    <x v="0"/>
    <x v="3"/>
    <n v="175"/>
    <n v="25"/>
    <n v="0"/>
    <n v="1173"/>
    <n v="200"/>
    <n v="1413"/>
    <x v="0"/>
    <x v="2"/>
  </r>
  <r>
    <n v="665"/>
    <x v="638"/>
    <x v="67"/>
    <d v="2024-02-01T16:08:13"/>
    <d v="2024-02-01T16:44:13"/>
    <x v="46"/>
    <x v="76"/>
    <x v="1"/>
    <x v="0"/>
    <x v="1"/>
    <n v="56"/>
    <n v="30"/>
    <n v="0"/>
    <n v="933"/>
    <n v="86"/>
    <n v="1059"/>
    <x v="0"/>
    <x v="1"/>
  </r>
  <r>
    <n v="666"/>
    <x v="639"/>
    <x v="290"/>
    <d v="2024-01-19T18:20:19"/>
    <d v="2024-01-19T18:57:19"/>
    <x v="28"/>
    <x v="554"/>
    <x v="1"/>
    <x v="1"/>
    <x v="4"/>
    <n v="65"/>
    <n v="35"/>
    <n v="0"/>
    <n v="509"/>
    <n v="100"/>
    <n v="649"/>
    <x v="2"/>
    <x v="1"/>
  </r>
  <r>
    <n v="667"/>
    <x v="640"/>
    <x v="473"/>
    <d v="2024-01-05T15:58:02"/>
    <d v="2024-01-05T16:55:02"/>
    <x v="64"/>
    <x v="555"/>
    <x v="1"/>
    <x v="1"/>
    <x v="2"/>
    <n v="178"/>
    <n v="32"/>
    <n v="0"/>
    <n v="519"/>
    <n v="210"/>
    <n v="769"/>
    <x v="0"/>
    <x v="0"/>
  </r>
  <r>
    <n v="668"/>
    <x v="641"/>
    <x v="361"/>
    <d v="2024-01-03T07:52:19"/>
    <d v="2024-01-03T09:06:19"/>
    <x v="68"/>
    <x v="556"/>
    <x v="2"/>
    <x v="0"/>
    <x v="3"/>
    <n v="164"/>
    <n v="27"/>
    <n v="0"/>
    <n v="910"/>
    <n v="191"/>
    <n v="1131"/>
    <x v="0"/>
    <x v="2"/>
  </r>
  <r>
    <n v="669"/>
    <x v="642"/>
    <x v="293"/>
    <d v="2024-01-12T21:41:34"/>
    <d v="2024-01-12T23:23:34"/>
    <x v="29"/>
    <x v="217"/>
    <x v="0"/>
    <x v="1"/>
    <x v="0"/>
    <n v="86"/>
    <n v="40"/>
    <n v="0"/>
    <n v="1070"/>
    <n v="126"/>
    <n v="1196"/>
    <x v="0"/>
    <x v="2"/>
  </r>
  <r>
    <n v="670"/>
    <x v="643"/>
    <x v="251"/>
    <d v="2024-01-12T19:41:58"/>
    <d v="2024-01-12T21:39:58"/>
    <x v="72"/>
    <x v="557"/>
    <x v="2"/>
    <x v="1"/>
    <x v="1"/>
    <n v="174"/>
    <n v="21"/>
    <n v="0"/>
    <n v="1210"/>
    <n v="195"/>
    <n v="1435"/>
    <x v="0"/>
    <x v="2"/>
  </r>
  <r>
    <n v="671"/>
    <x v="644"/>
    <x v="214"/>
    <d v="2024-02-01T19:01:06"/>
    <d v="2024-02-01T20:50:06"/>
    <x v="49"/>
    <x v="558"/>
    <x v="1"/>
    <x v="2"/>
    <x v="3"/>
    <n v="130"/>
    <n v="10"/>
    <n v="0"/>
    <n v="875"/>
    <n v="140"/>
    <n v="1055"/>
    <x v="0"/>
    <x v="3"/>
  </r>
  <r>
    <n v="672"/>
    <x v="645"/>
    <x v="474"/>
    <d v="2024-02-01T01:57:47"/>
    <d v="2024-02-01T03:40:47"/>
    <x v="74"/>
    <x v="559"/>
    <x v="2"/>
    <x v="0"/>
    <x v="4"/>
    <n v="111"/>
    <n v="18"/>
    <n v="0"/>
    <n v="1354"/>
    <n v="129"/>
    <n v="1513"/>
    <x v="0"/>
    <x v="2"/>
  </r>
  <r>
    <n v="673"/>
    <x v="646"/>
    <x v="475"/>
    <d v="2024-01-18T08:34:58"/>
    <d v="2024-01-18T09:14:58"/>
    <x v="11"/>
    <x v="560"/>
    <x v="1"/>
    <x v="1"/>
    <x v="1"/>
    <n v="121"/>
    <n v="12"/>
    <n v="0"/>
    <n v="1000"/>
    <n v="133"/>
    <n v="1173"/>
    <x v="0"/>
    <x v="2"/>
  </r>
  <r>
    <n v="674"/>
    <x v="647"/>
    <x v="476"/>
    <d v="2024-01-14T23:29:46"/>
    <d v="2024-01-15T00:29:46"/>
    <x v="31"/>
    <x v="340"/>
    <x v="3"/>
    <x v="1"/>
    <x v="2"/>
    <n v="174"/>
    <n v="35"/>
    <n v="0"/>
    <n v="1125"/>
    <n v="209"/>
    <n v="1384"/>
    <x v="0"/>
    <x v="0"/>
  </r>
  <r>
    <n v="675"/>
    <x v="648"/>
    <x v="477"/>
    <d v="2024-01-02T01:43:21"/>
    <d v="2024-01-02T02:24:21"/>
    <x v="53"/>
    <x v="561"/>
    <x v="0"/>
    <x v="0"/>
    <x v="1"/>
    <n v="115"/>
    <n v="18"/>
    <n v="100"/>
    <n v="1825"/>
    <n v="33"/>
    <n v="1958"/>
    <x v="2"/>
    <x v="0"/>
  </r>
  <r>
    <n v="676"/>
    <x v="649"/>
    <x v="127"/>
    <d v="2024-02-06T18:08:04"/>
    <d v="2024-02-06T19:55:04"/>
    <x v="78"/>
    <x v="562"/>
    <x v="3"/>
    <x v="2"/>
    <x v="1"/>
    <n v="79"/>
    <n v="25"/>
    <n v="0"/>
    <n v="147"/>
    <n v="104"/>
    <n v="301"/>
    <x v="0"/>
    <x v="2"/>
  </r>
  <r>
    <n v="677"/>
    <x v="650"/>
    <x v="478"/>
    <d v="2024-01-08T06:44:45"/>
    <d v="2024-01-08T08:04:45"/>
    <x v="9"/>
    <x v="563"/>
    <x v="4"/>
    <x v="0"/>
    <x v="2"/>
    <n v="69"/>
    <n v="33"/>
    <n v="0"/>
    <n v="1026"/>
    <n v="102"/>
    <n v="1148"/>
    <x v="0"/>
    <x v="0"/>
  </r>
  <r>
    <n v="678"/>
    <x v="651"/>
    <x v="4"/>
    <d v="2024-01-23T16:25:25"/>
    <d v="2024-01-23T17:38:25"/>
    <x v="54"/>
    <x v="564"/>
    <x v="2"/>
    <x v="2"/>
    <x v="2"/>
    <n v="131"/>
    <n v="23"/>
    <n v="0"/>
    <n v="1164"/>
    <n v="154"/>
    <n v="1348"/>
    <x v="0"/>
    <x v="1"/>
  </r>
  <r>
    <n v="679"/>
    <x v="652"/>
    <x v="164"/>
    <d v="2024-02-04T20:04:47"/>
    <d v="2024-02-04T21:23:47"/>
    <x v="10"/>
    <x v="565"/>
    <x v="4"/>
    <x v="0"/>
    <x v="1"/>
    <n v="156"/>
    <n v="12"/>
    <n v="100"/>
    <n v="1238"/>
    <n v="68"/>
    <n v="1426"/>
    <x v="0"/>
    <x v="1"/>
  </r>
  <r>
    <n v="680"/>
    <x v="653"/>
    <x v="459"/>
    <d v="2024-01-18T13:41:27"/>
    <d v="2024-01-18T14:27:27"/>
    <x v="3"/>
    <x v="566"/>
    <x v="2"/>
    <x v="0"/>
    <x v="2"/>
    <n v="181"/>
    <n v="43"/>
    <n v="0"/>
    <n v="339"/>
    <n v="224"/>
    <n v="593"/>
    <x v="0"/>
    <x v="2"/>
  </r>
  <r>
    <n v="681"/>
    <x v="654"/>
    <x v="479"/>
    <d v="2024-01-20T18:49:35"/>
    <d v="2024-01-20T19:53:35"/>
    <x v="33"/>
    <x v="121"/>
    <x v="3"/>
    <x v="0"/>
    <x v="3"/>
    <n v="86"/>
    <n v="42"/>
    <n v="0"/>
    <n v="1108"/>
    <n v="128"/>
    <n v="1286"/>
    <x v="0"/>
    <x v="0"/>
  </r>
  <r>
    <n v="682"/>
    <x v="655"/>
    <x v="480"/>
    <d v="2024-01-24T07:15:21"/>
    <d v="2024-01-24T07:45:21"/>
    <x v="75"/>
    <x v="567"/>
    <x v="1"/>
    <x v="0"/>
    <x v="2"/>
    <n v="181"/>
    <n v="33"/>
    <n v="0"/>
    <n v="156"/>
    <n v="214"/>
    <n v="410"/>
    <x v="0"/>
    <x v="4"/>
  </r>
  <r>
    <n v="683"/>
    <x v="656"/>
    <x v="453"/>
    <d v="2024-01-22T17:32:21"/>
    <d v="2024-01-22T18:30:21"/>
    <x v="2"/>
    <x v="568"/>
    <x v="1"/>
    <x v="2"/>
    <x v="2"/>
    <n v="126"/>
    <n v="18"/>
    <n v="0"/>
    <n v="1142"/>
    <n v="144"/>
    <n v="1326"/>
    <x v="0"/>
    <x v="1"/>
  </r>
  <r>
    <n v="684"/>
    <x v="657"/>
    <x v="470"/>
    <d v="2024-01-30T03:37:18"/>
    <d v="2024-01-30T04:57:18"/>
    <x v="9"/>
    <x v="539"/>
    <x v="2"/>
    <x v="2"/>
    <x v="1"/>
    <n v="138"/>
    <n v="22"/>
    <n v="50"/>
    <n v="399"/>
    <n v="110"/>
    <n v="589"/>
    <x v="2"/>
    <x v="1"/>
  </r>
  <r>
    <n v="685"/>
    <x v="658"/>
    <x v="481"/>
    <d v="2024-01-07T23:31:43"/>
    <d v="2024-01-08T01:04:43"/>
    <x v="73"/>
    <x v="569"/>
    <x v="1"/>
    <x v="1"/>
    <x v="3"/>
    <n v="195"/>
    <n v="11"/>
    <n v="0"/>
    <n v="-2"/>
    <n v="206"/>
    <n v="244"/>
    <x v="0"/>
    <x v="2"/>
  </r>
  <r>
    <n v="686"/>
    <x v="659"/>
    <x v="78"/>
    <d v="2024-01-01T10:54:39"/>
    <d v="2024-01-01T11:27:39"/>
    <x v="30"/>
    <x v="570"/>
    <x v="3"/>
    <x v="0"/>
    <x v="0"/>
    <n v="137"/>
    <n v="16"/>
    <n v="0"/>
    <n v="1663"/>
    <n v="153"/>
    <n v="1866"/>
    <x v="0"/>
    <x v="2"/>
  </r>
  <r>
    <n v="687"/>
    <x v="660"/>
    <x v="198"/>
    <d v="2024-01-05T07:18:51"/>
    <d v="2024-01-05T09:14:51"/>
    <x v="57"/>
    <x v="571"/>
    <x v="1"/>
    <x v="2"/>
    <x v="0"/>
    <n v="82"/>
    <n v="30"/>
    <n v="0"/>
    <n v="1567"/>
    <n v="112"/>
    <n v="1719"/>
    <x v="0"/>
    <x v="2"/>
  </r>
  <r>
    <n v="688"/>
    <x v="661"/>
    <x v="482"/>
    <d v="2024-01-24T00:46:08"/>
    <d v="2024-01-24T01:43:08"/>
    <x v="64"/>
    <x v="557"/>
    <x v="3"/>
    <x v="2"/>
    <x v="4"/>
    <n v="107"/>
    <n v="28"/>
    <n v="150"/>
    <n v="1270"/>
    <n v="-15"/>
    <n v="1455"/>
    <x v="0"/>
    <x v="2"/>
  </r>
  <r>
    <n v="689"/>
    <x v="662"/>
    <x v="311"/>
    <d v="2024-01-26T23:50:54"/>
    <d v="2024-01-27T00:35:54"/>
    <x v="83"/>
    <x v="572"/>
    <x v="4"/>
    <x v="2"/>
    <x v="2"/>
    <n v="77"/>
    <n v="34"/>
    <n v="100"/>
    <n v="1699"/>
    <n v="11"/>
    <n v="1830"/>
    <x v="0"/>
    <x v="1"/>
  </r>
  <r>
    <n v="690"/>
    <x v="663"/>
    <x v="314"/>
    <d v="2024-01-13T20:13:59"/>
    <d v="2024-01-13T21:45:59"/>
    <x v="55"/>
    <x v="573"/>
    <x v="3"/>
    <x v="0"/>
    <x v="2"/>
    <n v="84"/>
    <n v="31"/>
    <n v="0"/>
    <n v="146"/>
    <n v="115"/>
    <n v="311"/>
    <x v="0"/>
    <x v="1"/>
  </r>
  <r>
    <n v="691"/>
    <x v="664"/>
    <x v="34"/>
    <d v="2024-02-03T05:30:39"/>
    <d v="2024-02-03T07:15:39"/>
    <x v="24"/>
    <x v="58"/>
    <x v="0"/>
    <x v="1"/>
    <x v="3"/>
    <n v="174"/>
    <n v="20"/>
    <n v="100"/>
    <n v="256"/>
    <n v="94"/>
    <n v="450"/>
    <x v="0"/>
    <x v="2"/>
  </r>
  <r>
    <n v="692"/>
    <x v="665"/>
    <x v="430"/>
    <d v="2024-01-16T01:54:47"/>
    <d v="2024-01-16T03:16:47"/>
    <x v="41"/>
    <x v="164"/>
    <x v="0"/>
    <x v="2"/>
    <x v="0"/>
    <n v="187"/>
    <n v="42"/>
    <n v="0"/>
    <n v="304"/>
    <n v="229"/>
    <n v="533"/>
    <x v="0"/>
    <x v="1"/>
  </r>
  <r>
    <n v="693"/>
    <x v="666"/>
    <x v="483"/>
    <d v="2024-02-01T19:42:16"/>
    <d v="2024-02-01T21:36:16"/>
    <x v="8"/>
    <x v="574"/>
    <x v="0"/>
    <x v="0"/>
    <x v="4"/>
    <n v="114"/>
    <n v="41"/>
    <n v="0"/>
    <n v="796"/>
    <n v="155"/>
    <n v="951"/>
    <x v="0"/>
    <x v="2"/>
  </r>
  <r>
    <n v="694"/>
    <x v="667"/>
    <x v="484"/>
    <d v="2024-01-21T03:04:40"/>
    <d v="2024-01-21T03:50:40"/>
    <x v="3"/>
    <x v="473"/>
    <x v="2"/>
    <x v="2"/>
    <x v="3"/>
    <n v="91"/>
    <n v="30"/>
    <n v="0"/>
    <n v="118"/>
    <n v="121"/>
    <n v="269"/>
    <x v="0"/>
    <x v="0"/>
  </r>
  <r>
    <n v="695"/>
    <x v="668"/>
    <x v="243"/>
    <d v="2024-01-06T03:42:57"/>
    <d v="2024-01-06T04:51:57"/>
    <x v="87"/>
    <x v="285"/>
    <x v="2"/>
    <x v="2"/>
    <x v="2"/>
    <n v="134"/>
    <n v="48"/>
    <n v="50"/>
    <n v="1412"/>
    <n v="132"/>
    <n v="1624"/>
    <x v="0"/>
    <x v="2"/>
  </r>
  <r>
    <n v="696"/>
    <x v="669"/>
    <x v="485"/>
    <d v="2024-01-18T19:21:50"/>
    <d v="2024-01-18T20:03:50"/>
    <x v="82"/>
    <x v="365"/>
    <x v="2"/>
    <x v="1"/>
    <x v="0"/>
    <n v="186"/>
    <n v="29"/>
    <n v="0"/>
    <n v="1040"/>
    <n v="215"/>
    <n v="1285"/>
    <x v="0"/>
    <x v="0"/>
  </r>
  <r>
    <n v="697"/>
    <x v="670"/>
    <x v="227"/>
    <d v="2024-01-31T06:44:01"/>
    <d v="2024-01-31T08:05:01"/>
    <x v="50"/>
    <x v="575"/>
    <x v="3"/>
    <x v="2"/>
    <x v="4"/>
    <n v="160"/>
    <n v="17"/>
    <n v="0"/>
    <n v="9"/>
    <n v="177"/>
    <n v="236"/>
    <x v="0"/>
    <x v="1"/>
  </r>
  <r>
    <n v="698"/>
    <x v="671"/>
    <x v="480"/>
    <d v="2024-02-02T21:53:06"/>
    <d v="2024-02-02T23:20:06"/>
    <x v="76"/>
    <x v="25"/>
    <x v="2"/>
    <x v="2"/>
    <x v="1"/>
    <n v="64"/>
    <n v="46"/>
    <n v="0"/>
    <n v="1701"/>
    <n v="110"/>
    <n v="1841"/>
    <x v="0"/>
    <x v="4"/>
  </r>
  <r>
    <n v="699"/>
    <x v="672"/>
    <x v="358"/>
    <d v="2024-01-15T13:10:08"/>
    <d v="2024-01-15T14:16:08"/>
    <x v="26"/>
    <x v="576"/>
    <x v="4"/>
    <x v="0"/>
    <x v="0"/>
    <n v="118"/>
    <n v="18"/>
    <n v="100"/>
    <n v="146"/>
    <n v="36"/>
    <n v="302"/>
    <x v="0"/>
    <x v="3"/>
  </r>
  <r>
    <n v="700"/>
    <x v="673"/>
    <x v="486"/>
    <d v="2024-01-27T09:06:43"/>
    <d v="2024-01-27T10:54:43"/>
    <x v="88"/>
    <x v="577"/>
    <x v="0"/>
    <x v="0"/>
    <x v="4"/>
    <n v="154"/>
    <n v="34"/>
    <n v="150"/>
    <n v="279"/>
    <n v="38"/>
    <n v="467"/>
    <x v="0"/>
    <x v="0"/>
  </r>
  <r>
    <n v="701"/>
    <x v="674"/>
    <x v="487"/>
    <d v="2024-02-07T12:56:29"/>
    <d v="2024-02-07T14:41:29"/>
    <x v="24"/>
    <x v="578"/>
    <x v="3"/>
    <x v="1"/>
    <x v="3"/>
    <n v="199"/>
    <n v="34"/>
    <n v="0"/>
    <n v="-5"/>
    <n v="233"/>
    <n v="278"/>
    <x v="0"/>
    <x v="0"/>
  </r>
  <r>
    <n v="702"/>
    <x v="580"/>
    <x v="488"/>
    <d v="2024-01-11T22:08:13"/>
    <d v="2024-01-11T23:38:13"/>
    <x v="38"/>
    <x v="579"/>
    <x v="0"/>
    <x v="0"/>
    <x v="1"/>
    <n v="113"/>
    <n v="42"/>
    <n v="100"/>
    <n v="1214"/>
    <n v="55"/>
    <n v="1369"/>
    <x v="2"/>
    <x v="0"/>
  </r>
  <r>
    <n v="703"/>
    <x v="675"/>
    <x v="489"/>
    <d v="2024-01-18T09:02:32"/>
    <d v="2024-01-18T10:50:32"/>
    <x v="88"/>
    <x v="580"/>
    <x v="2"/>
    <x v="0"/>
    <x v="4"/>
    <n v="90"/>
    <n v="11"/>
    <n v="50"/>
    <n v="1623"/>
    <n v="51"/>
    <n v="1754"/>
    <x v="0"/>
    <x v="2"/>
  </r>
  <r>
    <n v="704"/>
    <x v="331"/>
    <x v="200"/>
    <d v="2024-01-02T10:14:17"/>
    <d v="2024-01-02T11:17:17"/>
    <x v="43"/>
    <x v="581"/>
    <x v="3"/>
    <x v="1"/>
    <x v="4"/>
    <n v="120"/>
    <n v="28"/>
    <n v="0"/>
    <n v="1553"/>
    <n v="148"/>
    <n v="1751"/>
    <x v="2"/>
    <x v="2"/>
  </r>
  <r>
    <n v="705"/>
    <x v="676"/>
    <x v="490"/>
    <d v="2024-02-05T14:30:14"/>
    <d v="2024-02-05T16:09:14"/>
    <x v="62"/>
    <x v="582"/>
    <x v="1"/>
    <x v="2"/>
    <x v="2"/>
    <n v="105"/>
    <n v="29"/>
    <n v="100"/>
    <n v="635"/>
    <n v="34"/>
    <n v="809"/>
    <x v="0"/>
    <x v="0"/>
  </r>
  <r>
    <n v="706"/>
    <x v="677"/>
    <x v="471"/>
    <d v="2024-01-16T06:00:30"/>
    <d v="2024-01-16T06:46:30"/>
    <x v="3"/>
    <x v="583"/>
    <x v="4"/>
    <x v="1"/>
    <x v="0"/>
    <n v="200"/>
    <n v="50"/>
    <n v="0"/>
    <n v="1251"/>
    <n v="250"/>
    <n v="1521"/>
    <x v="0"/>
    <x v="2"/>
  </r>
  <r>
    <n v="707"/>
    <x v="678"/>
    <x v="491"/>
    <d v="2024-02-05T13:26:09"/>
    <d v="2024-02-05T14:15:09"/>
    <x v="21"/>
    <x v="584"/>
    <x v="2"/>
    <x v="0"/>
    <x v="2"/>
    <n v="74"/>
    <n v="38"/>
    <n v="0"/>
    <n v="136"/>
    <n v="112"/>
    <n v="278"/>
    <x v="0"/>
    <x v="0"/>
  </r>
  <r>
    <n v="708"/>
    <x v="679"/>
    <x v="85"/>
    <d v="2024-01-12T14:39:31"/>
    <d v="2024-01-12T16:21:31"/>
    <x v="29"/>
    <x v="585"/>
    <x v="2"/>
    <x v="1"/>
    <x v="1"/>
    <n v="154"/>
    <n v="15"/>
    <n v="0"/>
    <n v="915"/>
    <n v="169"/>
    <n v="1114"/>
    <x v="0"/>
    <x v="3"/>
  </r>
  <r>
    <n v="709"/>
    <x v="680"/>
    <x v="288"/>
    <d v="2024-02-04T23:03:54"/>
    <d v="2024-02-05T00:31:54"/>
    <x v="0"/>
    <x v="574"/>
    <x v="4"/>
    <x v="2"/>
    <x v="4"/>
    <n v="183"/>
    <n v="26"/>
    <n v="50"/>
    <n v="742"/>
    <n v="159"/>
    <n v="971"/>
    <x v="0"/>
    <x v="1"/>
  </r>
  <r>
    <n v="710"/>
    <x v="681"/>
    <x v="9"/>
    <d v="2024-01-24T18:26:47"/>
    <d v="2024-01-24T20:04:47"/>
    <x v="16"/>
    <x v="78"/>
    <x v="4"/>
    <x v="1"/>
    <x v="2"/>
    <n v="168"/>
    <n v="34"/>
    <n v="0"/>
    <n v="1354"/>
    <n v="202"/>
    <n v="1576"/>
    <x v="0"/>
    <x v="2"/>
  </r>
  <r>
    <n v="711"/>
    <x v="682"/>
    <x v="229"/>
    <d v="2024-02-03T13:45:37"/>
    <d v="2024-02-03T15:41:37"/>
    <x v="57"/>
    <x v="199"/>
    <x v="1"/>
    <x v="0"/>
    <x v="0"/>
    <n v="58"/>
    <n v="47"/>
    <n v="0"/>
    <n v="622"/>
    <n v="105"/>
    <n v="767"/>
    <x v="0"/>
    <x v="1"/>
  </r>
  <r>
    <n v="712"/>
    <x v="683"/>
    <x v="492"/>
    <d v="2024-01-16T20:41:25"/>
    <d v="2024-01-16T21:43:25"/>
    <x v="80"/>
    <x v="155"/>
    <x v="2"/>
    <x v="0"/>
    <x v="1"/>
    <n v="109"/>
    <n v="13"/>
    <n v="0"/>
    <n v="1727"/>
    <n v="122"/>
    <n v="1879"/>
    <x v="0"/>
    <x v="0"/>
  </r>
  <r>
    <n v="713"/>
    <x v="684"/>
    <x v="493"/>
    <d v="2024-02-03T00:06:36"/>
    <d v="2024-02-03T01:53:36"/>
    <x v="78"/>
    <x v="586"/>
    <x v="2"/>
    <x v="1"/>
    <x v="3"/>
    <n v="174"/>
    <n v="39"/>
    <n v="50"/>
    <n v="1379"/>
    <n v="163"/>
    <n v="1622"/>
    <x v="0"/>
    <x v="0"/>
  </r>
  <r>
    <n v="714"/>
    <x v="535"/>
    <x v="494"/>
    <d v="2024-01-20T10:57:56"/>
    <d v="2024-01-20T11:43:56"/>
    <x v="3"/>
    <x v="587"/>
    <x v="0"/>
    <x v="2"/>
    <x v="2"/>
    <n v="98"/>
    <n v="29"/>
    <n v="0"/>
    <n v="418"/>
    <n v="127"/>
    <n v="545"/>
    <x v="2"/>
    <x v="0"/>
  </r>
  <r>
    <n v="715"/>
    <x v="685"/>
    <x v="495"/>
    <d v="2024-01-19T15:45:35"/>
    <d v="2024-01-19T17:11:35"/>
    <x v="18"/>
    <x v="474"/>
    <x v="3"/>
    <x v="1"/>
    <x v="1"/>
    <n v="100"/>
    <n v="12"/>
    <n v="0"/>
    <n v="1492"/>
    <n v="112"/>
    <n v="1654"/>
    <x v="0"/>
    <x v="0"/>
  </r>
  <r>
    <n v="716"/>
    <x v="686"/>
    <x v="223"/>
    <d v="2024-01-02T07:23:10"/>
    <d v="2024-01-02T09:15:10"/>
    <x v="65"/>
    <x v="588"/>
    <x v="3"/>
    <x v="2"/>
    <x v="3"/>
    <n v="119"/>
    <n v="32"/>
    <n v="0"/>
    <n v="832"/>
    <n v="151"/>
    <n v="1033"/>
    <x v="0"/>
    <x v="4"/>
  </r>
  <r>
    <n v="717"/>
    <x v="687"/>
    <x v="496"/>
    <d v="2024-01-13T22:34:55"/>
    <d v="2024-01-13T23:04:55"/>
    <x v="75"/>
    <x v="589"/>
    <x v="0"/>
    <x v="2"/>
    <x v="2"/>
    <n v="86"/>
    <n v="27"/>
    <n v="0"/>
    <n v="280"/>
    <n v="113"/>
    <n v="393"/>
    <x v="0"/>
    <x v="0"/>
  </r>
  <r>
    <n v="718"/>
    <x v="688"/>
    <x v="474"/>
    <d v="2024-01-13T05:54:39"/>
    <d v="2024-01-13T06:36:39"/>
    <x v="82"/>
    <x v="590"/>
    <x v="3"/>
    <x v="1"/>
    <x v="1"/>
    <n v="80"/>
    <n v="35"/>
    <n v="0"/>
    <n v="1773"/>
    <n v="115"/>
    <n v="1938"/>
    <x v="0"/>
    <x v="2"/>
  </r>
  <r>
    <n v="719"/>
    <x v="689"/>
    <x v="497"/>
    <d v="2024-01-15T08:32:31"/>
    <d v="2024-01-15T09:28:31"/>
    <x v="56"/>
    <x v="591"/>
    <x v="4"/>
    <x v="2"/>
    <x v="1"/>
    <n v="111"/>
    <n v="45"/>
    <n v="0"/>
    <n v="1110"/>
    <n v="156"/>
    <n v="1286"/>
    <x v="0"/>
    <x v="0"/>
  </r>
  <r>
    <n v="720"/>
    <x v="690"/>
    <x v="498"/>
    <d v="2024-01-12T08:44:43"/>
    <d v="2024-01-12T10:23:43"/>
    <x v="62"/>
    <x v="592"/>
    <x v="3"/>
    <x v="0"/>
    <x v="2"/>
    <n v="142"/>
    <n v="17"/>
    <n v="150"/>
    <n v="190"/>
    <n v="9"/>
    <n v="399"/>
    <x v="0"/>
    <x v="2"/>
  </r>
  <r>
    <n v="721"/>
    <x v="691"/>
    <x v="481"/>
    <d v="2024-01-20T07:25:21"/>
    <d v="2024-01-20T08:53:21"/>
    <x v="0"/>
    <x v="593"/>
    <x v="3"/>
    <x v="1"/>
    <x v="1"/>
    <n v="63"/>
    <n v="26"/>
    <n v="100"/>
    <n v="888"/>
    <n v="-11"/>
    <n v="1027"/>
    <x v="0"/>
    <x v="2"/>
  </r>
  <r>
    <n v="722"/>
    <x v="692"/>
    <x v="346"/>
    <d v="2024-01-09T06:07:06"/>
    <d v="2024-01-09T06:42:06"/>
    <x v="1"/>
    <x v="594"/>
    <x v="0"/>
    <x v="2"/>
    <x v="4"/>
    <n v="128"/>
    <n v="40"/>
    <n v="100"/>
    <n v="879"/>
    <n v="68"/>
    <n v="1047"/>
    <x v="0"/>
    <x v="1"/>
  </r>
  <r>
    <n v="723"/>
    <x v="693"/>
    <x v="499"/>
    <d v="2024-01-19T17:38:22"/>
    <d v="2024-01-19T18:30:22"/>
    <x v="52"/>
    <x v="595"/>
    <x v="1"/>
    <x v="0"/>
    <x v="2"/>
    <n v="57"/>
    <n v="46"/>
    <n v="0"/>
    <n v="971"/>
    <n v="103"/>
    <n v="1114"/>
    <x v="0"/>
    <x v="0"/>
  </r>
  <r>
    <n v="724"/>
    <x v="694"/>
    <x v="472"/>
    <d v="2024-01-23T16:30:08"/>
    <d v="2024-01-23T17:09:08"/>
    <x v="70"/>
    <x v="291"/>
    <x v="3"/>
    <x v="1"/>
    <x v="1"/>
    <n v="85"/>
    <n v="42"/>
    <n v="100"/>
    <n v="1298"/>
    <n v="27"/>
    <n v="1475"/>
    <x v="0"/>
    <x v="2"/>
  </r>
  <r>
    <n v="725"/>
    <x v="695"/>
    <x v="500"/>
    <d v="2024-01-18T08:41:11"/>
    <d v="2024-01-18T10:01:11"/>
    <x v="9"/>
    <x v="596"/>
    <x v="3"/>
    <x v="0"/>
    <x v="3"/>
    <n v="97"/>
    <n v="36"/>
    <n v="0"/>
    <n v="1015"/>
    <n v="133"/>
    <n v="1198"/>
    <x v="0"/>
    <x v="2"/>
  </r>
  <r>
    <n v="726"/>
    <x v="696"/>
    <x v="501"/>
    <d v="2024-01-01T07:26:46"/>
    <d v="2024-01-01T08:14:46"/>
    <x v="77"/>
    <x v="597"/>
    <x v="1"/>
    <x v="0"/>
    <x v="3"/>
    <n v="134"/>
    <n v="13"/>
    <n v="0"/>
    <n v="741"/>
    <n v="147"/>
    <n v="928"/>
    <x v="0"/>
    <x v="0"/>
  </r>
  <r>
    <n v="727"/>
    <x v="697"/>
    <x v="502"/>
    <d v="2024-01-15T04:10:48"/>
    <d v="2024-01-15T05:30:48"/>
    <x v="9"/>
    <x v="598"/>
    <x v="0"/>
    <x v="0"/>
    <x v="4"/>
    <n v="77"/>
    <n v="31"/>
    <n v="0"/>
    <n v="975"/>
    <n v="108"/>
    <n v="1083"/>
    <x v="0"/>
    <x v="0"/>
  </r>
  <r>
    <n v="728"/>
    <x v="698"/>
    <x v="503"/>
    <d v="2024-01-05T19:23:04"/>
    <d v="2024-01-05T21:19:04"/>
    <x v="57"/>
    <x v="599"/>
    <x v="1"/>
    <x v="2"/>
    <x v="2"/>
    <n v="100"/>
    <n v="35"/>
    <n v="0"/>
    <n v="853"/>
    <n v="135"/>
    <n v="1028"/>
    <x v="0"/>
    <x v="2"/>
  </r>
  <r>
    <n v="729"/>
    <x v="699"/>
    <x v="504"/>
    <d v="2024-01-01T19:28:39"/>
    <d v="2024-01-01T21:05:39"/>
    <x v="40"/>
    <x v="600"/>
    <x v="0"/>
    <x v="1"/>
    <x v="1"/>
    <n v="153"/>
    <n v="41"/>
    <n v="0"/>
    <n v="795"/>
    <n v="194"/>
    <n v="989"/>
    <x v="0"/>
    <x v="2"/>
  </r>
  <r>
    <n v="730"/>
    <x v="700"/>
    <x v="505"/>
    <d v="2024-01-22T16:28:42"/>
    <d v="2024-01-22T18:21:42"/>
    <x v="42"/>
    <x v="601"/>
    <x v="4"/>
    <x v="1"/>
    <x v="1"/>
    <n v="150"/>
    <n v="33"/>
    <n v="0"/>
    <n v="-14"/>
    <n v="183"/>
    <n v="189"/>
    <x v="0"/>
    <x v="0"/>
  </r>
  <r>
    <n v="731"/>
    <x v="701"/>
    <x v="146"/>
    <d v="2024-01-15T06:42:21"/>
    <d v="2024-01-15T08:34:21"/>
    <x v="65"/>
    <x v="602"/>
    <x v="0"/>
    <x v="2"/>
    <x v="3"/>
    <n v="78"/>
    <n v="44"/>
    <n v="100"/>
    <n v="602"/>
    <n v="22"/>
    <n v="724"/>
    <x v="0"/>
    <x v="2"/>
  </r>
  <r>
    <n v="732"/>
    <x v="702"/>
    <x v="506"/>
    <d v="2024-02-01T13:27:52"/>
    <d v="2024-02-01T14:38:52"/>
    <x v="14"/>
    <x v="603"/>
    <x v="4"/>
    <x v="1"/>
    <x v="4"/>
    <n v="176"/>
    <n v="46"/>
    <n v="0"/>
    <n v="752"/>
    <n v="222"/>
    <n v="994"/>
    <x v="0"/>
    <x v="2"/>
  </r>
  <r>
    <n v="733"/>
    <x v="703"/>
    <x v="507"/>
    <d v="2024-01-30T17:16:33"/>
    <d v="2024-01-30T18:42:33"/>
    <x v="18"/>
    <x v="165"/>
    <x v="4"/>
    <x v="0"/>
    <x v="3"/>
    <n v="131"/>
    <n v="41"/>
    <n v="0"/>
    <n v="1063"/>
    <n v="172"/>
    <n v="1255"/>
    <x v="0"/>
    <x v="2"/>
  </r>
  <r>
    <n v="734"/>
    <x v="704"/>
    <x v="508"/>
    <d v="2024-02-04T10:48:53"/>
    <d v="2024-02-04T12:25:53"/>
    <x v="40"/>
    <x v="456"/>
    <x v="0"/>
    <x v="1"/>
    <x v="3"/>
    <n v="59"/>
    <n v="16"/>
    <n v="0"/>
    <n v="1412"/>
    <n v="75"/>
    <n v="1487"/>
    <x v="0"/>
    <x v="0"/>
  </r>
  <r>
    <n v="735"/>
    <x v="705"/>
    <x v="489"/>
    <d v="2024-01-18T14:06:43"/>
    <d v="2024-01-18T15:13:43"/>
    <x v="48"/>
    <x v="604"/>
    <x v="2"/>
    <x v="2"/>
    <x v="4"/>
    <n v="155"/>
    <n v="42"/>
    <n v="0"/>
    <n v="1229"/>
    <n v="197"/>
    <n v="1456"/>
    <x v="0"/>
    <x v="2"/>
  </r>
  <r>
    <n v="736"/>
    <x v="706"/>
    <x v="16"/>
    <d v="2024-01-23T18:49:01"/>
    <d v="2024-01-23T20:20:01"/>
    <x v="25"/>
    <x v="135"/>
    <x v="0"/>
    <x v="0"/>
    <x v="2"/>
    <n v="50"/>
    <n v="40"/>
    <n v="0"/>
    <n v="480"/>
    <n v="90"/>
    <n v="570"/>
    <x v="0"/>
    <x v="3"/>
  </r>
  <r>
    <n v="737"/>
    <x v="707"/>
    <x v="509"/>
    <d v="2024-01-29T23:44:19"/>
    <d v="2024-01-30T00:20:19"/>
    <x v="46"/>
    <x v="605"/>
    <x v="3"/>
    <x v="2"/>
    <x v="1"/>
    <n v="88"/>
    <n v="21"/>
    <n v="50"/>
    <n v="81"/>
    <n v="59"/>
    <n v="240"/>
    <x v="0"/>
    <x v="0"/>
  </r>
  <r>
    <n v="738"/>
    <x v="708"/>
    <x v="91"/>
    <d v="2024-01-21T06:19:00"/>
    <d v="2024-01-21T07:59:00"/>
    <x v="13"/>
    <x v="315"/>
    <x v="3"/>
    <x v="0"/>
    <x v="2"/>
    <n v="70"/>
    <n v="20"/>
    <n v="0"/>
    <n v="539"/>
    <n v="90"/>
    <n v="679"/>
    <x v="0"/>
    <x v="1"/>
  </r>
  <r>
    <n v="739"/>
    <x v="523"/>
    <x v="169"/>
    <d v="2024-01-10T23:50:03"/>
    <d v="2024-01-11T01:09:03"/>
    <x v="10"/>
    <x v="449"/>
    <x v="2"/>
    <x v="0"/>
    <x v="0"/>
    <n v="114"/>
    <n v="33"/>
    <n v="100"/>
    <n v="613"/>
    <n v="47"/>
    <n v="790"/>
    <x v="2"/>
    <x v="1"/>
  </r>
  <r>
    <n v="740"/>
    <x v="709"/>
    <x v="510"/>
    <d v="2024-01-11T04:25:03"/>
    <d v="2024-01-11T05:46:03"/>
    <x v="50"/>
    <x v="468"/>
    <x v="4"/>
    <x v="1"/>
    <x v="0"/>
    <n v="64"/>
    <n v="17"/>
    <n v="50"/>
    <n v="757"/>
    <n v="31"/>
    <n v="858"/>
    <x v="0"/>
    <x v="0"/>
  </r>
  <r>
    <n v="741"/>
    <x v="710"/>
    <x v="511"/>
    <d v="2024-01-11T05:57:01"/>
    <d v="2024-01-11T06:52:01"/>
    <x v="27"/>
    <x v="606"/>
    <x v="2"/>
    <x v="0"/>
    <x v="0"/>
    <n v="181"/>
    <n v="41"/>
    <n v="0"/>
    <n v="603"/>
    <n v="222"/>
    <n v="855"/>
    <x v="0"/>
    <x v="2"/>
  </r>
  <r>
    <n v="742"/>
    <x v="711"/>
    <x v="139"/>
    <d v="2024-01-01T23:21:20"/>
    <d v="2024-01-02T00:16:20"/>
    <x v="27"/>
    <x v="607"/>
    <x v="3"/>
    <x v="2"/>
    <x v="4"/>
    <n v="110"/>
    <n v="47"/>
    <n v="0"/>
    <n v="814"/>
    <n v="157"/>
    <n v="1021"/>
    <x v="0"/>
    <x v="2"/>
  </r>
  <r>
    <n v="743"/>
    <x v="12"/>
    <x v="512"/>
    <d v="2024-01-16T01:29:27"/>
    <d v="2024-01-16T02:17:27"/>
    <x v="77"/>
    <x v="608"/>
    <x v="2"/>
    <x v="1"/>
    <x v="3"/>
    <n v="197"/>
    <n v="31"/>
    <n v="0"/>
    <n v="1558"/>
    <n v="228"/>
    <n v="1816"/>
    <x v="1"/>
    <x v="0"/>
  </r>
  <r>
    <n v="744"/>
    <x v="712"/>
    <x v="74"/>
    <d v="2024-01-12T07:53:56"/>
    <d v="2024-01-12T08:31:56"/>
    <x v="63"/>
    <x v="265"/>
    <x v="0"/>
    <x v="2"/>
    <x v="2"/>
    <n v="187"/>
    <n v="43"/>
    <n v="0"/>
    <n v="61"/>
    <n v="230"/>
    <n v="291"/>
    <x v="0"/>
    <x v="1"/>
  </r>
  <r>
    <n v="745"/>
    <x v="657"/>
    <x v="162"/>
    <d v="2024-02-07T07:25:22"/>
    <d v="2024-02-07T08:55:22"/>
    <x v="38"/>
    <x v="609"/>
    <x v="2"/>
    <x v="0"/>
    <x v="1"/>
    <n v="136"/>
    <n v="28"/>
    <n v="0"/>
    <n v="1511"/>
    <n v="164"/>
    <n v="1705"/>
    <x v="2"/>
    <x v="2"/>
  </r>
  <r>
    <n v="746"/>
    <x v="713"/>
    <x v="288"/>
    <d v="2024-01-28T15:55:37"/>
    <d v="2024-01-28T16:44:37"/>
    <x v="21"/>
    <x v="610"/>
    <x v="4"/>
    <x v="2"/>
    <x v="0"/>
    <n v="154"/>
    <n v="29"/>
    <n v="0"/>
    <n v="1182"/>
    <n v="183"/>
    <n v="1385"/>
    <x v="0"/>
    <x v="1"/>
  </r>
  <r>
    <n v="747"/>
    <x v="714"/>
    <x v="137"/>
    <d v="2024-01-26T17:06:39"/>
    <d v="2024-01-26T18:25:39"/>
    <x v="10"/>
    <x v="91"/>
    <x v="0"/>
    <x v="2"/>
    <x v="2"/>
    <n v="83"/>
    <n v="23"/>
    <n v="0"/>
    <n v="131"/>
    <n v="106"/>
    <n v="237"/>
    <x v="0"/>
    <x v="1"/>
  </r>
  <r>
    <n v="748"/>
    <x v="715"/>
    <x v="87"/>
    <d v="2024-01-26T15:53:01"/>
    <d v="2024-01-26T17:42:01"/>
    <x v="49"/>
    <x v="351"/>
    <x v="1"/>
    <x v="0"/>
    <x v="0"/>
    <n v="173"/>
    <n v="42"/>
    <n v="0"/>
    <n v="229"/>
    <n v="215"/>
    <n v="484"/>
    <x v="0"/>
    <x v="2"/>
  </r>
  <r>
    <n v="749"/>
    <x v="512"/>
    <x v="513"/>
    <d v="2024-01-03T01:57:10"/>
    <d v="2024-01-03T03:47:10"/>
    <x v="7"/>
    <x v="454"/>
    <x v="3"/>
    <x v="1"/>
    <x v="0"/>
    <n v="159"/>
    <n v="19"/>
    <n v="0"/>
    <n v="1125"/>
    <n v="178"/>
    <n v="1353"/>
    <x v="2"/>
    <x v="0"/>
  </r>
  <r>
    <n v="750"/>
    <x v="472"/>
    <x v="155"/>
    <d v="2024-01-19T00:21:58"/>
    <d v="2024-01-19T01:12:58"/>
    <x v="5"/>
    <x v="611"/>
    <x v="3"/>
    <x v="2"/>
    <x v="1"/>
    <n v="82"/>
    <n v="25"/>
    <n v="0"/>
    <n v="1001"/>
    <n v="107"/>
    <n v="1158"/>
    <x v="2"/>
    <x v="1"/>
  </r>
  <r>
    <n v="751"/>
    <x v="716"/>
    <x v="278"/>
    <d v="2024-01-31T18:38:03"/>
    <d v="2024-01-31T19:20:03"/>
    <x v="82"/>
    <x v="501"/>
    <x v="2"/>
    <x v="0"/>
    <x v="4"/>
    <n v="147"/>
    <n v="13"/>
    <n v="100"/>
    <n v="1675"/>
    <n v="60"/>
    <n v="1865"/>
    <x v="0"/>
    <x v="2"/>
  </r>
  <r>
    <n v="752"/>
    <x v="717"/>
    <x v="298"/>
    <d v="2024-01-04T13:01:34"/>
    <d v="2024-01-04T13:42:34"/>
    <x v="53"/>
    <x v="612"/>
    <x v="0"/>
    <x v="1"/>
    <x v="3"/>
    <n v="110"/>
    <n v="36"/>
    <n v="150"/>
    <n v="456"/>
    <n v="-4"/>
    <n v="602"/>
    <x v="0"/>
    <x v="2"/>
  </r>
  <r>
    <n v="753"/>
    <x v="718"/>
    <x v="514"/>
    <d v="2024-01-15T07:28:17"/>
    <d v="2024-01-15T08:07:17"/>
    <x v="70"/>
    <x v="613"/>
    <x v="1"/>
    <x v="1"/>
    <x v="4"/>
    <n v="59"/>
    <n v="37"/>
    <n v="0"/>
    <n v="206"/>
    <n v="96"/>
    <n v="342"/>
    <x v="0"/>
    <x v="0"/>
  </r>
  <r>
    <n v="754"/>
    <x v="719"/>
    <x v="515"/>
    <d v="2024-01-17T08:00:20"/>
    <d v="2024-01-17T09:34:20"/>
    <x v="69"/>
    <x v="53"/>
    <x v="0"/>
    <x v="1"/>
    <x v="2"/>
    <n v="133"/>
    <n v="25"/>
    <n v="100"/>
    <n v="514"/>
    <n v="58"/>
    <n v="672"/>
    <x v="0"/>
    <x v="0"/>
  </r>
  <r>
    <n v="755"/>
    <x v="720"/>
    <x v="516"/>
    <d v="2024-01-08T21:50:04"/>
    <d v="2024-01-08T22:49:04"/>
    <x v="44"/>
    <x v="265"/>
    <x v="3"/>
    <x v="2"/>
    <x v="4"/>
    <n v="114"/>
    <n v="42"/>
    <n v="100"/>
    <n v="135"/>
    <n v="56"/>
    <n v="341"/>
    <x v="0"/>
    <x v="2"/>
  </r>
  <r>
    <n v="756"/>
    <x v="721"/>
    <x v="110"/>
    <d v="2024-01-18T21:47:41"/>
    <d v="2024-01-18T22:24:41"/>
    <x v="28"/>
    <x v="614"/>
    <x v="0"/>
    <x v="2"/>
    <x v="2"/>
    <n v="126"/>
    <n v="28"/>
    <n v="0"/>
    <n v="-50"/>
    <n v="154"/>
    <n v="104"/>
    <x v="0"/>
    <x v="3"/>
  </r>
  <r>
    <n v="757"/>
    <x v="722"/>
    <x v="517"/>
    <d v="2024-01-29T18:14:44"/>
    <d v="2024-01-29T19:04:44"/>
    <x v="19"/>
    <x v="377"/>
    <x v="1"/>
    <x v="2"/>
    <x v="2"/>
    <n v="50"/>
    <n v="30"/>
    <n v="0"/>
    <n v="1280"/>
    <n v="80"/>
    <n v="1400"/>
    <x v="0"/>
    <x v="0"/>
  </r>
  <r>
    <n v="758"/>
    <x v="723"/>
    <x v="54"/>
    <d v="2024-01-11T00:36:23"/>
    <d v="2024-01-11T01:27:23"/>
    <x v="5"/>
    <x v="570"/>
    <x v="2"/>
    <x v="1"/>
    <x v="3"/>
    <n v="182"/>
    <n v="31"/>
    <n v="100"/>
    <n v="1603"/>
    <n v="113"/>
    <n v="1846"/>
    <x v="0"/>
    <x v="2"/>
  </r>
  <r>
    <n v="759"/>
    <x v="724"/>
    <x v="518"/>
    <d v="2024-01-08T05:01:33"/>
    <d v="2024-01-08T05:48:33"/>
    <x v="79"/>
    <x v="615"/>
    <x v="4"/>
    <x v="2"/>
    <x v="1"/>
    <n v="129"/>
    <n v="18"/>
    <n v="0"/>
    <n v="263"/>
    <n v="147"/>
    <n v="430"/>
    <x v="0"/>
    <x v="2"/>
  </r>
  <r>
    <n v="760"/>
    <x v="725"/>
    <x v="442"/>
    <d v="2024-01-10T17:52:45"/>
    <d v="2024-01-10T19:27:45"/>
    <x v="84"/>
    <x v="616"/>
    <x v="0"/>
    <x v="0"/>
    <x v="3"/>
    <n v="64"/>
    <n v="18"/>
    <n v="0"/>
    <n v="566"/>
    <n v="82"/>
    <n v="648"/>
    <x v="0"/>
    <x v="2"/>
  </r>
  <r>
    <n v="761"/>
    <x v="726"/>
    <x v="519"/>
    <d v="2024-01-04T23:45:10"/>
    <d v="2024-01-05T01:02:10"/>
    <x v="17"/>
    <x v="28"/>
    <x v="4"/>
    <x v="2"/>
    <x v="4"/>
    <n v="77"/>
    <n v="18"/>
    <n v="0"/>
    <n v="60"/>
    <n v="95"/>
    <n v="175"/>
    <x v="0"/>
    <x v="0"/>
  </r>
  <r>
    <n v="762"/>
    <x v="727"/>
    <x v="205"/>
    <d v="2024-01-08T07:42:23"/>
    <d v="2024-01-08T08:55:23"/>
    <x v="54"/>
    <x v="617"/>
    <x v="3"/>
    <x v="2"/>
    <x v="2"/>
    <n v="72"/>
    <n v="36"/>
    <n v="50"/>
    <n v="434"/>
    <n v="58"/>
    <n v="592"/>
    <x v="0"/>
    <x v="2"/>
  </r>
  <r>
    <n v="763"/>
    <x v="728"/>
    <x v="520"/>
    <d v="2024-02-03T08:28:58"/>
    <d v="2024-02-03T09:06:58"/>
    <x v="63"/>
    <x v="377"/>
    <x v="2"/>
    <x v="1"/>
    <x v="0"/>
    <n v="158"/>
    <n v="26"/>
    <n v="150"/>
    <n v="1176"/>
    <n v="34"/>
    <n v="1390"/>
    <x v="2"/>
    <x v="2"/>
  </r>
  <r>
    <n v="764"/>
    <x v="729"/>
    <x v="77"/>
    <d v="2024-02-05T23:38:39"/>
    <d v="2024-02-06T01:14:39"/>
    <x v="61"/>
    <x v="618"/>
    <x v="2"/>
    <x v="2"/>
    <x v="0"/>
    <n v="156"/>
    <n v="17"/>
    <n v="100"/>
    <n v="796"/>
    <n v="73"/>
    <n v="999"/>
    <x v="0"/>
    <x v="2"/>
  </r>
  <r>
    <n v="765"/>
    <x v="730"/>
    <x v="336"/>
    <d v="2024-01-06T05:19:17"/>
    <d v="2024-01-06T06:42:17"/>
    <x v="85"/>
    <x v="619"/>
    <x v="0"/>
    <x v="0"/>
    <x v="2"/>
    <n v="194"/>
    <n v="25"/>
    <n v="150"/>
    <n v="1765"/>
    <n v="69"/>
    <n v="1984"/>
    <x v="0"/>
    <x v="1"/>
  </r>
  <r>
    <n v="766"/>
    <x v="731"/>
    <x v="346"/>
    <d v="2024-01-13T19:23:01"/>
    <d v="2024-01-13T20:18:01"/>
    <x v="27"/>
    <x v="620"/>
    <x v="2"/>
    <x v="1"/>
    <x v="3"/>
    <n v="162"/>
    <n v="27"/>
    <n v="0"/>
    <n v="1131"/>
    <n v="189"/>
    <n v="1350"/>
    <x v="0"/>
    <x v="1"/>
  </r>
  <r>
    <n v="767"/>
    <x v="732"/>
    <x v="387"/>
    <d v="2024-01-15T15:38:18"/>
    <d v="2024-01-15T17:32:18"/>
    <x v="8"/>
    <x v="621"/>
    <x v="0"/>
    <x v="0"/>
    <x v="1"/>
    <n v="147"/>
    <n v="42"/>
    <n v="0"/>
    <n v="495"/>
    <n v="189"/>
    <n v="684"/>
    <x v="0"/>
    <x v="2"/>
  </r>
  <r>
    <n v="768"/>
    <x v="733"/>
    <x v="521"/>
    <d v="2024-01-25T13:02:19"/>
    <d v="2024-01-25T13:57:19"/>
    <x v="27"/>
    <x v="622"/>
    <x v="0"/>
    <x v="1"/>
    <x v="3"/>
    <n v="190"/>
    <n v="10"/>
    <n v="50"/>
    <n v="1494"/>
    <n v="150"/>
    <n v="1694"/>
    <x v="0"/>
    <x v="0"/>
  </r>
  <r>
    <n v="769"/>
    <x v="734"/>
    <x v="522"/>
    <d v="2024-01-11T04:33:32"/>
    <d v="2024-01-11T05:36:32"/>
    <x v="43"/>
    <x v="623"/>
    <x v="4"/>
    <x v="1"/>
    <x v="2"/>
    <n v="191"/>
    <n v="21"/>
    <n v="0"/>
    <n v="639"/>
    <n v="212"/>
    <n v="871"/>
    <x v="0"/>
    <x v="0"/>
  </r>
  <r>
    <n v="770"/>
    <x v="735"/>
    <x v="105"/>
    <d v="2024-01-21T06:54:04"/>
    <d v="2024-01-21T07:31:04"/>
    <x v="28"/>
    <x v="624"/>
    <x v="2"/>
    <x v="2"/>
    <x v="2"/>
    <n v="188"/>
    <n v="15"/>
    <n v="0"/>
    <n v="1434"/>
    <n v="203"/>
    <n v="1667"/>
    <x v="0"/>
    <x v="2"/>
  </r>
  <r>
    <n v="771"/>
    <x v="736"/>
    <x v="523"/>
    <d v="2024-02-07T09:33:05"/>
    <d v="2024-02-07T10:12:05"/>
    <x v="70"/>
    <x v="625"/>
    <x v="0"/>
    <x v="0"/>
    <x v="1"/>
    <n v="77"/>
    <n v="50"/>
    <n v="50"/>
    <n v="1445"/>
    <n v="77"/>
    <n v="1572"/>
    <x v="0"/>
    <x v="0"/>
  </r>
  <r>
    <n v="772"/>
    <x v="341"/>
    <x v="524"/>
    <d v="2024-01-26T22:34:41"/>
    <d v="2024-01-26T23:51:41"/>
    <x v="17"/>
    <x v="263"/>
    <x v="4"/>
    <x v="1"/>
    <x v="4"/>
    <n v="91"/>
    <n v="14"/>
    <n v="0"/>
    <n v="354"/>
    <n v="105"/>
    <n v="479"/>
    <x v="2"/>
    <x v="0"/>
  </r>
  <r>
    <n v="773"/>
    <x v="737"/>
    <x v="306"/>
    <d v="2024-02-06T04:11:00"/>
    <d v="2024-02-06T05:35:00"/>
    <x v="67"/>
    <x v="626"/>
    <x v="1"/>
    <x v="2"/>
    <x v="4"/>
    <n v="148"/>
    <n v="25"/>
    <n v="0"/>
    <n v="1650"/>
    <n v="173"/>
    <n v="1863"/>
    <x v="0"/>
    <x v="2"/>
  </r>
  <r>
    <n v="774"/>
    <x v="595"/>
    <x v="271"/>
    <d v="2024-01-20T14:01:50"/>
    <d v="2024-01-20T15:24:50"/>
    <x v="85"/>
    <x v="627"/>
    <x v="4"/>
    <x v="1"/>
    <x v="1"/>
    <n v="110"/>
    <n v="27"/>
    <n v="0"/>
    <n v="781"/>
    <n v="137"/>
    <n v="938"/>
    <x v="2"/>
    <x v="1"/>
  </r>
  <r>
    <n v="775"/>
    <x v="738"/>
    <x v="525"/>
    <d v="2024-01-04T16:17:55"/>
    <d v="2024-01-04T18:04:55"/>
    <x v="78"/>
    <x v="628"/>
    <x v="4"/>
    <x v="1"/>
    <x v="4"/>
    <n v="172"/>
    <n v="27"/>
    <n v="0"/>
    <n v="-70"/>
    <n v="199"/>
    <n v="149"/>
    <x v="0"/>
    <x v="0"/>
  </r>
  <r>
    <n v="776"/>
    <x v="739"/>
    <x v="526"/>
    <d v="2024-01-21T00:13:14"/>
    <d v="2024-01-21T01:22:14"/>
    <x v="87"/>
    <x v="629"/>
    <x v="0"/>
    <x v="1"/>
    <x v="0"/>
    <n v="113"/>
    <n v="10"/>
    <n v="0"/>
    <n v="1779"/>
    <n v="123"/>
    <n v="1902"/>
    <x v="0"/>
    <x v="0"/>
  </r>
  <r>
    <n v="777"/>
    <x v="740"/>
    <x v="352"/>
    <d v="2024-01-15T05:12:17"/>
    <d v="2024-01-15T05:56:17"/>
    <x v="22"/>
    <x v="630"/>
    <x v="3"/>
    <x v="1"/>
    <x v="4"/>
    <n v="80"/>
    <n v="28"/>
    <n v="0"/>
    <n v="99"/>
    <n v="108"/>
    <n v="257"/>
    <x v="0"/>
    <x v="2"/>
  </r>
  <r>
    <n v="778"/>
    <x v="741"/>
    <x v="527"/>
    <d v="2024-01-31T20:34:38"/>
    <d v="2024-01-31T22:24:38"/>
    <x v="7"/>
    <x v="631"/>
    <x v="3"/>
    <x v="1"/>
    <x v="4"/>
    <n v="130"/>
    <n v="17"/>
    <n v="0"/>
    <n v="796"/>
    <n v="147"/>
    <n v="993"/>
    <x v="0"/>
    <x v="0"/>
  </r>
  <r>
    <n v="779"/>
    <x v="742"/>
    <x v="528"/>
    <d v="2024-01-06T14:40:14"/>
    <d v="2024-01-06T15:27:14"/>
    <x v="79"/>
    <x v="632"/>
    <x v="3"/>
    <x v="1"/>
    <x v="4"/>
    <n v="59"/>
    <n v="12"/>
    <n v="0"/>
    <n v="1654"/>
    <n v="71"/>
    <n v="1775"/>
    <x v="0"/>
    <x v="0"/>
  </r>
  <r>
    <n v="780"/>
    <x v="743"/>
    <x v="529"/>
    <d v="2024-01-15T04:35:34"/>
    <d v="2024-01-15T05:27:34"/>
    <x v="52"/>
    <x v="419"/>
    <x v="4"/>
    <x v="2"/>
    <x v="0"/>
    <n v="57"/>
    <n v="34"/>
    <n v="0"/>
    <n v="725"/>
    <n v="91"/>
    <n v="836"/>
    <x v="0"/>
    <x v="2"/>
  </r>
  <r>
    <n v="781"/>
    <x v="744"/>
    <x v="530"/>
    <d v="2024-01-30T04:01:47"/>
    <d v="2024-01-30T05:32:47"/>
    <x v="25"/>
    <x v="633"/>
    <x v="0"/>
    <x v="1"/>
    <x v="4"/>
    <n v="198"/>
    <n v="14"/>
    <n v="0"/>
    <n v="778"/>
    <n v="212"/>
    <n v="990"/>
    <x v="0"/>
    <x v="0"/>
  </r>
  <r>
    <n v="782"/>
    <x v="745"/>
    <x v="176"/>
    <d v="2024-01-19T20:57:48"/>
    <d v="2024-01-19T22:12:48"/>
    <x v="51"/>
    <x v="634"/>
    <x v="2"/>
    <x v="0"/>
    <x v="0"/>
    <n v="108"/>
    <n v="49"/>
    <n v="0"/>
    <n v="902"/>
    <n v="157"/>
    <n v="1089"/>
    <x v="0"/>
    <x v="1"/>
  </r>
  <r>
    <n v="783"/>
    <x v="746"/>
    <x v="401"/>
    <d v="2024-01-17T10:19:01"/>
    <d v="2024-01-17T12:15:01"/>
    <x v="57"/>
    <x v="635"/>
    <x v="4"/>
    <x v="2"/>
    <x v="1"/>
    <n v="79"/>
    <n v="28"/>
    <n v="0"/>
    <n v="1461"/>
    <n v="107"/>
    <n v="1588"/>
    <x v="0"/>
    <x v="1"/>
  </r>
  <r>
    <n v="784"/>
    <x v="747"/>
    <x v="531"/>
    <d v="2024-01-13T04:18:50"/>
    <d v="2024-01-13T05:26:50"/>
    <x v="15"/>
    <x v="15"/>
    <x v="4"/>
    <x v="0"/>
    <x v="3"/>
    <n v="194"/>
    <n v="27"/>
    <n v="100"/>
    <n v="771"/>
    <n v="121"/>
    <n v="1012"/>
    <x v="0"/>
    <x v="0"/>
  </r>
  <r>
    <n v="785"/>
    <x v="748"/>
    <x v="532"/>
    <d v="2024-01-19T12:25:08"/>
    <d v="2024-01-19T13:09:08"/>
    <x v="22"/>
    <x v="185"/>
    <x v="0"/>
    <x v="1"/>
    <x v="1"/>
    <n v="69"/>
    <n v="40"/>
    <n v="0"/>
    <n v="1452"/>
    <n v="109"/>
    <n v="1561"/>
    <x v="0"/>
    <x v="2"/>
  </r>
  <r>
    <n v="786"/>
    <x v="749"/>
    <x v="221"/>
    <d v="2024-01-26T01:13:32"/>
    <d v="2024-01-26T02:35:32"/>
    <x v="41"/>
    <x v="636"/>
    <x v="1"/>
    <x v="0"/>
    <x v="3"/>
    <n v="97"/>
    <n v="42"/>
    <n v="0"/>
    <n v="692"/>
    <n v="139"/>
    <n v="871"/>
    <x v="0"/>
    <x v="2"/>
  </r>
  <r>
    <n v="787"/>
    <x v="750"/>
    <x v="533"/>
    <d v="2024-01-13T21:51:28"/>
    <d v="2024-01-13T23:48:28"/>
    <x v="45"/>
    <x v="448"/>
    <x v="4"/>
    <x v="1"/>
    <x v="1"/>
    <n v="179"/>
    <n v="27"/>
    <n v="0"/>
    <n v="499"/>
    <n v="206"/>
    <n v="725"/>
    <x v="0"/>
    <x v="0"/>
  </r>
  <r>
    <n v="788"/>
    <x v="751"/>
    <x v="534"/>
    <d v="2024-01-28T05:50:47"/>
    <d v="2024-01-28T07:23:47"/>
    <x v="73"/>
    <x v="637"/>
    <x v="1"/>
    <x v="1"/>
    <x v="3"/>
    <n v="86"/>
    <n v="48"/>
    <n v="0"/>
    <n v="422"/>
    <n v="134"/>
    <n v="596"/>
    <x v="0"/>
    <x v="0"/>
  </r>
  <r>
    <n v="789"/>
    <x v="752"/>
    <x v="174"/>
    <d v="2024-01-31T10:35:46"/>
    <d v="2024-01-31T12:07:46"/>
    <x v="55"/>
    <x v="484"/>
    <x v="1"/>
    <x v="2"/>
    <x v="3"/>
    <n v="178"/>
    <n v="25"/>
    <n v="150"/>
    <n v="511"/>
    <n v="53"/>
    <n v="754"/>
    <x v="0"/>
    <x v="2"/>
  </r>
  <r>
    <n v="790"/>
    <x v="753"/>
    <x v="535"/>
    <d v="2024-02-03T11:27:58"/>
    <d v="2024-02-03T13:16:58"/>
    <x v="49"/>
    <x v="638"/>
    <x v="3"/>
    <x v="2"/>
    <x v="2"/>
    <n v="181"/>
    <n v="25"/>
    <n v="0"/>
    <n v="1652"/>
    <n v="206"/>
    <n v="1908"/>
    <x v="0"/>
    <x v="0"/>
  </r>
  <r>
    <n v="791"/>
    <x v="754"/>
    <x v="536"/>
    <d v="2024-01-23T23:08:37"/>
    <d v="2024-01-23T23:53:37"/>
    <x v="83"/>
    <x v="639"/>
    <x v="0"/>
    <x v="1"/>
    <x v="3"/>
    <n v="149"/>
    <n v="47"/>
    <n v="0"/>
    <n v="601"/>
    <n v="196"/>
    <n v="797"/>
    <x v="0"/>
    <x v="0"/>
  </r>
  <r>
    <n v="792"/>
    <x v="755"/>
    <x v="39"/>
    <d v="2024-01-29T06:41:22"/>
    <d v="2024-01-29T08:20:22"/>
    <x v="62"/>
    <x v="533"/>
    <x v="1"/>
    <x v="2"/>
    <x v="3"/>
    <n v="103"/>
    <n v="50"/>
    <n v="0"/>
    <n v="1666"/>
    <n v="153"/>
    <n v="1859"/>
    <x v="0"/>
    <x v="2"/>
  </r>
  <r>
    <n v="793"/>
    <x v="756"/>
    <x v="537"/>
    <d v="2024-01-11T01:12:54"/>
    <d v="2024-01-11T02:47:54"/>
    <x v="84"/>
    <x v="640"/>
    <x v="0"/>
    <x v="0"/>
    <x v="2"/>
    <n v="171"/>
    <n v="16"/>
    <n v="50"/>
    <n v="1431"/>
    <n v="137"/>
    <n v="1618"/>
    <x v="0"/>
    <x v="1"/>
  </r>
  <r>
    <n v="794"/>
    <x v="757"/>
    <x v="158"/>
    <d v="2024-01-21T07:39:08"/>
    <d v="2024-01-21T08:21:08"/>
    <x v="82"/>
    <x v="641"/>
    <x v="3"/>
    <x v="2"/>
    <x v="4"/>
    <n v="74"/>
    <n v="23"/>
    <n v="100"/>
    <n v="676"/>
    <n v="-3"/>
    <n v="823"/>
    <x v="0"/>
    <x v="3"/>
  </r>
  <r>
    <n v="795"/>
    <x v="758"/>
    <x v="140"/>
    <d v="2024-01-01T08:15:25"/>
    <d v="2024-01-01T09:31:25"/>
    <x v="37"/>
    <x v="304"/>
    <x v="0"/>
    <x v="2"/>
    <x v="4"/>
    <n v="180"/>
    <n v="34"/>
    <n v="150"/>
    <n v="1156"/>
    <n v="64"/>
    <n v="1370"/>
    <x v="0"/>
    <x v="2"/>
  </r>
  <r>
    <n v="796"/>
    <x v="759"/>
    <x v="335"/>
    <d v="2024-01-14T17:19:34"/>
    <d v="2024-01-14T17:57:34"/>
    <x v="63"/>
    <x v="642"/>
    <x v="4"/>
    <x v="0"/>
    <x v="2"/>
    <n v="58"/>
    <n v="41"/>
    <n v="150"/>
    <n v="543"/>
    <n v="-51"/>
    <n v="662"/>
    <x v="0"/>
    <x v="2"/>
  </r>
  <r>
    <n v="797"/>
    <x v="760"/>
    <x v="433"/>
    <d v="2024-01-02T05:02:35"/>
    <d v="2024-01-02T06:34:35"/>
    <x v="55"/>
    <x v="643"/>
    <x v="1"/>
    <x v="2"/>
    <x v="0"/>
    <n v="83"/>
    <n v="47"/>
    <n v="0"/>
    <n v="1557"/>
    <n v="130"/>
    <n v="1727"/>
    <x v="0"/>
    <x v="2"/>
  </r>
  <r>
    <n v="798"/>
    <x v="530"/>
    <x v="423"/>
    <d v="2024-01-28T07:10:38"/>
    <d v="2024-01-28T08:13:38"/>
    <x v="43"/>
    <x v="144"/>
    <x v="0"/>
    <x v="1"/>
    <x v="3"/>
    <n v="92"/>
    <n v="31"/>
    <n v="100"/>
    <n v="833"/>
    <n v="23"/>
    <n v="956"/>
    <x v="2"/>
    <x v="2"/>
  </r>
  <r>
    <n v="799"/>
    <x v="761"/>
    <x v="385"/>
    <d v="2024-01-10T05:05:28"/>
    <d v="2024-01-10T06:55:28"/>
    <x v="7"/>
    <x v="548"/>
    <x v="2"/>
    <x v="0"/>
    <x v="3"/>
    <n v="123"/>
    <n v="25"/>
    <n v="0"/>
    <n v="1563"/>
    <n v="148"/>
    <n v="1741"/>
    <x v="0"/>
    <x v="2"/>
  </r>
  <r>
    <n v="800"/>
    <x v="762"/>
    <x v="234"/>
    <d v="2024-01-19T20:35:11"/>
    <d v="2024-01-19T21:33:11"/>
    <x v="2"/>
    <x v="535"/>
    <x v="0"/>
    <x v="1"/>
    <x v="2"/>
    <n v="143"/>
    <n v="38"/>
    <n v="0"/>
    <n v="815"/>
    <n v="181"/>
    <n v="996"/>
    <x v="0"/>
    <x v="2"/>
  </r>
  <r>
    <n v="801"/>
    <x v="763"/>
    <x v="184"/>
    <d v="2024-01-11T06:40:36"/>
    <d v="2024-01-11T07:46:36"/>
    <x v="26"/>
    <x v="308"/>
    <x v="1"/>
    <x v="0"/>
    <x v="2"/>
    <n v="71"/>
    <n v="25"/>
    <n v="0"/>
    <n v="1466"/>
    <n v="96"/>
    <n v="1602"/>
    <x v="0"/>
    <x v="1"/>
  </r>
  <r>
    <n v="802"/>
    <x v="764"/>
    <x v="258"/>
    <d v="2024-02-04T09:29:43"/>
    <d v="2024-02-04T10:41:43"/>
    <x v="35"/>
    <x v="644"/>
    <x v="3"/>
    <x v="1"/>
    <x v="0"/>
    <n v="119"/>
    <n v="21"/>
    <n v="0"/>
    <n v="237"/>
    <n v="140"/>
    <n v="427"/>
    <x v="0"/>
    <x v="2"/>
  </r>
  <r>
    <n v="803"/>
    <x v="765"/>
    <x v="408"/>
    <d v="2024-01-31T19:39:21"/>
    <d v="2024-01-31T21:34:21"/>
    <x v="86"/>
    <x v="645"/>
    <x v="3"/>
    <x v="1"/>
    <x v="4"/>
    <n v="179"/>
    <n v="26"/>
    <n v="0"/>
    <n v="446"/>
    <n v="205"/>
    <n v="701"/>
    <x v="0"/>
    <x v="2"/>
  </r>
  <r>
    <n v="804"/>
    <x v="603"/>
    <x v="347"/>
    <d v="2024-01-22T03:12:57"/>
    <d v="2024-01-22T04:45:57"/>
    <x v="73"/>
    <x v="646"/>
    <x v="1"/>
    <x v="2"/>
    <x v="1"/>
    <n v="143"/>
    <n v="46"/>
    <n v="0"/>
    <n v="1547"/>
    <n v="189"/>
    <n v="1776"/>
    <x v="2"/>
    <x v="2"/>
  </r>
  <r>
    <n v="805"/>
    <x v="766"/>
    <x v="59"/>
    <d v="2024-01-27T23:17:35"/>
    <d v="2024-01-28T00:10:35"/>
    <x v="6"/>
    <x v="647"/>
    <x v="4"/>
    <x v="1"/>
    <x v="4"/>
    <n v="81"/>
    <n v="36"/>
    <n v="0"/>
    <n v="93"/>
    <n v="117"/>
    <n v="230"/>
    <x v="0"/>
    <x v="2"/>
  </r>
  <r>
    <n v="806"/>
    <x v="767"/>
    <x v="98"/>
    <d v="2024-01-12T08:56:39"/>
    <d v="2024-01-12T10:36:39"/>
    <x v="13"/>
    <x v="648"/>
    <x v="4"/>
    <x v="2"/>
    <x v="3"/>
    <n v="155"/>
    <n v="34"/>
    <n v="150"/>
    <n v="295"/>
    <n v="39"/>
    <n v="504"/>
    <x v="0"/>
    <x v="1"/>
  </r>
  <r>
    <n v="807"/>
    <x v="768"/>
    <x v="285"/>
    <d v="2024-01-30T02:03:44"/>
    <d v="2024-01-30T03:06:44"/>
    <x v="43"/>
    <x v="649"/>
    <x v="3"/>
    <x v="0"/>
    <x v="2"/>
    <n v="193"/>
    <n v="22"/>
    <n v="0"/>
    <n v="1741"/>
    <n v="215"/>
    <n v="2006"/>
    <x v="0"/>
    <x v="2"/>
  </r>
  <r>
    <n v="808"/>
    <x v="769"/>
    <x v="468"/>
    <d v="2024-01-25T21:51:39"/>
    <d v="2024-01-25T23:08:39"/>
    <x v="17"/>
    <x v="343"/>
    <x v="3"/>
    <x v="1"/>
    <x v="0"/>
    <n v="50"/>
    <n v="17"/>
    <n v="50"/>
    <n v="793"/>
    <n v="17"/>
    <n v="910"/>
    <x v="0"/>
    <x v="2"/>
  </r>
  <r>
    <n v="809"/>
    <x v="770"/>
    <x v="449"/>
    <d v="2024-01-30T09:33:54"/>
    <d v="2024-01-30T10:14:54"/>
    <x v="53"/>
    <x v="113"/>
    <x v="1"/>
    <x v="1"/>
    <x v="4"/>
    <n v="121"/>
    <n v="14"/>
    <n v="100"/>
    <n v="1179"/>
    <n v="35"/>
    <n v="1354"/>
    <x v="0"/>
    <x v="2"/>
  </r>
  <r>
    <n v="810"/>
    <x v="771"/>
    <x v="538"/>
    <d v="2024-01-30T18:38:56"/>
    <d v="2024-01-30T19:30:56"/>
    <x v="52"/>
    <x v="307"/>
    <x v="4"/>
    <x v="0"/>
    <x v="0"/>
    <n v="99"/>
    <n v="21"/>
    <n v="0"/>
    <n v="1493"/>
    <n v="120"/>
    <n v="1633"/>
    <x v="0"/>
    <x v="0"/>
  </r>
  <r>
    <n v="811"/>
    <x v="772"/>
    <x v="539"/>
    <d v="2024-01-28T18:08:03"/>
    <d v="2024-01-28T19:56:03"/>
    <x v="88"/>
    <x v="132"/>
    <x v="3"/>
    <x v="0"/>
    <x v="4"/>
    <n v="190"/>
    <n v="50"/>
    <n v="0"/>
    <n v="553"/>
    <n v="240"/>
    <n v="843"/>
    <x v="0"/>
    <x v="2"/>
  </r>
  <r>
    <n v="812"/>
    <x v="575"/>
    <x v="540"/>
    <d v="2024-01-28T02:33:11"/>
    <d v="2024-01-28T03:15:11"/>
    <x v="82"/>
    <x v="650"/>
    <x v="4"/>
    <x v="1"/>
    <x v="3"/>
    <n v="64"/>
    <n v="12"/>
    <n v="0"/>
    <n v="1473"/>
    <n v="76"/>
    <n v="1569"/>
    <x v="2"/>
    <x v="0"/>
  </r>
  <r>
    <n v="813"/>
    <x v="773"/>
    <x v="532"/>
    <d v="2024-01-30T13:15:14"/>
    <d v="2024-01-30T15:11:14"/>
    <x v="57"/>
    <x v="16"/>
    <x v="3"/>
    <x v="0"/>
    <x v="1"/>
    <n v="102"/>
    <n v="44"/>
    <n v="150"/>
    <n v="358"/>
    <n v="-4"/>
    <n v="554"/>
    <x v="0"/>
    <x v="2"/>
  </r>
  <r>
    <n v="814"/>
    <x v="774"/>
    <x v="541"/>
    <d v="2024-01-07T07:40:15"/>
    <d v="2024-01-07T08:54:15"/>
    <x v="68"/>
    <x v="651"/>
    <x v="0"/>
    <x v="2"/>
    <x v="0"/>
    <n v="57"/>
    <n v="42"/>
    <n v="50"/>
    <n v="1359"/>
    <n v="49"/>
    <n v="1458"/>
    <x v="0"/>
    <x v="0"/>
  </r>
  <r>
    <n v="815"/>
    <x v="775"/>
    <x v="397"/>
    <d v="2024-01-14T05:40:57"/>
    <d v="2024-01-14T07:14:57"/>
    <x v="69"/>
    <x v="652"/>
    <x v="2"/>
    <x v="0"/>
    <x v="0"/>
    <n v="123"/>
    <n v="31"/>
    <n v="0"/>
    <n v="1178"/>
    <n v="154"/>
    <n v="1362"/>
    <x v="0"/>
    <x v="3"/>
  </r>
  <r>
    <n v="816"/>
    <x v="42"/>
    <x v="317"/>
    <d v="2024-01-17T14:10:41"/>
    <d v="2024-01-17T15:26:41"/>
    <x v="37"/>
    <x v="653"/>
    <x v="0"/>
    <x v="0"/>
    <x v="1"/>
    <n v="95"/>
    <n v="18"/>
    <n v="0"/>
    <n v="8"/>
    <n v="113"/>
    <n v="121"/>
    <x v="2"/>
    <x v="2"/>
  </r>
  <r>
    <n v="817"/>
    <x v="776"/>
    <x v="542"/>
    <d v="2024-01-19T23:48:40"/>
    <d v="2024-01-20T01:15:40"/>
    <x v="76"/>
    <x v="654"/>
    <x v="3"/>
    <x v="1"/>
    <x v="0"/>
    <n v="118"/>
    <n v="50"/>
    <n v="150"/>
    <n v="609"/>
    <n v="18"/>
    <n v="827"/>
    <x v="0"/>
    <x v="0"/>
  </r>
  <r>
    <n v="818"/>
    <x v="777"/>
    <x v="429"/>
    <d v="2024-01-20T18:10:17"/>
    <d v="2024-01-20T18:44:17"/>
    <x v="58"/>
    <x v="655"/>
    <x v="2"/>
    <x v="2"/>
    <x v="0"/>
    <n v="163"/>
    <n v="27"/>
    <n v="50"/>
    <n v="520"/>
    <n v="140"/>
    <n v="740"/>
    <x v="0"/>
    <x v="2"/>
  </r>
  <r>
    <n v="819"/>
    <x v="778"/>
    <x v="543"/>
    <d v="2024-01-08T23:32:36"/>
    <d v="2024-01-09T01:18:36"/>
    <x v="23"/>
    <x v="87"/>
    <x v="2"/>
    <x v="0"/>
    <x v="4"/>
    <n v="196"/>
    <n v="38"/>
    <n v="50"/>
    <n v="1097"/>
    <n v="184"/>
    <n v="1361"/>
    <x v="0"/>
    <x v="0"/>
  </r>
  <r>
    <n v="820"/>
    <x v="779"/>
    <x v="122"/>
    <d v="2024-02-02T06:47:27"/>
    <d v="2024-02-02T07:21:27"/>
    <x v="58"/>
    <x v="656"/>
    <x v="3"/>
    <x v="2"/>
    <x v="4"/>
    <n v="172"/>
    <n v="48"/>
    <n v="0"/>
    <n v="-113"/>
    <n v="220"/>
    <n v="157"/>
    <x v="0"/>
    <x v="2"/>
  </r>
  <r>
    <n v="821"/>
    <x v="780"/>
    <x v="451"/>
    <d v="2024-02-03T01:41:01"/>
    <d v="2024-02-03T03:10:01"/>
    <x v="4"/>
    <x v="657"/>
    <x v="3"/>
    <x v="2"/>
    <x v="1"/>
    <n v="188"/>
    <n v="36"/>
    <n v="50"/>
    <n v="577"/>
    <n v="174"/>
    <n v="851"/>
    <x v="0"/>
    <x v="2"/>
  </r>
  <r>
    <n v="822"/>
    <x v="648"/>
    <x v="544"/>
    <d v="2024-02-07T08:03:50"/>
    <d v="2024-02-07T08:53:50"/>
    <x v="19"/>
    <x v="572"/>
    <x v="4"/>
    <x v="2"/>
    <x v="3"/>
    <n v="166"/>
    <n v="45"/>
    <n v="0"/>
    <n v="1599"/>
    <n v="211"/>
    <n v="1830"/>
    <x v="2"/>
    <x v="0"/>
  </r>
  <r>
    <n v="823"/>
    <x v="781"/>
    <x v="545"/>
    <d v="2024-02-05T19:30:34"/>
    <d v="2024-02-05T20:23:34"/>
    <x v="6"/>
    <x v="238"/>
    <x v="3"/>
    <x v="1"/>
    <x v="0"/>
    <n v="92"/>
    <n v="26"/>
    <n v="0"/>
    <n v="1790"/>
    <n v="118"/>
    <n v="1958"/>
    <x v="0"/>
    <x v="0"/>
  </r>
  <r>
    <n v="824"/>
    <x v="782"/>
    <x v="529"/>
    <d v="2024-01-27T02:02:02"/>
    <d v="2024-01-27T02:49:02"/>
    <x v="79"/>
    <x v="658"/>
    <x v="1"/>
    <x v="0"/>
    <x v="3"/>
    <n v="69"/>
    <n v="43"/>
    <n v="0"/>
    <n v="516"/>
    <n v="112"/>
    <n v="668"/>
    <x v="0"/>
    <x v="2"/>
  </r>
  <r>
    <n v="825"/>
    <x v="783"/>
    <x v="2"/>
    <d v="2024-01-20T02:15:29"/>
    <d v="2024-01-20T03:05:29"/>
    <x v="19"/>
    <x v="659"/>
    <x v="3"/>
    <x v="1"/>
    <x v="1"/>
    <n v="197"/>
    <n v="12"/>
    <n v="0"/>
    <n v="492"/>
    <n v="209"/>
    <n v="751"/>
    <x v="0"/>
    <x v="2"/>
  </r>
  <r>
    <n v="826"/>
    <x v="784"/>
    <x v="546"/>
    <d v="2024-01-13T22:04:31"/>
    <d v="2024-01-13T23:27:31"/>
    <x v="85"/>
    <x v="660"/>
    <x v="1"/>
    <x v="0"/>
    <x v="1"/>
    <n v="70"/>
    <n v="14"/>
    <n v="0"/>
    <n v="1692"/>
    <n v="84"/>
    <n v="1816"/>
    <x v="0"/>
    <x v="0"/>
  </r>
  <r>
    <n v="827"/>
    <x v="785"/>
    <x v="506"/>
    <d v="2024-01-30T06:17:48"/>
    <d v="2024-01-30T06:56:48"/>
    <x v="70"/>
    <x v="661"/>
    <x v="3"/>
    <x v="0"/>
    <x v="4"/>
    <n v="131"/>
    <n v="23"/>
    <n v="0"/>
    <n v="602"/>
    <n v="154"/>
    <n v="806"/>
    <x v="0"/>
    <x v="2"/>
  </r>
  <r>
    <n v="828"/>
    <x v="786"/>
    <x v="547"/>
    <d v="2024-01-31T07:26:00"/>
    <d v="2024-01-31T08:19:00"/>
    <x v="6"/>
    <x v="73"/>
    <x v="4"/>
    <x v="1"/>
    <x v="0"/>
    <n v="106"/>
    <n v="12"/>
    <n v="0"/>
    <n v="147"/>
    <n v="118"/>
    <n v="285"/>
    <x v="0"/>
    <x v="2"/>
  </r>
  <r>
    <n v="829"/>
    <x v="787"/>
    <x v="548"/>
    <d v="2024-01-26T15:06:27"/>
    <d v="2024-01-26T17:00:27"/>
    <x v="8"/>
    <x v="325"/>
    <x v="1"/>
    <x v="2"/>
    <x v="2"/>
    <n v="123"/>
    <n v="32"/>
    <n v="50"/>
    <n v="793"/>
    <n v="105"/>
    <n v="988"/>
    <x v="0"/>
    <x v="0"/>
  </r>
  <r>
    <n v="830"/>
    <x v="788"/>
    <x v="441"/>
    <d v="2024-02-05T20:59:15"/>
    <d v="2024-02-05T22:57:15"/>
    <x v="72"/>
    <x v="662"/>
    <x v="0"/>
    <x v="2"/>
    <x v="1"/>
    <n v="147"/>
    <n v="48"/>
    <n v="0"/>
    <n v="400"/>
    <n v="195"/>
    <n v="595"/>
    <x v="0"/>
    <x v="2"/>
  </r>
  <r>
    <n v="831"/>
    <x v="789"/>
    <x v="549"/>
    <d v="2024-01-18T05:44:53"/>
    <d v="2024-01-18T07:13:53"/>
    <x v="4"/>
    <x v="663"/>
    <x v="1"/>
    <x v="0"/>
    <x v="0"/>
    <n v="159"/>
    <n v="39"/>
    <n v="0"/>
    <n v="491"/>
    <n v="198"/>
    <n v="729"/>
    <x v="0"/>
    <x v="0"/>
  </r>
  <r>
    <n v="832"/>
    <x v="790"/>
    <x v="475"/>
    <d v="2024-01-20T11:07:21"/>
    <d v="2024-01-20T12:33:21"/>
    <x v="18"/>
    <x v="664"/>
    <x v="4"/>
    <x v="1"/>
    <x v="3"/>
    <n v="164"/>
    <n v="32"/>
    <n v="0"/>
    <n v="332"/>
    <n v="196"/>
    <n v="548"/>
    <x v="0"/>
    <x v="2"/>
  </r>
  <r>
    <n v="833"/>
    <x v="791"/>
    <x v="550"/>
    <d v="2024-01-13T08:33:29"/>
    <d v="2024-01-13T09:25:29"/>
    <x v="52"/>
    <x v="665"/>
    <x v="1"/>
    <x v="2"/>
    <x v="4"/>
    <n v="91"/>
    <n v="36"/>
    <n v="0"/>
    <n v="746"/>
    <n v="127"/>
    <n v="913"/>
    <x v="0"/>
    <x v="0"/>
  </r>
  <r>
    <n v="834"/>
    <x v="792"/>
    <x v="551"/>
    <d v="2024-01-06T23:26:49"/>
    <d v="2024-01-07T00:17:49"/>
    <x v="5"/>
    <x v="666"/>
    <x v="3"/>
    <x v="2"/>
    <x v="3"/>
    <n v="117"/>
    <n v="19"/>
    <n v="0"/>
    <n v="126"/>
    <n v="136"/>
    <n v="312"/>
    <x v="0"/>
    <x v="0"/>
  </r>
  <r>
    <n v="835"/>
    <x v="793"/>
    <x v="552"/>
    <d v="2024-01-08T17:02:45"/>
    <d v="2024-01-08T18:39:45"/>
    <x v="40"/>
    <x v="29"/>
    <x v="3"/>
    <x v="0"/>
    <x v="1"/>
    <n v="119"/>
    <n v="34"/>
    <n v="0"/>
    <n v="312"/>
    <n v="153"/>
    <n v="515"/>
    <x v="0"/>
    <x v="0"/>
  </r>
  <r>
    <n v="836"/>
    <x v="794"/>
    <x v="553"/>
    <d v="2024-02-02T06:32:43"/>
    <d v="2024-02-02T07:35:43"/>
    <x v="43"/>
    <x v="667"/>
    <x v="4"/>
    <x v="0"/>
    <x v="1"/>
    <n v="127"/>
    <n v="22"/>
    <n v="50"/>
    <n v="1500"/>
    <n v="99"/>
    <n v="1669"/>
    <x v="0"/>
    <x v="2"/>
  </r>
  <r>
    <n v="837"/>
    <x v="795"/>
    <x v="554"/>
    <d v="2024-01-31T15:37:52"/>
    <d v="2024-01-31T17:16:52"/>
    <x v="62"/>
    <x v="209"/>
    <x v="2"/>
    <x v="1"/>
    <x v="3"/>
    <n v="139"/>
    <n v="25"/>
    <n v="0"/>
    <n v="1198"/>
    <n v="164"/>
    <n v="1392"/>
    <x v="0"/>
    <x v="0"/>
  </r>
  <r>
    <n v="838"/>
    <x v="796"/>
    <x v="555"/>
    <d v="2024-01-15T09:18:05"/>
    <d v="2024-01-15T10:15:05"/>
    <x v="64"/>
    <x v="385"/>
    <x v="3"/>
    <x v="0"/>
    <x v="1"/>
    <n v="160"/>
    <n v="50"/>
    <n v="0"/>
    <n v="-39"/>
    <n v="210"/>
    <n v="221"/>
    <x v="0"/>
    <x v="0"/>
  </r>
  <r>
    <n v="839"/>
    <x v="797"/>
    <x v="378"/>
    <d v="2024-01-17T12:14:05"/>
    <d v="2024-01-17T13:22:05"/>
    <x v="15"/>
    <x v="635"/>
    <x v="0"/>
    <x v="2"/>
    <x v="0"/>
    <n v="161"/>
    <n v="43"/>
    <n v="0"/>
    <n v="1364"/>
    <n v="204"/>
    <n v="1568"/>
    <x v="0"/>
    <x v="2"/>
  </r>
  <r>
    <n v="840"/>
    <x v="798"/>
    <x v="556"/>
    <d v="2024-01-26T22:49:28"/>
    <d v="2024-01-27T00:00:28"/>
    <x v="14"/>
    <x v="668"/>
    <x v="4"/>
    <x v="2"/>
    <x v="1"/>
    <n v="152"/>
    <n v="46"/>
    <n v="0"/>
    <n v="556"/>
    <n v="198"/>
    <n v="774"/>
    <x v="0"/>
    <x v="0"/>
  </r>
  <r>
    <n v="841"/>
    <x v="799"/>
    <x v="557"/>
    <d v="2024-01-04T06:20:17"/>
    <d v="2024-01-04T07:12:17"/>
    <x v="52"/>
    <x v="669"/>
    <x v="1"/>
    <x v="2"/>
    <x v="4"/>
    <n v="194"/>
    <n v="31"/>
    <n v="100"/>
    <n v="1720"/>
    <n v="125"/>
    <n v="1985"/>
    <x v="0"/>
    <x v="0"/>
  </r>
  <r>
    <n v="842"/>
    <x v="631"/>
    <x v="358"/>
    <d v="2024-02-07T10:39:52"/>
    <d v="2024-02-07T12:18:52"/>
    <x v="62"/>
    <x v="670"/>
    <x v="1"/>
    <x v="2"/>
    <x v="0"/>
    <n v="68"/>
    <n v="26"/>
    <n v="150"/>
    <n v="1538"/>
    <n v="-56"/>
    <n v="1672"/>
    <x v="2"/>
    <x v="3"/>
  </r>
  <r>
    <n v="843"/>
    <x v="800"/>
    <x v="206"/>
    <d v="2024-02-02T00:51:31"/>
    <d v="2024-02-02T02:40:31"/>
    <x v="49"/>
    <x v="671"/>
    <x v="0"/>
    <x v="1"/>
    <x v="2"/>
    <n v="119"/>
    <n v="32"/>
    <n v="150"/>
    <n v="1767"/>
    <n v="1"/>
    <n v="1918"/>
    <x v="0"/>
    <x v="2"/>
  </r>
  <r>
    <n v="844"/>
    <x v="801"/>
    <x v="115"/>
    <d v="2024-02-07T18:24:10"/>
    <d v="2024-02-07T18:55:10"/>
    <x v="60"/>
    <x v="672"/>
    <x v="3"/>
    <x v="1"/>
    <x v="1"/>
    <n v="112"/>
    <n v="45"/>
    <n v="0"/>
    <n v="211"/>
    <n v="157"/>
    <n v="418"/>
    <x v="0"/>
    <x v="1"/>
  </r>
  <r>
    <n v="845"/>
    <x v="802"/>
    <x v="270"/>
    <d v="2024-01-21T03:31:27"/>
    <d v="2024-01-21T04:24:27"/>
    <x v="6"/>
    <x v="673"/>
    <x v="4"/>
    <x v="0"/>
    <x v="1"/>
    <n v="124"/>
    <n v="18"/>
    <n v="0"/>
    <n v="1734"/>
    <n v="142"/>
    <n v="1896"/>
    <x v="0"/>
    <x v="1"/>
  </r>
  <r>
    <n v="846"/>
    <x v="803"/>
    <x v="307"/>
    <d v="2024-01-23T09:31:30"/>
    <d v="2024-01-23T10:17:30"/>
    <x v="3"/>
    <x v="674"/>
    <x v="0"/>
    <x v="0"/>
    <x v="4"/>
    <n v="153"/>
    <n v="11"/>
    <n v="0"/>
    <n v="350"/>
    <n v="164"/>
    <n v="514"/>
    <x v="0"/>
    <x v="2"/>
  </r>
  <r>
    <n v="847"/>
    <x v="804"/>
    <x v="537"/>
    <d v="2024-01-09T14:59:42"/>
    <d v="2024-01-09T16:33:42"/>
    <x v="69"/>
    <x v="675"/>
    <x v="3"/>
    <x v="0"/>
    <x v="4"/>
    <n v="124"/>
    <n v="41"/>
    <n v="0"/>
    <n v="1203"/>
    <n v="165"/>
    <n v="1418"/>
    <x v="0"/>
    <x v="1"/>
  </r>
  <r>
    <n v="848"/>
    <x v="805"/>
    <x v="558"/>
    <d v="2024-01-30T10:51:49"/>
    <d v="2024-01-30T12:30:49"/>
    <x v="62"/>
    <x v="676"/>
    <x v="4"/>
    <x v="1"/>
    <x v="3"/>
    <n v="177"/>
    <n v="31"/>
    <n v="0"/>
    <n v="907"/>
    <n v="208"/>
    <n v="1135"/>
    <x v="0"/>
    <x v="0"/>
  </r>
  <r>
    <n v="849"/>
    <x v="806"/>
    <x v="460"/>
    <d v="2024-02-03T12:21:11"/>
    <d v="2024-02-03T13:59:11"/>
    <x v="16"/>
    <x v="677"/>
    <x v="1"/>
    <x v="2"/>
    <x v="3"/>
    <n v="105"/>
    <n v="22"/>
    <n v="0"/>
    <n v="647"/>
    <n v="127"/>
    <n v="814"/>
    <x v="0"/>
    <x v="2"/>
  </r>
  <r>
    <n v="850"/>
    <x v="807"/>
    <x v="35"/>
    <d v="2024-01-05T19:49:38"/>
    <d v="2024-01-05T21:18:38"/>
    <x v="4"/>
    <x v="270"/>
    <x v="4"/>
    <x v="0"/>
    <x v="3"/>
    <n v="71"/>
    <n v="17"/>
    <n v="0"/>
    <n v="1095"/>
    <n v="88"/>
    <n v="1203"/>
    <x v="0"/>
    <x v="2"/>
  </r>
  <r>
    <n v="851"/>
    <x v="808"/>
    <x v="266"/>
    <d v="2024-01-12T23:01:56"/>
    <d v="2024-01-13T00:20:56"/>
    <x v="10"/>
    <x v="388"/>
    <x v="2"/>
    <x v="2"/>
    <x v="4"/>
    <n v="138"/>
    <n v="10"/>
    <n v="0"/>
    <n v="-43"/>
    <n v="148"/>
    <n v="135"/>
    <x v="0"/>
    <x v="2"/>
  </r>
  <r>
    <n v="852"/>
    <x v="809"/>
    <x v="366"/>
    <d v="2024-02-04T07:56:41"/>
    <d v="2024-02-04T08:37:41"/>
    <x v="53"/>
    <x v="112"/>
    <x v="4"/>
    <x v="0"/>
    <x v="3"/>
    <n v="68"/>
    <n v="26"/>
    <n v="0"/>
    <n v="1738"/>
    <n v="94"/>
    <n v="1852"/>
    <x v="0"/>
    <x v="2"/>
  </r>
  <r>
    <n v="853"/>
    <x v="810"/>
    <x v="559"/>
    <d v="2024-01-08T05:32:51"/>
    <d v="2024-01-08T06:48:51"/>
    <x v="37"/>
    <x v="678"/>
    <x v="2"/>
    <x v="0"/>
    <x v="3"/>
    <n v="75"/>
    <n v="21"/>
    <n v="0"/>
    <n v="985"/>
    <n v="96"/>
    <n v="1111"/>
    <x v="0"/>
    <x v="0"/>
  </r>
  <r>
    <n v="854"/>
    <x v="811"/>
    <x v="233"/>
    <d v="2024-01-31T08:03:58"/>
    <d v="2024-01-31T09:39:58"/>
    <x v="61"/>
    <x v="247"/>
    <x v="4"/>
    <x v="0"/>
    <x v="2"/>
    <n v="72"/>
    <n v="13"/>
    <n v="0"/>
    <n v="584"/>
    <n v="85"/>
    <n v="689"/>
    <x v="0"/>
    <x v="5"/>
  </r>
  <r>
    <n v="855"/>
    <x v="812"/>
    <x v="480"/>
    <d v="2024-01-19T07:34:20"/>
    <d v="2024-01-19T09:08:20"/>
    <x v="69"/>
    <x v="679"/>
    <x v="2"/>
    <x v="0"/>
    <x v="3"/>
    <n v="96"/>
    <n v="22"/>
    <n v="50"/>
    <n v="1822"/>
    <n v="68"/>
    <n v="1970"/>
    <x v="0"/>
    <x v="4"/>
  </r>
  <r>
    <n v="856"/>
    <x v="813"/>
    <x v="233"/>
    <d v="2024-01-20T10:46:43"/>
    <d v="2024-01-20T11:42:43"/>
    <x v="56"/>
    <x v="680"/>
    <x v="1"/>
    <x v="0"/>
    <x v="1"/>
    <n v="62"/>
    <n v="40"/>
    <n v="0"/>
    <n v="404"/>
    <n v="102"/>
    <n v="546"/>
    <x v="0"/>
    <x v="5"/>
  </r>
  <r>
    <n v="857"/>
    <x v="814"/>
    <x v="560"/>
    <d v="2024-01-07T06:43:21"/>
    <d v="2024-01-07T08:00:21"/>
    <x v="17"/>
    <x v="27"/>
    <x v="3"/>
    <x v="2"/>
    <x v="4"/>
    <n v="115"/>
    <n v="50"/>
    <n v="0"/>
    <n v="1175"/>
    <n v="165"/>
    <n v="1390"/>
    <x v="0"/>
    <x v="0"/>
  </r>
  <r>
    <n v="858"/>
    <x v="815"/>
    <x v="303"/>
    <d v="2024-01-23T13:09:43"/>
    <d v="2024-01-23T15:06:43"/>
    <x v="45"/>
    <x v="681"/>
    <x v="2"/>
    <x v="0"/>
    <x v="0"/>
    <n v="193"/>
    <n v="16"/>
    <n v="0"/>
    <n v="-84"/>
    <n v="209"/>
    <n v="155"/>
    <x v="0"/>
    <x v="1"/>
  </r>
  <r>
    <n v="859"/>
    <x v="816"/>
    <x v="561"/>
    <d v="2024-01-21T11:48:05"/>
    <d v="2024-01-21T13:19:05"/>
    <x v="25"/>
    <x v="682"/>
    <x v="2"/>
    <x v="2"/>
    <x v="2"/>
    <n v="122"/>
    <n v="32"/>
    <n v="0"/>
    <n v="1784"/>
    <n v="154"/>
    <n v="1968"/>
    <x v="0"/>
    <x v="0"/>
  </r>
  <r>
    <n v="860"/>
    <x v="817"/>
    <x v="56"/>
    <d v="2024-01-14T11:11:30"/>
    <d v="2024-01-14T12:24:30"/>
    <x v="54"/>
    <x v="563"/>
    <x v="1"/>
    <x v="1"/>
    <x v="4"/>
    <n v="126"/>
    <n v="33"/>
    <n v="0"/>
    <n v="969"/>
    <n v="159"/>
    <n v="1168"/>
    <x v="0"/>
    <x v="3"/>
  </r>
  <r>
    <n v="861"/>
    <x v="818"/>
    <x v="470"/>
    <d v="2024-01-07T08:13:13"/>
    <d v="2024-01-07T09:01:13"/>
    <x v="77"/>
    <x v="195"/>
    <x v="2"/>
    <x v="0"/>
    <x v="4"/>
    <n v="80"/>
    <n v="14"/>
    <n v="0"/>
    <n v="991"/>
    <n v="94"/>
    <n v="1115"/>
    <x v="0"/>
    <x v="1"/>
  </r>
  <r>
    <n v="862"/>
    <x v="819"/>
    <x v="480"/>
    <d v="2024-01-26T11:24:04"/>
    <d v="2024-01-26T12:52:04"/>
    <x v="0"/>
    <x v="683"/>
    <x v="0"/>
    <x v="2"/>
    <x v="1"/>
    <n v="134"/>
    <n v="14"/>
    <n v="0"/>
    <n v="1507"/>
    <n v="148"/>
    <n v="1655"/>
    <x v="0"/>
    <x v="4"/>
  </r>
  <r>
    <n v="863"/>
    <x v="820"/>
    <x v="498"/>
    <d v="2024-01-16T04:39:03"/>
    <d v="2024-01-16T05:16:03"/>
    <x v="28"/>
    <x v="495"/>
    <x v="1"/>
    <x v="1"/>
    <x v="3"/>
    <n v="108"/>
    <n v="26"/>
    <n v="0"/>
    <n v="355"/>
    <n v="134"/>
    <n v="529"/>
    <x v="0"/>
    <x v="2"/>
  </r>
  <r>
    <n v="864"/>
    <x v="821"/>
    <x v="562"/>
    <d v="2024-02-01T17:24:54"/>
    <d v="2024-02-01T18:48:54"/>
    <x v="67"/>
    <x v="684"/>
    <x v="0"/>
    <x v="1"/>
    <x v="1"/>
    <n v="90"/>
    <n v="39"/>
    <n v="50"/>
    <n v="680"/>
    <n v="79"/>
    <n v="809"/>
    <x v="0"/>
    <x v="0"/>
  </r>
  <r>
    <n v="865"/>
    <x v="822"/>
    <x v="563"/>
    <d v="2024-01-15T08:17:24"/>
    <d v="2024-01-15T09:33:24"/>
    <x v="37"/>
    <x v="142"/>
    <x v="1"/>
    <x v="1"/>
    <x v="3"/>
    <n v="161"/>
    <n v="18"/>
    <n v="150"/>
    <n v="491"/>
    <n v="29"/>
    <n v="710"/>
    <x v="0"/>
    <x v="0"/>
  </r>
  <r>
    <n v="866"/>
    <x v="823"/>
    <x v="564"/>
    <d v="2024-02-07T08:03:21"/>
    <d v="2024-02-07T08:34:21"/>
    <x v="60"/>
    <x v="685"/>
    <x v="2"/>
    <x v="2"/>
    <x v="3"/>
    <n v="145"/>
    <n v="15"/>
    <n v="0"/>
    <n v="1411"/>
    <n v="160"/>
    <n v="1601"/>
    <x v="0"/>
    <x v="0"/>
  </r>
  <r>
    <n v="867"/>
    <x v="824"/>
    <x v="453"/>
    <d v="2024-01-23T07:20:05"/>
    <d v="2024-01-23T08:28:05"/>
    <x v="15"/>
    <x v="686"/>
    <x v="0"/>
    <x v="0"/>
    <x v="4"/>
    <n v="171"/>
    <n v="34"/>
    <n v="0"/>
    <n v="648"/>
    <n v="205"/>
    <n v="853"/>
    <x v="0"/>
    <x v="1"/>
  </r>
  <r>
    <n v="868"/>
    <x v="825"/>
    <x v="565"/>
    <d v="2024-01-02T04:56:35"/>
    <d v="2024-01-02T06:10:35"/>
    <x v="68"/>
    <x v="687"/>
    <x v="2"/>
    <x v="0"/>
    <x v="3"/>
    <n v="154"/>
    <n v="28"/>
    <n v="0"/>
    <n v="63"/>
    <n v="182"/>
    <n v="275"/>
    <x v="0"/>
    <x v="0"/>
  </r>
  <r>
    <n v="869"/>
    <x v="826"/>
    <x v="566"/>
    <d v="2024-02-02T13:42:19"/>
    <d v="2024-02-02T14:43:19"/>
    <x v="89"/>
    <x v="688"/>
    <x v="1"/>
    <x v="2"/>
    <x v="2"/>
    <n v="123"/>
    <n v="25"/>
    <n v="150"/>
    <n v="1363"/>
    <n v="-2"/>
    <n v="1551"/>
    <x v="0"/>
    <x v="0"/>
  </r>
  <r>
    <n v="870"/>
    <x v="827"/>
    <x v="567"/>
    <d v="2024-01-13T12:40:24"/>
    <d v="2024-01-13T14:14:24"/>
    <x v="69"/>
    <x v="689"/>
    <x v="2"/>
    <x v="0"/>
    <x v="2"/>
    <n v="181"/>
    <n v="30"/>
    <n v="0"/>
    <n v="673"/>
    <n v="211"/>
    <n v="914"/>
    <x v="0"/>
    <x v="0"/>
  </r>
  <r>
    <n v="871"/>
    <x v="828"/>
    <x v="568"/>
    <d v="2024-01-11T19:08:03"/>
    <d v="2024-01-11T20:15:03"/>
    <x v="48"/>
    <x v="690"/>
    <x v="0"/>
    <x v="2"/>
    <x v="2"/>
    <n v="148"/>
    <n v="11"/>
    <n v="0"/>
    <n v="1213"/>
    <n v="159"/>
    <n v="1372"/>
    <x v="0"/>
    <x v="0"/>
  </r>
  <r>
    <n v="872"/>
    <x v="829"/>
    <x v="569"/>
    <d v="2024-01-16T11:48:06"/>
    <d v="2024-01-16T13:34:06"/>
    <x v="23"/>
    <x v="691"/>
    <x v="0"/>
    <x v="0"/>
    <x v="4"/>
    <n v="175"/>
    <n v="19"/>
    <n v="0"/>
    <n v="431"/>
    <n v="194"/>
    <n v="625"/>
    <x v="0"/>
    <x v="0"/>
  </r>
  <r>
    <n v="873"/>
    <x v="830"/>
    <x v="68"/>
    <d v="2024-01-12T21:10:30"/>
    <d v="2024-01-12T21:50:30"/>
    <x v="11"/>
    <x v="692"/>
    <x v="2"/>
    <x v="1"/>
    <x v="1"/>
    <n v="187"/>
    <n v="25"/>
    <n v="0"/>
    <n v="1373"/>
    <n v="212"/>
    <n v="1615"/>
    <x v="0"/>
    <x v="3"/>
  </r>
  <r>
    <n v="874"/>
    <x v="831"/>
    <x v="143"/>
    <d v="2024-01-26T01:27:31"/>
    <d v="2024-01-26T02:06:31"/>
    <x v="70"/>
    <x v="178"/>
    <x v="4"/>
    <x v="0"/>
    <x v="0"/>
    <n v="124"/>
    <n v="46"/>
    <n v="100"/>
    <n v="-58"/>
    <n v="70"/>
    <n v="132"/>
    <x v="0"/>
    <x v="2"/>
  </r>
  <r>
    <n v="875"/>
    <x v="832"/>
    <x v="570"/>
    <d v="2024-01-18T02:30:52"/>
    <d v="2024-01-18T03:58:52"/>
    <x v="0"/>
    <x v="693"/>
    <x v="1"/>
    <x v="2"/>
    <x v="3"/>
    <n v="63"/>
    <n v="24"/>
    <n v="0"/>
    <n v="915"/>
    <n v="87"/>
    <n v="1042"/>
    <x v="0"/>
    <x v="2"/>
  </r>
  <r>
    <n v="876"/>
    <x v="833"/>
    <x v="553"/>
    <d v="2024-02-05T23:43:09"/>
    <d v="2024-02-06T01:42:09"/>
    <x v="81"/>
    <x v="459"/>
    <x v="1"/>
    <x v="2"/>
    <x v="0"/>
    <n v="87"/>
    <n v="22"/>
    <n v="100"/>
    <n v="374"/>
    <n v="9"/>
    <n v="523"/>
    <x v="0"/>
    <x v="2"/>
  </r>
  <r>
    <n v="877"/>
    <x v="834"/>
    <x v="55"/>
    <d v="2024-02-07T05:00:50"/>
    <d v="2024-02-07T06:24:50"/>
    <x v="67"/>
    <x v="694"/>
    <x v="2"/>
    <x v="1"/>
    <x v="1"/>
    <n v="189"/>
    <n v="22"/>
    <n v="0"/>
    <n v="444"/>
    <n v="211"/>
    <n v="685"/>
    <x v="0"/>
    <x v="2"/>
  </r>
  <r>
    <n v="878"/>
    <x v="835"/>
    <x v="232"/>
    <d v="2024-01-20T21:47:03"/>
    <d v="2024-01-20T22:36:03"/>
    <x v="21"/>
    <x v="1"/>
    <x v="4"/>
    <x v="2"/>
    <x v="1"/>
    <n v="94"/>
    <n v="41"/>
    <n v="0"/>
    <n v="851"/>
    <n v="135"/>
    <n v="1006"/>
    <x v="0"/>
    <x v="2"/>
  </r>
  <r>
    <n v="879"/>
    <x v="836"/>
    <x v="12"/>
    <d v="2024-01-31T21:45:08"/>
    <d v="2024-01-31T23:35:08"/>
    <x v="7"/>
    <x v="319"/>
    <x v="0"/>
    <x v="0"/>
    <x v="4"/>
    <n v="194"/>
    <n v="17"/>
    <n v="0"/>
    <n v="1311"/>
    <n v="211"/>
    <n v="1522"/>
    <x v="0"/>
    <x v="2"/>
  </r>
  <r>
    <n v="880"/>
    <x v="837"/>
    <x v="223"/>
    <d v="2024-01-06T15:04:35"/>
    <d v="2024-01-06T15:50:35"/>
    <x v="3"/>
    <x v="98"/>
    <x v="3"/>
    <x v="0"/>
    <x v="2"/>
    <n v="124"/>
    <n v="27"/>
    <n v="0"/>
    <n v="-33"/>
    <n v="151"/>
    <n v="168"/>
    <x v="0"/>
    <x v="4"/>
  </r>
  <r>
    <n v="881"/>
    <x v="838"/>
    <x v="571"/>
    <d v="2024-01-04T11:01:11"/>
    <d v="2024-01-04T12:38:11"/>
    <x v="40"/>
    <x v="12"/>
    <x v="3"/>
    <x v="1"/>
    <x v="2"/>
    <n v="78"/>
    <n v="45"/>
    <n v="0"/>
    <n v="551"/>
    <n v="123"/>
    <n v="724"/>
    <x v="0"/>
    <x v="0"/>
  </r>
  <r>
    <n v="882"/>
    <x v="839"/>
    <x v="246"/>
    <d v="2024-01-14T09:34:15"/>
    <d v="2024-01-14T10:08:15"/>
    <x v="58"/>
    <x v="695"/>
    <x v="2"/>
    <x v="2"/>
    <x v="1"/>
    <n v="67"/>
    <n v="35"/>
    <n v="0"/>
    <n v="1512"/>
    <n v="102"/>
    <n v="1644"/>
    <x v="0"/>
    <x v="1"/>
  </r>
  <r>
    <n v="883"/>
    <x v="840"/>
    <x v="401"/>
    <d v="2024-02-04T03:14:41"/>
    <d v="2024-02-04T04:43:41"/>
    <x v="4"/>
    <x v="696"/>
    <x v="4"/>
    <x v="1"/>
    <x v="4"/>
    <n v="69"/>
    <n v="19"/>
    <n v="0"/>
    <n v="762"/>
    <n v="88"/>
    <n v="870"/>
    <x v="0"/>
    <x v="1"/>
  </r>
  <r>
    <n v="884"/>
    <x v="841"/>
    <x v="351"/>
    <d v="2024-02-06T14:15:57"/>
    <d v="2024-02-06T15:07:57"/>
    <x v="52"/>
    <x v="697"/>
    <x v="4"/>
    <x v="0"/>
    <x v="4"/>
    <n v="63"/>
    <n v="40"/>
    <n v="0"/>
    <n v="1000"/>
    <n v="103"/>
    <n v="1123"/>
    <x v="0"/>
    <x v="2"/>
  </r>
  <r>
    <n v="885"/>
    <x v="842"/>
    <x v="547"/>
    <d v="2024-01-15T23:42:09"/>
    <d v="2024-01-16T00:57:09"/>
    <x v="51"/>
    <x v="698"/>
    <x v="1"/>
    <x v="1"/>
    <x v="3"/>
    <n v="103"/>
    <n v="42"/>
    <n v="0"/>
    <n v="373"/>
    <n v="145"/>
    <n v="558"/>
    <x v="0"/>
    <x v="2"/>
  </r>
  <r>
    <n v="886"/>
    <x v="843"/>
    <x v="62"/>
    <d v="2024-01-29T23:43:14"/>
    <d v="2024-01-30T01:04:14"/>
    <x v="50"/>
    <x v="699"/>
    <x v="0"/>
    <x v="2"/>
    <x v="2"/>
    <n v="80"/>
    <n v="38"/>
    <n v="150"/>
    <n v="1342"/>
    <n v="-32"/>
    <n v="1460"/>
    <x v="0"/>
    <x v="1"/>
  </r>
  <r>
    <n v="887"/>
    <x v="844"/>
    <x v="572"/>
    <d v="2024-01-15T09:21:34"/>
    <d v="2024-01-15T10:00:34"/>
    <x v="70"/>
    <x v="698"/>
    <x v="4"/>
    <x v="1"/>
    <x v="1"/>
    <n v="107"/>
    <n v="14"/>
    <n v="0"/>
    <n v="397"/>
    <n v="121"/>
    <n v="538"/>
    <x v="0"/>
    <x v="0"/>
  </r>
  <r>
    <n v="888"/>
    <x v="845"/>
    <x v="573"/>
    <d v="2024-01-24T10:58:03"/>
    <d v="2024-01-24T12:13:03"/>
    <x v="51"/>
    <x v="700"/>
    <x v="3"/>
    <x v="2"/>
    <x v="0"/>
    <n v="153"/>
    <n v="22"/>
    <n v="0"/>
    <n v="1560"/>
    <n v="175"/>
    <n v="1785"/>
    <x v="0"/>
    <x v="0"/>
  </r>
  <r>
    <n v="889"/>
    <x v="846"/>
    <x v="132"/>
    <d v="2024-01-11T09:06:56"/>
    <d v="2024-01-11T10:03:56"/>
    <x v="64"/>
    <x v="18"/>
    <x v="0"/>
    <x v="2"/>
    <x v="2"/>
    <n v="177"/>
    <n v="10"/>
    <n v="0"/>
    <n v="1611"/>
    <n v="187"/>
    <n v="1798"/>
    <x v="0"/>
    <x v="3"/>
  </r>
  <r>
    <n v="890"/>
    <x v="728"/>
    <x v="157"/>
    <d v="2024-02-07T04:57:34"/>
    <d v="2024-02-07T06:09:34"/>
    <x v="35"/>
    <x v="701"/>
    <x v="0"/>
    <x v="0"/>
    <x v="3"/>
    <n v="74"/>
    <n v="32"/>
    <n v="0"/>
    <n v="115"/>
    <n v="106"/>
    <n v="221"/>
    <x v="2"/>
    <x v="2"/>
  </r>
  <r>
    <n v="891"/>
    <x v="847"/>
    <x v="574"/>
    <d v="2024-01-28T22:46:42"/>
    <d v="2024-01-28T23:41:42"/>
    <x v="27"/>
    <x v="702"/>
    <x v="2"/>
    <x v="0"/>
    <x v="4"/>
    <n v="68"/>
    <n v="49"/>
    <n v="0"/>
    <n v="414"/>
    <n v="117"/>
    <n v="561"/>
    <x v="0"/>
    <x v="0"/>
  </r>
  <r>
    <n v="892"/>
    <x v="848"/>
    <x v="575"/>
    <d v="2024-01-06T03:03:51"/>
    <d v="2024-01-06T04:27:51"/>
    <x v="67"/>
    <x v="703"/>
    <x v="4"/>
    <x v="0"/>
    <x v="1"/>
    <n v="185"/>
    <n v="12"/>
    <n v="150"/>
    <n v="-54"/>
    <n v="47"/>
    <n v="163"/>
    <x v="0"/>
    <x v="0"/>
  </r>
  <r>
    <n v="893"/>
    <x v="849"/>
    <x v="576"/>
    <d v="2024-01-13T14:57:48"/>
    <d v="2024-01-13T16:14:48"/>
    <x v="17"/>
    <x v="532"/>
    <x v="2"/>
    <x v="2"/>
    <x v="2"/>
    <n v="52"/>
    <n v="12"/>
    <n v="100"/>
    <n v="1931"/>
    <n v="-36"/>
    <n v="2025"/>
    <x v="0"/>
    <x v="0"/>
  </r>
  <r>
    <n v="894"/>
    <x v="552"/>
    <x v="503"/>
    <d v="2024-02-05T15:45:33"/>
    <d v="2024-02-05T16:43:33"/>
    <x v="2"/>
    <x v="704"/>
    <x v="4"/>
    <x v="1"/>
    <x v="0"/>
    <n v="135"/>
    <n v="16"/>
    <n v="0"/>
    <n v="1289"/>
    <n v="151"/>
    <n v="1460"/>
    <x v="2"/>
    <x v="2"/>
  </r>
  <r>
    <n v="895"/>
    <x v="850"/>
    <x v="577"/>
    <d v="2024-01-27T01:00:41"/>
    <d v="2024-01-27T01:56:41"/>
    <x v="56"/>
    <x v="705"/>
    <x v="1"/>
    <x v="2"/>
    <x v="3"/>
    <n v="194"/>
    <n v="45"/>
    <n v="0"/>
    <n v="241"/>
    <n v="239"/>
    <n v="520"/>
    <x v="0"/>
    <x v="0"/>
  </r>
  <r>
    <n v="896"/>
    <x v="851"/>
    <x v="41"/>
    <d v="2024-02-02T07:06:13"/>
    <d v="2024-02-02T07:53:13"/>
    <x v="79"/>
    <x v="706"/>
    <x v="2"/>
    <x v="0"/>
    <x v="3"/>
    <n v="191"/>
    <n v="44"/>
    <n v="150"/>
    <n v="9"/>
    <n v="85"/>
    <n v="274"/>
    <x v="0"/>
    <x v="1"/>
  </r>
  <r>
    <n v="897"/>
    <x v="852"/>
    <x v="578"/>
    <d v="2024-01-27T07:09:18"/>
    <d v="2024-01-27T08:38:18"/>
    <x v="4"/>
    <x v="342"/>
    <x v="2"/>
    <x v="0"/>
    <x v="2"/>
    <n v="58"/>
    <n v="24"/>
    <n v="50"/>
    <n v="1368"/>
    <n v="32"/>
    <n v="1480"/>
    <x v="0"/>
    <x v="0"/>
  </r>
  <r>
    <n v="898"/>
    <x v="853"/>
    <x v="579"/>
    <d v="2024-02-03T04:21:19"/>
    <d v="2024-02-03T06:04:19"/>
    <x v="74"/>
    <x v="707"/>
    <x v="3"/>
    <x v="1"/>
    <x v="0"/>
    <n v="143"/>
    <n v="49"/>
    <n v="0"/>
    <n v="270"/>
    <n v="192"/>
    <n v="512"/>
    <x v="0"/>
    <x v="0"/>
  </r>
  <r>
    <n v="899"/>
    <x v="854"/>
    <x v="269"/>
    <d v="2024-02-07T01:51:43"/>
    <d v="2024-02-07T03:29:43"/>
    <x v="16"/>
    <x v="708"/>
    <x v="2"/>
    <x v="0"/>
    <x v="3"/>
    <n v="198"/>
    <n v="12"/>
    <n v="0"/>
    <n v="963"/>
    <n v="210"/>
    <n v="1203"/>
    <x v="0"/>
    <x v="2"/>
  </r>
  <r>
    <n v="900"/>
    <x v="855"/>
    <x v="580"/>
    <d v="2024-01-21T15:58:36"/>
    <d v="2024-01-21T17:41:36"/>
    <x v="74"/>
    <x v="303"/>
    <x v="4"/>
    <x v="0"/>
    <x v="1"/>
    <n v="188"/>
    <n v="38"/>
    <n v="0"/>
    <n v="962"/>
    <n v="226"/>
    <n v="1208"/>
    <x v="0"/>
    <x v="0"/>
  </r>
  <r>
    <n v="901"/>
    <x v="856"/>
    <x v="393"/>
    <d v="2024-01-16T05:36:29"/>
    <d v="2024-01-16T06:26:29"/>
    <x v="19"/>
    <x v="709"/>
    <x v="3"/>
    <x v="0"/>
    <x v="3"/>
    <n v="69"/>
    <n v="39"/>
    <n v="100"/>
    <n v="346"/>
    <n v="8"/>
    <n v="504"/>
    <x v="0"/>
    <x v="2"/>
  </r>
  <r>
    <n v="902"/>
    <x v="857"/>
    <x v="581"/>
    <d v="2024-01-04T08:49:58"/>
    <d v="2024-01-04T09:42:58"/>
    <x v="6"/>
    <x v="710"/>
    <x v="2"/>
    <x v="1"/>
    <x v="0"/>
    <n v="84"/>
    <n v="48"/>
    <n v="0"/>
    <n v="767"/>
    <n v="132"/>
    <n v="929"/>
    <x v="0"/>
    <x v="0"/>
  </r>
  <r>
    <n v="903"/>
    <x v="858"/>
    <x v="582"/>
    <d v="2024-01-08T15:46:56"/>
    <d v="2024-01-08T16:18:56"/>
    <x v="66"/>
    <x v="711"/>
    <x v="2"/>
    <x v="2"/>
    <x v="4"/>
    <n v="102"/>
    <n v="27"/>
    <n v="150"/>
    <n v="1158"/>
    <n v="-21"/>
    <n v="1317"/>
    <x v="0"/>
    <x v="0"/>
  </r>
  <r>
    <n v="904"/>
    <x v="859"/>
    <x v="583"/>
    <d v="2024-01-22T03:47:02"/>
    <d v="2024-01-22T05:18:02"/>
    <x v="25"/>
    <x v="712"/>
    <x v="1"/>
    <x v="0"/>
    <x v="4"/>
    <n v="159"/>
    <n v="20"/>
    <n v="100"/>
    <n v="1085"/>
    <n v="79"/>
    <n v="1304"/>
    <x v="0"/>
    <x v="0"/>
  </r>
  <r>
    <n v="905"/>
    <x v="860"/>
    <x v="584"/>
    <d v="2024-01-26T03:43:28"/>
    <d v="2024-01-26T04:14:28"/>
    <x v="60"/>
    <x v="713"/>
    <x v="2"/>
    <x v="1"/>
    <x v="2"/>
    <n v="185"/>
    <n v="47"/>
    <n v="0"/>
    <n v="693"/>
    <n v="232"/>
    <n v="955"/>
    <x v="0"/>
    <x v="0"/>
  </r>
  <r>
    <n v="906"/>
    <x v="861"/>
    <x v="190"/>
    <d v="2024-02-05T06:49:53"/>
    <d v="2024-02-05T08:24:53"/>
    <x v="84"/>
    <x v="298"/>
    <x v="0"/>
    <x v="0"/>
    <x v="0"/>
    <n v="53"/>
    <n v="49"/>
    <n v="0"/>
    <n v="1149"/>
    <n v="102"/>
    <n v="1251"/>
    <x v="0"/>
    <x v="2"/>
  </r>
  <r>
    <n v="907"/>
    <x v="862"/>
    <x v="585"/>
    <d v="2024-01-17T07:37:34"/>
    <d v="2024-01-17T08:48:34"/>
    <x v="14"/>
    <x v="714"/>
    <x v="3"/>
    <x v="1"/>
    <x v="3"/>
    <n v="151"/>
    <n v="10"/>
    <n v="0"/>
    <n v="336"/>
    <n v="161"/>
    <n v="547"/>
    <x v="0"/>
    <x v="0"/>
  </r>
  <r>
    <n v="908"/>
    <x v="863"/>
    <x v="101"/>
    <d v="2024-01-03T02:22:40"/>
    <d v="2024-01-03T03:25:40"/>
    <x v="43"/>
    <x v="715"/>
    <x v="0"/>
    <x v="0"/>
    <x v="3"/>
    <n v="96"/>
    <n v="38"/>
    <n v="150"/>
    <n v="845"/>
    <n v="-16"/>
    <n v="979"/>
    <x v="0"/>
    <x v="2"/>
  </r>
  <r>
    <n v="909"/>
    <x v="864"/>
    <x v="3"/>
    <d v="2024-01-29T06:53:46"/>
    <d v="2024-01-29T08:04:46"/>
    <x v="14"/>
    <x v="716"/>
    <x v="3"/>
    <x v="1"/>
    <x v="4"/>
    <n v="143"/>
    <n v="19"/>
    <n v="0"/>
    <n v="400"/>
    <n v="162"/>
    <n v="612"/>
    <x v="0"/>
    <x v="1"/>
  </r>
  <r>
    <n v="910"/>
    <x v="865"/>
    <x v="586"/>
    <d v="2024-01-30T02:43:39"/>
    <d v="2024-01-30T03:32:39"/>
    <x v="21"/>
    <x v="224"/>
    <x v="1"/>
    <x v="0"/>
    <x v="4"/>
    <n v="97"/>
    <n v="37"/>
    <n v="0"/>
    <n v="1740"/>
    <n v="134"/>
    <n v="1914"/>
    <x v="0"/>
    <x v="0"/>
  </r>
  <r>
    <n v="911"/>
    <x v="866"/>
    <x v="98"/>
    <d v="2024-01-16T11:41:46"/>
    <d v="2024-01-16T13:18:46"/>
    <x v="40"/>
    <x v="717"/>
    <x v="2"/>
    <x v="2"/>
    <x v="1"/>
    <n v="140"/>
    <n v="40"/>
    <n v="0"/>
    <n v="1779"/>
    <n v="180"/>
    <n v="1989"/>
    <x v="0"/>
    <x v="1"/>
  </r>
  <r>
    <n v="912"/>
    <x v="867"/>
    <x v="587"/>
    <d v="2024-01-15T22:40:10"/>
    <d v="2024-01-15T23:54:10"/>
    <x v="68"/>
    <x v="718"/>
    <x v="2"/>
    <x v="0"/>
    <x v="4"/>
    <n v="133"/>
    <n v="28"/>
    <n v="150"/>
    <n v="746"/>
    <n v="11"/>
    <n v="937"/>
    <x v="0"/>
    <x v="2"/>
  </r>
  <r>
    <n v="913"/>
    <x v="868"/>
    <x v="588"/>
    <d v="2024-01-11T19:21:28"/>
    <d v="2024-01-11T21:05:28"/>
    <x v="59"/>
    <x v="350"/>
    <x v="2"/>
    <x v="1"/>
    <x v="1"/>
    <n v="117"/>
    <n v="12"/>
    <n v="0"/>
    <n v="157"/>
    <n v="129"/>
    <n v="316"/>
    <x v="0"/>
    <x v="0"/>
  </r>
  <r>
    <n v="914"/>
    <x v="869"/>
    <x v="589"/>
    <d v="2024-01-25T15:55:39"/>
    <d v="2024-01-25T17:06:39"/>
    <x v="14"/>
    <x v="334"/>
    <x v="3"/>
    <x v="0"/>
    <x v="3"/>
    <n v="188"/>
    <n v="45"/>
    <n v="0"/>
    <n v="1610"/>
    <n v="233"/>
    <n v="1893"/>
    <x v="0"/>
    <x v="0"/>
  </r>
  <r>
    <n v="915"/>
    <x v="870"/>
    <x v="590"/>
    <d v="2024-01-31T14:11:01"/>
    <d v="2024-01-31T15:27:01"/>
    <x v="37"/>
    <x v="636"/>
    <x v="2"/>
    <x v="2"/>
    <x v="1"/>
    <n v="174"/>
    <n v="24"/>
    <n v="50"/>
    <n v="633"/>
    <n v="148"/>
    <n v="861"/>
    <x v="0"/>
    <x v="0"/>
  </r>
  <r>
    <n v="916"/>
    <x v="871"/>
    <x v="591"/>
    <d v="2024-02-01T05:50:24"/>
    <d v="2024-02-01T06:24:24"/>
    <x v="58"/>
    <x v="293"/>
    <x v="0"/>
    <x v="0"/>
    <x v="1"/>
    <n v="122"/>
    <n v="42"/>
    <n v="0"/>
    <n v="1149"/>
    <n v="164"/>
    <n v="1313"/>
    <x v="0"/>
    <x v="0"/>
  </r>
  <r>
    <n v="917"/>
    <x v="872"/>
    <x v="592"/>
    <d v="2024-01-18T09:06:24"/>
    <d v="2024-01-18T11:04:24"/>
    <x v="72"/>
    <x v="688"/>
    <x v="2"/>
    <x v="1"/>
    <x v="2"/>
    <n v="53"/>
    <n v="50"/>
    <n v="0"/>
    <n v="1408"/>
    <n v="103"/>
    <n v="1541"/>
    <x v="0"/>
    <x v="0"/>
  </r>
  <r>
    <n v="918"/>
    <x v="873"/>
    <x v="593"/>
    <d v="2024-01-22T15:10:59"/>
    <d v="2024-01-22T16:28:59"/>
    <x v="34"/>
    <x v="664"/>
    <x v="1"/>
    <x v="1"/>
    <x v="4"/>
    <n v="125"/>
    <n v="35"/>
    <n v="0"/>
    <n v="368"/>
    <n v="160"/>
    <n v="568"/>
    <x v="0"/>
    <x v="0"/>
  </r>
  <r>
    <n v="919"/>
    <x v="874"/>
    <x v="409"/>
    <d v="2024-01-04T14:39:15"/>
    <d v="2024-01-04T15:45:15"/>
    <x v="26"/>
    <x v="719"/>
    <x v="0"/>
    <x v="2"/>
    <x v="1"/>
    <n v="122"/>
    <n v="25"/>
    <n v="0"/>
    <n v="810"/>
    <n v="147"/>
    <n v="957"/>
    <x v="0"/>
    <x v="2"/>
  </r>
  <r>
    <n v="920"/>
    <x v="639"/>
    <x v="594"/>
    <d v="2024-01-25T14:59:59"/>
    <d v="2024-01-25T16:02:59"/>
    <x v="43"/>
    <x v="720"/>
    <x v="2"/>
    <x v="1"/>
    <x v="3"/>
    <n v="126"/>
    <n v="45"/>
    <n v="150"/>
    <n v="1236"/>
    <n v="21"/>
    <n v="1437"/>
    <x v="2"/>
    <x v="0"/>
  </r>
  <r>
    <n v="921"/>
    <x v="875"/>
    <x v="384"/>
    <d v="2024-01-26T18:06:38"/>
    <d v="2024-01-26T19:48:38"/>
    <x v="29"/>
    <x v="721"/>
    <x v="2"/>
    <x v="0"/>
    <x v="0"/>
    <n v="97"/>
    <n v="42"/>
    <n v="0"/>
    <n v="1848"/>
    <n v="139"/>
    <n v="2017"/>
    <x v="0"/>
    <x v="2"/>
  </r>
  <r>
    <n v="922"/>
    <x v="876"/>
    <x v="228"/>
    <d v="2024-01-09T13:21:30"/>
    <d v="2024-01-09T15:00:30"/>
    <x v="62"/>
    <x v="722"/>
    <x v="4"/>
    <x v="0"/>
    <x v="1"/>
    <n v="151"/>
    <n v="29"/>
    <n v="150"/>
    <n v="156"/>
    <n v="30"/>
    <n v="356"/>
    <x v="0"/>
    <x v="1"/>
  </r>
  <r>
    <n v="923"/>
    <x v="877"/>
    <x v="595"/>
    <d v="2024-01-19T02:44:30"/>
    <d v="2024-01-19T03:31:30"/>
    <x v="79"/>
    <x v="723"/>
    <x v="3"/>
    <x v="0"/>
    <x v="4"/>
    <n v="155"/>
    <n v="22"/>
    <n v="0"/>
    <n v="1140"/>
    <n v="177"/>
    <n v="1367"/>
    <x v="0"/>
    <x v="0"/>
  </r>
  <r>
    <n v="924"/>
    <x v="324"/>
    <x v="596"/>
    <d v="2024-02-06T01:11:33"/>
    <d v="2024-02-06T02:58:33"/>
    <x v="78"/>
    <x v="549"/>
    <x v="0"/>
    <x v="1"/>
    <x v="2"/>
    <n v="126"/>
    <n v="42"/>
    <n v="50"/>
    <n v="1242"/>
    <n v="118"/>
    <n v="1410"/>
    <x v="2"/>
    <x v="0"/>
  </r>
  <r>
    <n v="925"/>
    <x v="878"/>
    <x v="279"/>
    <d v="2024-01-08T10:05:47"/>
    <d v="2024-01-08T10:53:47"/>
    <x v="77"/>
    <x v="724"/>
    <x v="4"/>
    <x v="0"/>
    <x v="3"/>
    <n v="88"/>
    <n v="14"/>
    <n v="50"/>
    <n v="768"/>
    <n v="52"/>
    <n v="890"/>
    <x v="0"/>
    <x v="2"/>
  </r>
  <r>
    <n v="926"/>
    <x v="879"/>
    <x v="597"/>
    <d v="2024-01-03T04:21:30"/>
    <d v="2024-01-03T06:08:30"/>
    <x v="78"/>
    <x v="378"/>
    <x v="1"/>
    <x v="0"/>
    <x v="2"/>
    <n v="107"/>
    <n v="46"/>
    <n v="100"/>
    <n v="704"/>
    <n v="53"/>
    <n v="897"/>
    <x v="0"/>
    <x v="0"/>
  </r>
  <r>
    <n v="927"/>
    <x v="880"/>
    <x v="229"/>
    <d v="2024-02-06T05:13:10"/>
    <d v="2024-02-06T06:22:10"/>
    <x v="87"/>
    <x v="725"/>
    <x v="3"/>
    <x v="0"/>
    <x v="0"/>
    <n v="68"/>
    <n v="23"/>
    <n v="0"/>
    <n v="144"/>
    <n v="91"/>
    <n v="285"/>
    <x v="0"/>
    <x v="1"/>
  </r>
  <r>
    <n v="928"/>
    <x v="881"/>
    <x v="598"/>
    <d v="2024-01-29T23:47:20"/>
    <d v="2024-01-30T00:33:20"/>
    <x v="3"/>
    <x v="726"/>
    <x v="0"/>
    <x v="2"/>
    <x v="1"/>
    <n v="137"/>
    <n v="36"/>
    <n v="0"/>
    <n v="718"/>
    <n v="173"/>
    <n v="891"/>
    <x v="0"/>
    <x v="0"/>
  </r>
  <r>
    <n v="929"/>
    <x v="404"/>
    <x v="599"/>
    <d v="2024-01-06T20:06:49"/>
    <d v="2024-01-06T21:35:49"/>
    <x v="4"/>
    <x v="472"/>
    <x v="2"/>
    <x v="1"/>
    <x v="1"/>
    <n v="162"/>
    <n v="32"/>
    <n v="0"/>
    <n v="1712"/>
    <n v="194"/>
    <n v="1936"/>
    <x v="2"/>
    <x v="0"/>
  </r>
  <r>
    <n v="930"/>
    <x v="882"/>
    <x v="84"/>
    <d v="2024-01-06T23:29:55"/>
    <d v="2024-01-07T00:40:55"/>
    <x v="14"/>
    <x v="727"/>
    <x v="0"/>
    <x v="1"/>
    <x v="4"/>
    <n v="126"/>
    <n v="23"/>
    <n v="0"/>
    <n v="121"/>
    <n v="149"/>
    <n v="270"/>
    <x v="0"/>
    <x v="4"/>
  </r>
  <r>
    <n v="931"/>
    <x v="883"/>
    <x v="290"/>
    <d v="2024-01-08T16:21:29"/>
    <d v="2024-01-08T18:11:29"/>
    <x v="7"/>
    <x v="728"/>
    <x v="2"/>
    <x v="1"/>
    <x v="1"/>
    <n v="126"/>
    <n v="49"/>
    <n v="0"/>
    <n v="83"/>
    <n v="175"/>
    <n v="288"/>
    <x v="0"/>
    <x v="1"/>
  </r>
  <r>
    <n v="932"/>
    <x v="884"/>
    <x v="600"/>
    <d v="2024-01-27T04:38:09"/>
    <d v="2024-01-27T06:19:09"/>
    <x v="71"/>
    <x v="335"/>
    <x v="3"/>
    <x v="2"/>
    <x v="3"/>
    <n v="77"/>
    <n v="13"/>
    <n v="0"/>
    <n v="210"/>
    <n v="90"/>
    <n v="350"/>
    <x v="0"/>
    <x v="0"/>
  </r>
  <r>
    <n v="933"/>
    <x v="885"/>
    <x v="95"/>
    <d v="2024-01-13T16:17:06"/>
    <d v="2024-01-13T17:51:06"/>
    <x v="69"/>
    <x v="410"/>
    <x v="2"/>
    <x v="1"/>
    <x v="0"/>
    <n v="115"/>
    <n v="48"/>
    <n v="0"/>
    <n v="1447"/>
    <n v="163"/>
    <n v="1640"/>
    <x v="0"/>
    <x v="1"/>
  </r>
  <r>
    <n v="934"/>
    <x v="886"/>
    <x v="482"/>
    <d v="2024-01-03T19:35:06"/>
    <d v="2024-01-03T20:57:06"/>
    <x v="41"/>
    <x v="414"/>
    <x v="1"/>
    <x v="2"/>
    <x v="2"/>
    <n v="59"/>
    <n v="28"/>
    <n v="0"/>
    <n v="1593"/>
    <n v="87"/>
    <n v="1720"/>
    <x v="0"/>
    <x v="2"/>
  </r>
  <r>
    <n v="935"/>
    <x v="519"/>
    <x v="82"/>
    <d v="2024-02-07T11:52:16"/>
    <d v="2024-02-07T12:28:16"/>
    <x v="46"/>
    <x v="729"/>
    <x v="2"/>
    <x v="2"/>
    <x v="0"/>
    <n v="175"/>
    <n v="13"/>
    <n v="0"/>
    <n v="873"/>
    <n v="188"/>
    <n v="1091"/>
    <x v="2"/>
    <x v="2"/>
  </r>
  <r>
    <n v="936"/>
    <x v="887"/>
    <x v="518"/>
    <d v="2024-02-01T22:21:49"/>
    <d v="2024-02-01T22:55:49"/>
    <x v="58"/>
    <x v="431"/>
    <x v="1"/>
    <x v="1"/>
    <x v="1"/>
    <n v="107"/>
    <n v="39"/>
    <n v="50"/>
    <n v="1753"/>
    <n v="96"/>
    <n v="1939"/>
    <x v="0"/>
    <x v="2"/>
  </r>
  <r>
    <n v="937"/>
    <x v="888"/>
    <x v="280"/>
    <d v="2024-01-27T22:08:53"/>
    <d v="2024-01-27T23:01:53"/>
    <x v="6"/>
    <x v="730"/>
    <x v="3"/>
    <x v="0"/>
    <x v="2"/>
    <n v="191"/>
    <n v="28"/>
    <n v="0"/>
    <n v="463"/>
    <n v="219"/>
    <n v="732"/>
    <x v="0"/>
    <x v="2"/>
  </r>
  <r>
    <n v="938"/>
    <x v="889"/>
    <x v="507"/>
    <d v="2024-01-31T07:36:12"/>
    <d v="2024-01-31T08:33:12"/>
    <x v="64"/>
    <x v="31"/>
    <x v="3"/>
    <x v="0"/>
    <x v="4"/>
    <n v="174"/>
    <n v="40"/>
    <n v="0"/>
    <n v="1413"/>
    <n v="214"/>
    <n v="1677"/>
    <x v="0"/>
    <x v="2"/>
  </r>
  <r>
    <n v="939"/>
    <x v="890"/>
    <x v="321"/>
    <d v="2024-01-21T03:11:01"/>
    <d v="2024-01-21T04:42:01"/>
    <x v="25"/>
    <x v="188"/>
    <x v="0"/>
    <x v="1"/>
    <x v="0"/>
    <n v="161"/>
    <n v="40"/>
    <n v="50"/>
    <n v="774"/>
    <n v="151"/>
    <n v="975"/>
    <x v="0"/>
    <x v="1"/>
  </r>
  <r>
    <n v="940"/>
    <x v="891"/>
    <x v="469"/>
    <d v="2024-01-25T21:17:04"/>
    <d v="2024-01-25T22:03:04"/>
    <x v="3"/>
    <x v="731"/>
    <x v="1"/>
    <x v="1"/>
    <x v="2"/>
    <n v="133"/>
    <n v="18"/>
    <n v="100"/>
    <n v="319"/>
    <n v="51"/>
    <n v="510"/>
    <x v="0"/>
    <x v="2"/>
  </r>
  <r>
    <n v="941"/>
    <x v="892"/>
    <x v="308"/>
    <d v="2024-01-18T15:58:42"/>
    <d v="2024-01-18T16:47:42"/>
    <x v="21"/>
    <x v="732"/>
    <x v="1"/>
    <x v="2"/>
    <x v="2"/>
    <n v="192"/>
    <n v="22"/>
    <n v="0"/>
    <n v="-12"/>
    <n v="214"/>
    <n v="242"/>
    <x v="0"/>
    <x v="2"/>
  </r>
  <r>
    <n v="942"/>
    <x v="893"/>
    <x v="375"/>
    <d v="2024-01-13T09:44:20"/>
    <d v="2024-01-13T10:16:20"/>
    <x v="66"/>
    <x v="556"/>
    <x v="4"/>
    <x v="1"/>
    <x v="2"/>
    <n v="145"/>
    <n v="23"/>
    <n v="0"/>
    <n v="933"/>
    <n v="168"/>
    <n v="1121"/>
    <x v="0"/>
    <x v="2"/>
  </r>
  <r>
    <n v="943"/>
    <x v="894"/>
    <x v="601"/>
    <d v="2024-01-24T11:10:10"/>
    <d v="2024-01-24T12:16:10"/>
    <x v="26"/>
    <x v="90"/>
    <x v="4"/>
    <x v="2"/>
    <x v="3"/>
    <n v="82"/>
    <n v="19"/>
    <n v="0"/>
    <n v="1147"/>
    <n v="101"/>
    <n v="1268"/>
    <x v="0"/>
    <x v="0"/>
  </r>
  <r>
    <n v="944"/>
    <x v="895"/>
    <x v="259"/>
    <d v="2024-01-26T05:42:01"/>
    <d v="2024-01-26T07:41:01"/>
    <x v="81"/>
    <x v="733"/>
    <x v="4"/>
    <x v="1"/>
    <x v="0"/>
    <n v="194"/>
    <n v="40"/>
    <n v="0"/>
    <n v="1202"/>
    <n v="234"/>
    <n v="1456"/>
    <x v="0"/>
    <x v="2"/>
  </r>
  <r>
    <n v="945"/>
    <x v="896"/>
    <x v="520"/>
    <d v="2024-01-10T09:25:54"/>
    <d v="2024-01-10T10:09:54"/>
    <x v="22"/>
    <x v="206"/>
    <x v="2"/>
    <x v="0"/>
    <x v="2"/>
    <n v="190"/>
    <n v="46"/>
    <n v="0"/>
    <n v="839"/>
    <n v="236"/>
    <n v="1105"/>
    <x v="0"/>
    <x v="2"/>
  </r>
  <r>
    <n v="946"/>
    <x v="897"/>
    <x v="222"/>
    <d v="2024-02-02T19:20:18"/>
    <d v="2024-02-02T20:40:18"/>
    <x v="9"/>
    <x v="734"/>
    <x v="4"/>
    <x v="0"/>
    <x v="0"/>
    <n v="96"/>
    <n v="32"/>
    <n v="0"/>
    <n v="769"/>
    <n v="128"/>
    <n v="917"/>
    <x v="0"/>
    <x v="3"/>
  </r>
  <r>
    <n v="947"/>
    <x v="898"/>
    <x v="177"/>
    <d v="2024-01-07T19:05:00"/>
    <d v="2024-01-07T20:22:00"/>
    <x v="17"/>
    <x v="735"/>
    <x v="1"/>
    <x v="1"/>
    <x v="2"/>
    <n v="161"/>
    <n v="36"/>
    <n v="0"/>
    <n v="1384"/>
    <n v="197"/>
    <n v="1621"/>
    <x v="0"/>
    <x v="2"/>
  </r>
  <r>
    <n v="948"/>
    <x v="899"/>
    <x v="516"/>
    <d v="2024-01-28T13:35:32"/>
    <d v="2024-01-28T14:12:32"/>
    <x v="28"/>
    <x v="736"/>
    <x v="2"/>
    <x v="2"/>
    <x v="4"/>
    <n v="193"/>
    <n v="15"/>
    <n v="0"/>
    <n v="1145"/>
    <n v="208"/>
    <n v="1383"/>
    <x v="0"/>
    <x v="2"/>
  </r>
  <r>
    <n v="949"/>
    <x v="900"/>
    <x v="602"/>
    <d v="2024-01-22T17:39:31"/>
    <d v="2024-01-22T18:21:31"/>
    <x v="82"/>
    <x v="737"/>
    <x v="3"/>
    <x v="0"/>
    <x v="4"/>
    <n v="92"/>
    <n v="35"/>
    <n v="0"/>
    <n v="630"/>
    <n v="127"/>
    <n v="807"/>
    <x v="0"/>
    <x v="0"/>
  </r>
  <r>
    <n v="950"/>
    <x v="901"/>
    <x v="261"/>
    <d v="2024-01-31T07:51:48"/>
    <d v="2024-01-31T09:08:48"/>
    <x v="17"/>
    <x v="738"/>
    <x v="0"/>
    <x v="2"/>
    <x v="4"/>
    <n v="57"/>
    <n v="11"/>
    <n v="150"/>
    <n v="913"/>
    <n v="-82"/>
    <n v="981"/>
    <x v="0"/>
    <x v="1"/>
  </r>
  <r>
    <n v="951"/>
    <x v="902"/>
    <x v="36"/>
    <d v="2024-01-09T21:38:17"/>
    <d v="2024-01-09T22:10:17"/>
    <x v="66"/>
    <x v="620"/>
    <x v="4"/>
    <x v="1"/>
    <x v="1"/>
    <n v="52"/>
    <n v="22"/>
    <n v="0"/>
    <n v="1246"/>
    <n v="74"/>
    <n v="1340"/>
    <x v="0"/>
    <x v="2"/>
  </r>
  <r>
    <n v="952"/>
    <x v="903"/>
    <x v="603"/>
    <d v="2024-01-28T04:35:16"/>
    <d v="2024-01-28T06:09:16"/>
    <x v="69"/>
    <x v="490"/>
    <x v="3"/>
    <x v="1"/>
    <x v="2"/>
    <n v="174"/>
    <n v="28"/>
    <n v="0"/>
    <n v="630"/>
    <n v="202"/>
    <n v="882"/>
    <x v="0"/>
    <x v="0"/>
  </r>
  <r>
    <n v="953"/>
    <x v="904"/>
    <x v="358"/>
    <d v="2024-02-03T04:19:17"/>
    <d v="2024-02-03T06:01:17"/>
    <x v="29"/>
    <x v="739"/>
    <x v="1"/>
    <x v="0"/>
    <x v="1"/>
    <n v="61"/>
    <n v="10"/>
    <n v="0"/>
    <n v="451"/>
    <n v="71"/>
    <n v="562"/>
    <x v="0"/>
    <x v="3"/>
  </r>
  <r>
    <n v="954"/>
    <x v="21"/>
    <x v="431"/>
    <d v="2024-01-16T11:22:01"/>
    <d v="2024-01-16T12:22:01"/>
    <x v="31"/>
    <x v="740"/>
    <x v="0"/>
    <x v="1"/>
    <x v="0"/>
    <n v="133"/>
    <n v="49"/>
    <n v="150"/>
    <n v="489"/>
    <n v="32"/>
    <n v="671"/>
    <x v="2"/>
    <x v="2"/>
  </r>
  <r>
    <n v="955"/>
    <x v="905"/>
    <x v="604"/>
    <d v="2024-01-27T00:25:39"/>
    <d v="2024-01-27T01:20:39"/>
    <x v="27"/>
    <x v="741"/>
    <x v="3"/>
    <x v="0"/>
    <x v="1"/>
    <n v="65"/>
    <n v="41"/>
    <n v="0"/>
    <n v="1627"/>
    <n v="106"/>
    <n v="1783"/>
    <x v="0"/>
    <x v="0"/>
  </r>
  <r>
    <n v="956"/>
    <x v="906"/>
    <x v="587"/>
    <d v="2024-01-02T20:33:01"/>
    <d v="2024-01-02T22:23:01"/>
    <x v="7"/>
    <x v="727"/>
    <x v="0"/>
    <x v="2"/>
    <x v="0"/>
    <n v="127"/>
    <n v="31"/>
    <n v="0"/>
    <n v="112"/>
    <n v="158"/>
    <n v="270"/>
    <x v="0"/>
    <x v="2"/>
  </r>
  <r>
    <n v="957"/>
    <x v="907"/>
    <x v="171"/>
    <d v="2024-01-20T21:30:14"/>
    <d v="2024-01-20T22:55:14"/>
    <x v="12"/>
    <x v="742"/>
    <x v="4"/>
    <x v="0"/>
    <x v="0"/>
    <n v="108"/>
    <n v="38"/>
    <n v="0"/>
    <n v="1359"/>
    <n v="146"/>
    <n v="1525"/>
    <x v="0"/>
    <x v="2"/>
  </r>
  <r>
    <n v="958"/>
    <x v="908"/>
    <x v="605"/>
    <d v="2024-01-30T11:29:42"/>
    <d v="2024-01-30T12:32:42"/>
    <x v="43"/>
    <x v="743"/>
    <x v="1"/>
    <x v="0"/>
    <x v="0"/>
    <n v="112"/>
    <n v="11"/>
    <n v="0"/>
    <n v="149"/>
    <n v="123"/>
    <n v="312"/>
    <x v="0"/>
    <x v="0"/>
  </r>
  <r>
    <n v="959"/>
    <x v="909"/>
    <x v="606"/>
    <d v="2024-01-19T06:19:29"/>
    <d v="2024-01-19T06:57:29"/>
    <x v="63"/>
    <x v="744"/>
    <x v="0"/>
    <x v="2"/>
    <x v="1"/>
    <n v="98"/>
    <n v="49"/>
    <n v="0"/>
    <n v="615"/>
    <n v="147"/>
    <n v="762"/>
    <x v="0"/>
    <x v="0"/>
  </r>
  <r>
    <n v="960"/>
    <x v="910"/>
    <x v="607"/>
    <d v="2024-01-11T11:08:18"/>
    <d v="2024-01-11T12:39:18"/>
    <x v="25"/>
    <x v="294"/>
    <x v="3"/>
    <x v="0"/>
    <x v="2"/>
    <n v="100"/>
    <n v="47"/>
    <n v="0"/>
    <n v="405"/>
    <n v="147"/>
    <n v="602"/>
    <x v="0"/>
    <x v="0"/>
  </r>
  <r>
    <n v="961"/>
    <x v="911"/>
    <x v="152"/>
    <d v="2024-01-17T06:26:08"/>
    <d v="2024-01-17T07:08:08"/>
    <x v="82"/>
    <x v="745"/>
    <x v="4"/>
    <x v="0"/>
    <x v="1"/>
    <n v="82"/>
    <n v="20"/>
    <n v="0"/>
    <n v="347"/>
    <n v="102"/>
    <n v="469"/>
    <x v="0"/>
    <x v="1"/>
  </r>
  <r>
    <n v="962"/>
    <x v="912"/>
    <x v="3"/>
    <d v="2024-01-01T19:08:40"/>
    <d v="2024-01-01T20:46:40"/>
    <x v="16"/>
    <x v="746"/>
    <x v="4"/>
    <x v="1"/>
    <x v="2"/>
    <n v="79"/>
    <n v="26"/>
    <n v="150"/>
    <n v="1652"/>
    <n v="-45"/>
    <n v="1777"/>
    <x v="0"/>
    <x v="1"/>
  </r>
  <r>
    <n v="963"/>
    <x v="913"/>
    <x v="113"/>
    <d v="2024-01-10T14:34:11"/>
    <d v="2024-01-10T15:44:11"/>
    <x v="36"/>
    <x v="242"/>
    <x v="3"/>
    <x v="2"/>
    <x v="2"/>
    <n v="125"/>
    <n v="17"/>
    <n v="100"/>
    <n v="451"/>
    <n v="42"/>
    <n v="643"/>
    <x v="0"/>
    <x v="2"/>
  </r>
  <r>
    <n v="964"/>
    <x v="914"/>
    <x v="608"/>
    <d v="2024-02-01T19:06:16"/>
    <d v="2024-02-01T20:52:16"/>
    <x v="23"/>
    <x v="747"/>
    <x v="3"/>
    <x v="0"/>
    <x v="0"/>
    <n v="64"/>
    <n v="31"/>
    <n v="0"/>
    <n v="624"/>
    <n v="95"/>
    <n v="769"/>
    <x v="0"/>
    <x v="0"/>
  </r>
  <r>
    <n v="965"/>
    <x v="915"/>
    <x v="111"/>
    <d v="2024-02-05T01:09:09"/>
    <d v="2024-02-05T01:39:09"/>
    <x v="75"/>
    <x v="748"/>
    <x v="0"/>
    <x v="2"/>
    <x v="1"/>
    <n v="131"/>
    <n v="13"/>
    <n v="0"/>
    <n v="983"/>
    <n v="144"/>
    <n v="1127"/>
    <x v="0"/>
    <x v="2"/>
  </r>
  <r>
    <n v="966"/>
    <x v="411"/>
    <x v="483"/>
    <d v="2024-01-31T12:55:09"/>
    <d v="2024-01-31T14:53:09"/>
    <x v="72"/>
    <x v="267"/>
    <x v="2"/>
    <x v="2"/>
    <x v="2"/>
    <n v="141"/>
    <n v="20"/>
    <n v="100"/>
    <n v="1055"/>
    <n v="61"/>
    <n v="1246"/>
    <x v="2"/>
    <x v="2"/>
  </r>
  <r>
    <n v="967"/>
    <x v="916"/>
    <x v="609"/>
    <d v="2024-01-25T08:38:03"/>
    <d v="2024-01-25T09:54:03"/>
    <x v="37"/>
    <x v="749"/>
    <x v="4"/>
    <x v="0"/>
    <x v="4"/>
    <n v="72"/>
    <n v="17"/>
    <n v="0"/>
    <n v="929"/>
    <n v="89"/>
    <n v="1038"/>
    <x v="0"/>
    <x v="0"/>
  </r>
  <r>
    <n v="968"/>
    <x v="917"/>
    <x v="610"/>
    <d v="2024-01-30T06:03:39"/>
    <d v="2024-01-30T06:36:39"/>
    <x v="30"/>
    <x v="388"/>
    <x v="0"/>
    <x v="1"/>
    <x v="2"/>
    <n v="143"/>
    <n v="18"/>
    <n v="0"/>
    <n v="-56"/>
    <n v="161"/>
    <n v="105"/>
    <x v="0"/>
    <x v="0"/>
  </r>
  <r>
    <n v="969"/>
    <x v="468"/>
    <x v="92"/>
    <d v="2024-01-20T19:27:52"/>
    <d v="2024-01-20T20:59:52"/>
    <x v="55"/>
    <x v="127"/>
    <x v="3"/>
    <x v="2"/>
    <x v="4"/>
    <n v="94"/>
    <n v="35"/>
    <n v="0"/>
    <n v="258"/>
    <n v="129"/>
    <n v="437"/>
    <x v="2"/>
    <x v="2"/>
  </r>
  <r>
    <n v="970"/>
    <x v="918"/>
    <x v="172"/>
    <d v="2024-01-20T19:27:26"/>
    <d v="2024-01-20T20:48:26"/>
    <x v="50"/>
    <x v="750"/>
    <x v="0"/>
    <x v="0"/>
    <x v="1"/>
    <n v="111"/>
    <n v="11"/>
    <n v="50"/>
    <n v="1619"/>
    <n v="72"/>
    <n v="1741"/>
    <x v="0"/>
    <x v="1"/>
  </r>
  <r>
    <n v="971"/>
    <x v="919"/>
    <x v="504"/>
    <d v="2024-02-07T04:28:03"/>
    <d v="2024-02-07T05:07:03"/>
    <x v="70"/>
    <x v="751"/>
    <x v="3"/>
    <x v="2"/>
    <x v="1"/>
    <n v="64"/>
    <n v="25"/>
    <n v="0"/>
    <n v="1180"/>
    <n v="89"/>
    <n v="1319"/>
    <x v="0"/>
    <x v="2"/>
  </r>
  <r>
    <n v="972"/>
    <x v="920"/>
    <x v="611"/>
    <d v="2024-02-05T01:17:11"/>
    <d v="2024-02-05T02:14:11"/>
    <x v="64"/>
    <x v="472"/>
    <x v="1"/>
    <x v="1"/>
    <x v="1"/>
    <n v="95"/>
    <n v="40"/>
    <n v="0"/>
    <n v="1771"/>
    <n v="135"/>
    <n v="1946"/>
    <x v="0"/>
    <x v="0"/>
  </r>
  <r>
    <n v="973"/>
    <x v="921"/>
    <x v="612"/>
    <d v="2024-01-19T22:14:48"/>
    <d v="2024-01-19T22:49:48"/>
    <x v="1"/>
    <x v="297"/>
    <x v="3"/>
    <x v="1"/>
    <x v="2"/>
    <n v="113"/>
    <n v="15"/>
    <n v="150"/>
    <n v="1419"/>
    <n v="-22"/>
    <n v="1597"/>
    <x v="0"/>
    <x v="0"/>
  </r>
  <r>
    <n v="974"/>
    <x v="922"/>
    <x v="220"/>
    <d v="2024-01-28T20:01:39"/>
    <d v="2024-01-28T20:57:39"/>
    <x v="56"/>
    <x v="17"/>
    <x v="3"/>
    <x v="1"/>
    <x v="3"/>
    <n v="124"/>
    <n v="30"/>
    <n v="0"/>
    <n v="553"/>
    <n v="154"/>
    <n v="757"/>
    <x v="0"/>
    <x v="2"/>
  </r>
  <r>
    <n v="975"/>
    <x v="923"/>
    <x v="141"/>
    <d v="2024-02-05T03:51:48"/>
    <d v="2024-02-05T04:32:48"/>
    <x v="53"/>
    <x v="637"/>
    <x v="3"/>
    <x v="0"/>
    <x v="2"/>
    <n v="101"/>
    <n v="35"/>
    <n v="0"/>
    <n v="420"/>
    <n v="136"/>
    <n v="606"/>
    <x v="0"/>
    <x v="2"/>
  </r>
  <r>
    <n v="976"/>
    <x v="924"/>
    <x v="613"/>
    <d v="2024-01-30T18:12:45"/>
    <d v="2024-01-30T19:43:45"/>
    <x v="25"/>
    <x v="752"/>
    <x v="2"/>
    <x v="0"/>
    <x v="2"/>
    <n v="137"/>
    <n v="28"/>
    <n v="0"/>
    <n v="1699"/>
    <n v="165"/>
    <n v="1894"/>
    <x v="0"/>
    <x v="0"/>
  </r>
  <r>
    <n v="977"/>
    <x v="925"/>
    <x v="91"/>
    <d v="2024-01-26T19:20:55"/>
    <d v="2024-01-26T20:41:55"/>
    <x v="50"/>
    <x v="753"/>
    <x v="3"/>
    <x v="1"/>
    <x v="0"/>
    <n v="106"/>
    <n v="37"/>
    <n v="0"/>
    <n v="1182"/>
    <n v="143"/>
    <n v="1375"/>
    <x v="0"/>
    <x v="1"/>
  </r>
  <r>
    <n v="978"/>
    <x v="926"/>
    <x v="109"/>
    <d v="2024-01-21T14:02:19"/>
    <d v="2024-01-21T15:19:19"/>
    <x v="17"/>
    <x v="754"/>
    <x v="4"/>
    <x v="0"/>
    <x v="0"/>
    <n v="132"/>
    <n v="17"/>
    <n v="50"/>
    <n v="1186"/>
    <n v="99"/>
    <n v="1355"/>
    <x v="0"/>
    <x v="1"/>
  </r>
  <r>
    <n v="979"/>
    <x v="927"/>
    <x v="614"/>
    <d v="2024-02-02T06:59:53"/>
    <d v="2024-02-02T08:35:53"/>
    <x v="61"/>
    <x v="509"/>
    <x v="4"/>
    <x v="1"/>
    <x v="2"/>
    <n v="115"/>
    <n v="23"/>
    <n v="100"/>
    <n v="991"/>
    <n v="38"/>
    <n v="1149"/>
    <x v="0"/>
    <x v="0"/>
  </r>
  <r>
    <n v="980"/>
    <x v="928"/>
    <x v="539"/>
    <d v="2024-01-08T16:41:57"/>
    <d v="2024-01-08T17:56:57"/>
    <x v="51"/>
    <x v="755"/>
    <x v="0"/>
    <x v="0"/>
    <x v="4"/>
    <n v="199"/>
    <n v="33"/>
    <n v="0"/>
    <n v="491"/>
    <n v="232"/>
    <n v="723"/>
    <x v="0"/>
    <x v="2"/>
  </r>
  <r>
    <n v="981"/>
    <x v="929"/>
    <x v="615"/>
    <d v="2024-01-17T08:47:02"/>
    <d v="2024-01-17T10:30:02"/>
    <x v="74"/>
    <x v="756"/>
    <x v="2"/>
    <x v="1"/>
    <x v="0"/>
    <n v="69"/>
    <n v="46"/>
    <n v="0"/>
    <n v="360"/>
    <n v="115"/>
    <n v="505"/>
    <x v="0"/>
    <x v="0"/>
  </r>
  <r>
    <n v="982"/>
    <x v="930"/>
    <x v="328"/>
    <d v="2024-01-12T00:30:46"/>
    <d v="2024-01-12T01:14:46"/>
    <x v="22"/>
    <x v="336"/>
    <x v="0"/>
    <x v="2"/>
    <x v="2"/>
    <n v="82"/>
    <n v="35"/>
    <n v="0"/>
    <n v="429"/>
    <n v="117"/>
    <n v="546"/>
    <x v="0"/>
    <x v="2"/>
  </r>
  <r>
    <n v="983"/>
    <x v="931"/>
    <x v="616"/>
    <d v="2024-01-01T05:27:55"/>
    <d v="2024-01-01T07:07:55"/>
    <x v="13"/>
    <x v="757"/>
    <x v="4"/>
    <x v="1"/>
    <x v="3"/>
    <n v="121"/>
    <n v="40"/>
    <n v="0"/>
    <n v="773"/>
    <n v="161"/>
    <n v="954"/>
    <x v="0"/>
    <x v="0"/>
  </r>
  <r>
    <n v="984"/>
    <x v="932"/>
    <x v="85"/>
    <d v="2024-01-01T20:33:17"/>
    <d v="2024-01-01T21:38:17"/>
    <x v="47"/>
    <x v="758"/>
    <x v="4"/>
    <x v="1"/>
    <x v="4"/>
    <n v="74"/>
    <n v="41"/>
    <n v="0"/>
    <n v="1114"/>
    <n v="115"/>
    <n v="1249"/>
    <x v="0"/>
    <x v="3"/>
  </r>
  <r>
    <n v="985"/>
    <x v="933"/>
    <x v="537"/>
    <d v="2024-01-26T23:40:39"/>
    <d v="2024-01-27T00:23:39"/>
    <x v="39"/>
    <x v="759"/>
    <x v="1"/>
    <x v="0"/>
    <x v="1"/>
    <n v="95"/>
    <n v="50"/>
    <n v="0"/>
    <n v="1629"/>
    <n v="145"/>
    <n v="1814"/>
    <x v="0"/>
    <x v="1"/>
  </r>
  <r>
    <n v="986"/>
    <x v="934"/>
    <x v="233"/>
    <d v="2024-01-12T04:46:01"/>
    <d v="2024-01-12T06:33:01"/>
    <x v="78"/>
    <x v="760"/>
    <x v="3"/>
    <x v="0"/>
    <x v="2"/>
    <n v="122"/>
    <n v="11"/>
    <n v="150"/>
    <n v="777"/>
    <n v="-17"/>
    <n v="960"/>
    <x v="0"/>
    <x v="5"/>
  </r>
  <r>
    <n v="987"/>
    <x v="935"/>
    <x v="617"/>
    <d v="2024-01-24T03:11:11"/>
    <d v="2024-01-24T03:43:11"/>
    <x v="66"/>
    <x v="761"/>
    <x v="4"/>
    <x v="0"/>
    <x v="2"/>
    <n v="147"/>
    <n v="34"/>
    <n v="0"/>
    <n v="1343"/>
    <n v="181"/>
    <n v="1544"/>
    <x v="0"/>
    <x v="0"/>
  </r>
  <r>
    <n v="988"/>
    <x v="936"/>
    <x v="511"/>
    <d v="2024-01-06T15:13:19"/>
    <d v="2024-01-06T16:49:19"/>
    <x v="61"/>
    <x v="762"/>
    <x v="0"/>
    <x v="0"/>
    <x v="4"/>
    <n v="106"/>
    <n v="11"/>
    <n v="0"/>
    <n v="1102"/>
    <n v="117"/>
    <n v="1219"/>
    <x v="0"/>
    <x v="2"/>
  </r>
  <r>
    <n v="989"/>
    <x v="937"/>
    <x v="64"/>
    <d v="2024-01-31T06:48:21"/>
    <d v="2024-01-31T08:43:21"/>
    <x v="86"/>
    <x v="688"/>
    <x v="0"/>
    <x v="0"/>
    <x v="0"/>
    <n v="136"/>
    <n v="10"/>
    <n v="0"/>
    <n v="1365"/>
    <n v="146"/>
    <n v="1511"/>
    <x v="0"/>
    <x v="1"/>
  </r>
  <r>
    <n v="990"/>
    <x v="454"/>
    <x v="186"/>
    <d v="2024-01-09T17:54:38"/>
    <d v="2024-01-09T18:42:38"/>
    <x v="77"/>
    <x v="763"/>
    <x v="3"/>
    <x v="0"/>
    <x v="0"/>
    <n v="182"/>
    <n v="45"/>
    <n v="0"/>
    <n v="831"/>
    <n v="227"/>
    <n v="1108"/>
    <x v="2"/>
    <x v="2"/>
  </r>
  <r>
    <n v="991"/>
    <x v="938"/>
    <x v="570"/>
    <d v="2024-01-26T21:40:57"/>
    <d v="2024-01-26T23:25:57"/>
    <x v="24"/>
    <x v="764"/>
    <x v="3"/>
    <x v="2"/>
    <x v="0"/>
    <n v="104"/>
    <n v="21"/>
    <n v="0"/>
    <n v="1450"/>
    <n v="125"/>
    <n v="1625"/>
    <x v="0"/>
    <x v="2"/>
  </r>
  <r>
    <n v="992"/>
    <x v="939"/>
    <x v="618"/>
    <d v="2024-01-04T03:00:40"/>
    <d v="2024-01-04T04:23:40"/>
    <x v="85"/>
    <x v="325"/>
    <x v="1"/>
    <x v="1"/>
    <x v="1"/>
    <n v="110"/>
    <n v="18"/>
    <n v="0"/>
    <n v="820"/>
    <n v="128"/>
    <n v="988"/>
    <x v="0"/>
    <x v="0"/>
  </r>
  <r>
    <n v="993"/>
    <x v="940"/>
    <x v="619"/>
    <d v="2024-01-18T01:39:24"/>
    <d v="2024-01-18T03:17:24"/>
    <x v="16"/>
    <x v="765"/>
    <x v="2"/>
    <x v="1"/>
    <x v="4"/>
    <n v="138"/>
    <n v="45"/>
    <n v="0"/>
    <n v="725"/>
    <n v="183"/>
    <n v="938"/>
    <x v="0"/>
    <x v="0"/>
  </r>
  <r>
    <n v="994"/>
    <x v="941"/>
    <x v="500"/>
    <d v="2024-01-28T21:10:29"/>
    <d v="2024-01-28T21:49:29"/>
    <x v="70"/>
    <x v="357"/>
    <x v="0"/>
    <x v="1"/>
    <x v="4"/>
    <n v="57"/>
    <n v="50"/>
    <n v="0"/>
    <n v="971"/>
    <n v="107"/>
    <n v="1078"/>
    <x v="0"/>
    <x v="2"/>
  </r>
  <r>
    <n v="995"/>
    <x v="942"/>
    <x v="480"/>
    <d v="2024-01-07T13:14:48"/>
    <d v="2024-01-07T14:16:48"/>
    <x v="80"/>
    <x v="488"/>
    <x v="3"/>
    <x v="2"/>
    <x v="0"/>
    <n v="65"/>
    <n v="37"/>
    <n v="0"/>
    <n v="413"/>
    <n v="102"/>
    <n v="565"/>
    <x v="0"/>
    <x v="4"/>
  </r>
  <r>
    <n v="996"/>
    <x v="154"/>
    <x v="164"/>
    <d v="2024-01-14T05:57:00"/>
    <d v="2024-01-14T06:39:00"/>
    <x v="82"/>
    <x v="606"/>
    <x v="0"/>
    <x v="1"/>
    <x v="0"/>
    <n v="165"/>
    <n v="47"/>
    <n v="50"/>
    <n v="613"/>
    <n v="162"/>
    <n v="825"/>
    <x v="2"/>
    <x v="1"/>
  </r>
  <r>
    <n v="997"/>
    <x v="943"/>
    <x v="620"/>
    <d v="2024-01-28T08:50:43"/>
    <d v="2024-01-28T10:10:43"/>
    <x v="9"/>
    <x v="31"/>
    <x v="3"/>
    <x v="2"/>
    <x v="3"/>
    <n v="110"/>
    <n v="42"/>
    <n v="0"/>
    <n v="1475"/>
    <n v="152"/>
    <n v="1677"/>
    <x v="0"/>
    <x v="0"/>
  </r>
  <r>
    <n v="998"/>
    <x v="944"/>
    <x v="128"/>
    <d v="2024-01-21T09:43:19"/>
    <d v="2024-01-21T10:44:19"/>
    <x v="89"/>
    <x v="766"/>
    <x v="4"/>
    <x v="2"/>
    <x v="3"/>
    <n v="64"/>
    <n v="31"/>
    <n v="0"/>
    <n v="458"/>
    <n v="95"/>
    <n v="573"/>
    <x v="0"/>
    <x v="2"/>
  </r>
  <r>
    <n v="999"/>
    <x v="945"/>
    <x v="368"/>
    <d v="2024-01-30T22:23:38"/>
    <d v="2024-01-31T00:07:38"/>
    <x v="59"/>
    <x v="767"/>
    <x v="0"/>
    <x v="2"/>
    <x v="2"/>
    <n v="199"/>
    <n v="34"/>
    <n v="0"/>
    <n v="1181"/>
    <n v="233"/>
    <n v="1414"/>
    <x v="0"/>
    <x v="2"/>
  </r>
  <r>
    <n v="1000"/>
    <x v="946"/>
    <x v="309"/>
    <d v="2024-01-08T14:46:43"/>
    <d v="2024-01-08T15:39:43"/>
    <x v="6"/>
    <x v="768"/>
    <x v="4"/>
    <x v="1"/>
    <x v="2"/>
    <n v="180"/>
    <n v="27"/>
    <n v="100"/>
    <n v="1450"/>
    <n v="107"/>
    <n v="1677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9" cacheId="0" applyNumberFormats="0" applyBorderFormats="0" applyFontFormats="0" applyPatternFormats="0" applyAlignmentFormats="0" applyWidthHeightFormats="1" dataCaption="Values" updatedVersion="5" minRefreshableVersion="3" useAutoFormatting="1" rowGrandTotals="0" colGrandTotals="0" itemPrintTitles="1" createdVersion="5" indent="0" outline="1" outlineData="1" multipleFieldFilters="0" rowHeaderCaption="Restaurant">
  <location ref="V5:X17" firstHeaderRow="0" firstDataRow="1" firstDataCol="1" rowPageCount="1" colPageCount="1"/>
  <pivotFields count="20">
    <pivotField showAll="0"/>
    <pivotField showAll="0"/>
    <pivotField axis="axisRow" showAll="0" measureFilter="1" sortType="descending">
      <items count="622">
        <item x="138"/>
        <item x="339"/>
        <item x="274"/>
        <item x="441"/>
        <item x="11"/>
        <item x="238"/>
        <item x="271"/>
        <item x="430"/>
        <item x="379"/>
        <item x="286"/>
        <item x="500"/>
        <item x="22"/>
        <item x="23"/>
        <item x="291"/>
        <item x="145"/>
        <item x="7"/>
        <item x="55"/>
        <item x="473"/>
        <item x="243"/>
        <item x="332"/>
        <item x="479"/>
        <item x="397"/>
        <item x="553"/>
        <item x="580"/>
        <item x="399"/>
        <item x="337"/>
        <item x="555"/>
        <item x="112"/>
        <item x="509"/>
        <item x="592"/>
        <item x="199"/>
        <item x="229"/>
        <item x="518"/>
        <item x="227"/>
        <item x="597"/>
        <item x="487"/>
        <item x="376"/>
        <item x="591"/>
        <item x="331"/>
        <item x="462"/>
        <item x="469"/>
        <item x="54"/>
        <item x="91"/>
        <item x="211"/>
        <item x="604"/>
        <item x="355"/>
        <item x="285"/>
        <item x="273"/>
        <item x="85"/>
        <item x="603"/>
        <item x="542"/>
        <item x="468"/>
        <item x="426"/>
        <item x="317"/>
        <item x="0"/>
        <item x="586"/>
        <item x="159"/>
        <item x="292"/>
        <item x="257"/>
        <item x="451"/>
        <item x="74"/>
        <item x="65"/>
        <item x="393"/>
        <item x="45"/>
        <item x="609"/>
        <item x="51"/>
        <item x="571"/>
        <item x="464"/>
        <item x="156"/>
        <item x="88"/>
        <item x="574"/>
        <item x="594"/>
        <item x="556"/>
        <item x="390"/>
        <item x="562"/>
        <item x="512"/>
        <item x="71"/>
        <item x="566"/>
        <item x="298"/>
        <item x="370"/>
        <item x="491"/>
        <item x="309"/>
        <item x="363"/>
        <item x="335"/>
        <item x="289"/>
        <item x="475"/>
        <item x="452"/>
        <item x="350"/>
        <item x="478"/>
        <item x="264"/>
        <item x="106"/>
        <item x="466"/>
        <item x="8"/>
        <item x="252"/>
        <item x="143"/>
        <item x="585"/>
        <item x="552"/>
        <item x="2"/>
        <item x="485"/>
        <item x="92"/>
        <item x="222"/>
        <item x="538"/>
        <item x="447"/>
        <item x="595"/>
        <item x="348"/>
        <item x="559"/>
        <item x="405"/>
        <item x="437"/>
        <item x="94"/>
        <item x="130"/>
        <item x="515"/>
        <item x="367"/>
        <item x="198"/>
        <item x="343"/>
        <item x="266"/>
        <item x="128"/>
        <item x="616"/>
        <item x="21"/>
        <item x="18"/>
        <item x="493"/>
        <item x="442"/>
        <item x="511"/>
        <item x="267"/>
        <item x="419"/>
        <item x="147"/>
        <item x="53"/>
        <item x="165"/>
        <item x="154"/>
        <item x="168"/>
        <item x="228"/>
        <item x="410"/>
        <item x="72"/>
        <item x="43"/>
        <item x="283"/>
        <item x="579"/>
        <item x="569"/>
        <item x="181"/>
        <item x="84"/>
        <item x="37"/>
        <item x="532"/>
        <item x="4"/>
        <item x="476"/>
        <item x="398"/>
        <item x="172"/>
        <item x="494"/>
        <item x="495"/>
        <item x="524"/>
        <item x="496"/>
        <item x="260"/>
        <item x="304"/>
        <item x="174"/>
        <item x="5"/>
        <item x="237"/>
        <item x="58"/>
        <item x="358"/>
        <item x="360"/>
        <item x="345"/>
        <item x="25"/>
        <item x="461"/>
        <item x="192"/>
        <item x="28"/>
        <item x="20"/>
        <item x="117"/>
        <item x="587"/>
        <item x="356"/>
        <item x="612"/>
        <item x="193"/>
        <item x="573"/>
        <item x="153"/>
        <item x="311"/>
        <item x="418"/>
        <item x="76"/>
        <item x="541"/>
        <item x="182"/>
        <item x="620"/>
        <item x="516"/>
        <item x="196"/>
        <item x="383"/>
        <item x="610"/>
        <item x="104"/>
        <item x="52"/>
        <item x="87"/>
        <item x="575"/>
        <item x="600"/>
        <item x="150"/>
        <item x="531"/>
        <item x="102"/>
        <item x="519"/>
        <item x="596"/>
        <item x="581"/>
        <item x="294"/>
        <item x="105"/>
        <item x="428"/>
        <item x="522"/>
        <item x="460"/>
        <item x="98"/>
        <item x="207"/>
        <item x="256"/>
        <item x="244"/>
        <item x="73"/>
        <item x="78"/>
        <item x="167"/>
        <item x="458"/>
        <item x="160"/>
        <item x="68"/>
        <item x="403"/>
        <item x="312"/>
        <item x="577"/>
        <item x="169"/>
        <item x="536"/>
        <item x="366"/>
        <item x="321"/>
        <item x="265"/>
        <item x="459"/>
        <item x="506"/>
        <item x="157"/>
        <item x="411"/>
        <item x="517"/>
        <item x="136"/>
        <item x="178"/>
        <item x="438"/>
        <item x="59"/>
        <item x="423"/>
        <item x="326"/>
        <item x="415"/>
        <item x="122"/>
        <item x="329"/>
        <item x="187"/>
        <item x="582"/>
        <item x="239"/>
        <item x="347"/>
        <item x="486"/>
        <item x="501"/>
        <item x="249"/>
        <item x="381"/>
        <item x="149"/>
        <item x="3"/>
        <item x="208"/>
        <item x="607"/>
        <item x="378"/>
        <item x="161"/>
        <item x="100"/>
        <item x="576"/>
        <item x="142"/>
        <item x="63"/>
        <item x="186"/>
        <item x="281"/>
        <item x="375"/>
        <item x="212"/>
        <item x="277"/>
        <item x="225"/>
        <item x="126"/>
        <item x="33"/>
        <item x="308"/>
        <item x="528"/>
        <item x="502"/>
        <item x="34"/>
        <item x="392"/>
        <item x="141"/>
        <item x="269"/>
        <item x="97"/>
        <item x="234"/>
        <item x="505"/>
        <item x="429"/>
        <item x="140"/>
        <item x="440"/>
        <item x="333"/>
        <item x="346"/>
        <item x="372"/>
        <item x="31"/>
        <item x="602"/>
        <item x="320"/>
        <item x="163"/>
        <item x="349"/>
        <item x="364"/>
        <item x="444"/>
        <item x="250"/>
        <item x="471"/>
        <item x="230"/>
        <item x="404"/>
        <item x="572"/>
        <item x="344"/>
        <item x="507"/>
        <item x="162"/>
        <item x="412"/>
        <item x="537"/>
        <item x="111"/>
        <item x="425"/>
        <item x="583"/>
        <item x="66"/>
        <item x="301"/>
        <item x="530"/>
        <item x="380"/>
        <item x="481"/>
        <item x="253"/>
        <item x="246"/>
        <item x="510"/>
        <item x="421"/>
        <item x="82"/>
        <item x="608"/>
        <item x="288"/>
        <item x="109"/>
        <item x="432"/>
        <item x="223"/>
        <item x="75"/>
        <item x="110"/>
        <item x="504"/>
        <item x="262"/>
        <item x="359"/>
        <item x="290"/>
        <item x="567"/>
        <item x="70"/>
        <item x="177"/>
        <item x="200"/>
        <item x="93"/>
        <item x="618"/>
        <item x="617"/>
        <item x="205"/>
        <item x="47"/>
        <item x="216"/>
        <item x="231"/>
        <item x="527"/>
        <item x="120"/>
        <item x="296"/>
        <item x="497"/>
        <item x="44"/>
        <item x="276"/>
        <item x="251"/>
        <item x="241"/>
        <item x="448"/>
        <item x="202"/>
        <item x="220"/>
        <item x="268"/>
        <item x="13"/>
        <item x="454"/>
        <item x="79"/>
        <item x="50"/>
        <item x="195"/>
        <item x="247"/>
        <item x="385"/>
        <item x="463"/>
        <item x="470"/>
        <item x="6"/>
        <item x="155"/>
        <item x="394"/>
        <item x="488"/>
        <item x="46"/>
        <item x="204"/>
        <item x="436"/>
        <item x="589"/>
        <item x="24"/>
        <item x="123"/>
        <item x="314"/>
        <item x="424"/>
        <item x="219"/>
        <item x="330"/>
        <item x="472"/>
        <item x="323"/>
        <item x="550"/>
        <item x="297"/>
        <item x="533"/>
        <item x="416"/>
        <item x="601"/>
        <item x="365"/>
        <item x="36"/>
        <item x="307"/>
        <item x="302"/>
        <item x="443"/>
        <item x="565"/>
        <item x="188"/>
        <item x="599"/>
        <item x="275"/>
        <item x="158"/>
        <item x="334"/>
        <item x="293"/>
        <item x="81"/>
        <item x="387"/>
        <item x="422"/>
        <item x="534"/>
        <item x="15"/>
        <item x="563"/>
        <item x="319"/>
        <item x="489"/>
        <item x="77"/>
        <item x="561"/>
        <item x="482"/>
        <item x="64"/>
        <item x="10"/>
        <item x="139"/>
        <item x="315"/>
        <item x="325"/>
        <item x="615"/>
        <item x="242"/>
        <item x="272"/>
        <item x="171"/>
        <item x="558"/>
        <item x="352"/>
        <item x="201"/>
        <item x="95"/>
        <item x="166"/>
        <item x="435"/>
        <item x="115"/>
        <item x="373"/>
        <item x="132"/>
        <item x="409"/>
        <item x="584"/>
        <item x="16"/>
        <item x="413"/>
        <item x="336"/>
        <item x="144"/>
        <item x="318"/>
        <item x="236"/>
        <item x="526"/>
        <item x="407"/>
        <item x="261"/>
        <item x="614"/>
        <item x="384"/>
        <item x="57"/>
        <item x="371"/>
        <item x="26"/>
        <item x="439"/>
        <item x="327"/>
        <item x="377"/>
        <item x="525"/>
        <item x="340"/>
        <item x="233"/>
        <item x="554"/>
        <item x="396"/>
        <item x="564"/>
        <item x="19"/>
        <item x="190"/>
        <item x="299"/>
        <item x="184"/>
        <item x="503"/>
        <item x="578"/>
        <item x="456"/>
        <item x="551"/>
        <item x="484"/>
        <item x="341"/>
        <item x="401"/>
        <item x="613"/>
        <item x="175"/>
        <item x="431"/>
        <item x="328"/>
        <item x="170"/>
        <item x="191"/>
        <item x="41"/>
        <item x="148"/>
        <item x="67"/>
        <item x="114"/>
        <item x="96"/>
        <item x="118"/>
        <item x="224"/>
        <item x="306"/>
        <item x="278"/>
        <item x="313"/>
        <item x="474"/>
        <item x="457"/>
        <item x="152"/>
        <item x="374"/>
        <item x="316"/>
        <item x="35"/>
        <item x="406"/>
        <item x="83"/>
        <item x="357"/>
        <item x="427"/>
        <item x="490"/>
        <item x="86"/>
        <item x="303"/>
        <item x="259"/>
        <item x="606"/>
        <item x="310"/>
        <item x="197"/>
        <item x="351"/>
        <item x="449"/>
        <item x="29"/>
        <item x="113"/>
        <item x="514"/>
        <item x="119"/>
        <item x="434"/>
        <item x="619"/>
        <item x="30"/>
        <item x="183"/>
        <item x="89"/>
        <item x="540"/>
        <item x="402"/>
        <item x="270"/>
        <item x="445"/>
        <item x="354"/>
        <item x="209"/>
        <item x="235"/>
        <item x="535"/>
        <item x="455"/>
        <item x="108"/>
        <item x="498"/>
        <item x="593"/>
        <item x="513"/>
        <item x="116"/>
        <item x="245"/>
        <item x="508"/>
        <item x="446"/>
        <item x="382"/>
        <item x="545"/>
        <item x="450"/>
        <item x="414"/>
        <item x="282"/>
        <item x="180"/>
        <item x="605"/>
        <item x="287"/>
        <item x="49"/>
        <item x="14"/>
        <item x="391"/>
        <item x="218"/>
        <item x="284"/>
        <item x="300"/>
        <item x="151"/>
        <item x="529"/>
        <item x="48"/>
        <item x="492"/>
        <item x="9"/>
        <item x="295"/>
        <item x="369"/>
        <item x="279"/>
        <item x="99"/>
        <item x="477"/>
        <item x="203"/>
        <item x="137"/>
        <item x="280"/>
        <item x="60"/>
        <item x="173"/>
        <item x="194"/>
        <item x="62"/>
        <item x="129"/>
        <item x="368"/>
        <item x="548"/>
        <item x="324"/>
        <item x="305"/>
        <item x="338"/>
        <item x="263"/>
        <item x="417"/>
        <item x="215"/>
        <item x="164"/>
        <item x="103"/>
        <item x="568"/>
        <item x="388"/>
        <item x="547"/>
        <item x="42"/>
        <item x="80"/>
        <item x="520"/>
        <item x="543"/>
        <item x="107"/>
        <item x="400"/>
        <item x="179"/>
        <item x="560"/>
        <item x="125"/>
        <item x="217"/>
        <item x="353"/>
        <item x="549"/>
        <item x="544"/>
        <item x="221"/>
        <item x="611"/>
        <item x="361"/>
        <item x="185"/>
        <item x="38"/>
        <item x="590"/>
        <item x="408"/>
        <item x="546"/>
        <item x="248"/>
        <item x="39"/>
        <item x="12"/>
        <item x="258"/>
        <item x="61"/>
        <item x="480"/>
        <item x="69"/>
        <item x="240"/>
        <item x="467"/>
        <item x="40"/>
        <item x="127"/>
        <item x="206"/>
        <item x="523"/>
        <item x="189"/>
        <item x="521"/>
        <item x="342"/>
        <item x="210"/>
        <item x="499"/>
        <item x="101"/>
        <item x="1"/>
        <item x="27"/>
        <item x="90"/>
        <item x="32"/>
        <item x="254"/>
        <item x="433"/>
        <item x="226"/>
        <item x="131"/>
        <item x="133"/>
        <item x="386"/>
        <item x="214"/>
        <item x="389"/>
        <item x="395"/>
        <item x="588"/>
        <item x="134"/>
        <item x="465"/>
        <item x="420"/>
        <item x="124"/>
        <item x="146"/>
        <item x="213"/>
        <item x="598"/>
        <item x="453"/>
        <item x="483"/>
        <item x="362"/>
        <item x="135"/>
        <item x="255"/>
        <item x="570"/>
        <item x="232"/>
        <item x="176"/>
        <item x="557"/>
        <item x="17"/>
        <item x="56"/>
        <item x="121"/>
        <item x="322"/>
        <item x="539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numFmtId="164" showAll="0"/>
    <pivotField numFmtId="164" showAll="0"/>
    <pivotField numFmtId="165" showAll="0"/>
    <pivotField numFmtId="167" showAll="0"/>
    <pivotField numFmtId="167" showAll="0"/>
    <pivotField showAll="0"/>
    <pivotField showAll="0"/>
    <pivotField numFmtId="167" showAll="0"/>
    <pivotField numFmtId="167" showAll="0"/>
    <pivotField dataField="1" numFmtId="167" showAll="0"/>
    <pivotField numFmtId="167" showAll="0"/>
    <pivotField numFmtId="167" showAll="0"/>
    <pivotField numFmtId="167" showAll="0"/>
    <pivotField showAll="0"/>
    <pivotField name="Orders_filter" axis="axisPage" multipleItemSelectionAllowed="1" showAll="0">
      <items count="7">
        <item h="1" x="0"/>
        <item h="1" x="2"/>
        <item x="1"/>
        <item x="3"/>
        <item x="4"/>
        <item x="5"/>
        <item t="default"/>
      </items>
    </pivotField>
    <pivotField dragToRow="0" dragToCol="0" dragToPage="0" showAll="0" defaultSubtotal="0"/>
    <pivotField dragToRow="0" dragToCol="0" dragToPage="0" showAll="0" defaultSubtotal="0"/>
  </pivotFields>
  <rowFields count="1">
    <field x="2"/>
  </rowFields>
  <rowItems count="12">
    <i>
      <x v="276"/>
    </i>
    <i>
      <x v="414"/>
    </i>
    <i>
      <x v="446"/>
    </i>
    <i>
      <x v="614"/>
    </i>
    <i>
      <x v="514"/>
    </i>
    <i>
      <x v="129"/>
    </i>
    <i>
      <x v="541"/>
    </i>
    <i>
      <x v="81"/>
    </i>
    <i>
      <x v="603"/>
    </i>
    <i>
      <x v="154"/>
    </i>
    <i>
      <x v="21"/>
    </i>
    <i>
      <x v="483"/>
    </i>
  </rowItems>
  <colFields count="1">
    <field x="-2"/>
  </colFields>
  <colItems count="2">
    <i>
      <x/>
    </i>
    <i i="1">
      <x v="1"/>
    </i>
  </colItems>
  <pageFields count="1">
    <pageField fld="17" hier="-1"/>
  </pageFields>
  <dataFields count="2">
    <dataField name="Refunds" fld="12" baseField="2" baseItem="595" numFmtId="167"/>
    <dataField name="Average" fld="12" subtotal="average" baseField="2" baseItem="595" numFmtId="166"/>
  </dataFields>
  <pivotTableStyleInfo name="PivotStyleMedium9" showRowHeaders="1" showColHeaders="1" showRowStripes="1" showColStripes="1" showLastColumn="1"/>
  <filters count="1">
    <filter fld="2" type="count" evalOrder="-1" id="19" iMeasureFld="1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8" cacheId="0" applyNumberFormats="0" applyBorderFormats="0" applyFontFormats="0" applyPatternFormats="0" applyAlignmentFormats="0" applyWidthHeightFormats="1" dataCaption="Values" updatedVersion="5" minRefreshableVersion="3" useAutoFormatting="1" rowGrandTotals="0" colGrandTotals="0" itemPrintTitles="1" createdVersion="5" indent="0" outline="1" outlineData="1" multipleFieldFilters="0" rowHeaderCaption="Restaurant">
  <location ref="S5:T15" firstHeaderRow="1" firstDataRow="1" firstDataCol="1" rowPageCount="1" colPageCount="1"/>
  <pivotFields count="20">
    <pivotField showAll="0"/>
    <pivotField showAll="0"/>
    <pivotField axis="axisRow" showAll="0" measureFilter="1" sortType="descending">
      <items count="622">
        <item x="138"/>
        <item x="339"/>
        <item x="274"/>
        <item x="441"/>
        <item x="11"/>
        <item x="238"/>
        <item x="271"/>
        <item x="430"/>
        <item x="379"/>
        <item x="286"/>
        <item x="500"/>
        <item x="22"/>
        <item x="23"/>
        <item x="291"/>
        <item x="145"/>
        <item x="7"/>
        <item x="55"/>
        <item x="473"/>
        <item x="243"/>
        <item x="332"/>
        <item x="479"/>
        <item x="397"/>
        <item x="553"/>
        <item x="580"/>
        <item x="399"/>
        <item x="337"/>
        <item x="555"/>
        <item x="112"/>
        <item x="509"/>
        <item x="592"/>
        <item x="199"/>
        <item x="229"/>
        <item x="518"/>
        <item x="227"/>
        <item x="597"/>
        <item x="487"/>
        <item x="376"/>
        <item x="591"/>
        <item x="331"/>
        <item x="462"/>
        <item x="469"/>
        <item x="54"/>
        <item x="91"/>
        <item x="211"/>
        <item x="604"/>
        <item x="355"/>
        <item x="285"/>
        <item x="273"/>
        <item x="85"/>
        <item x="603"/>
        <item x="542"/>
        <item x="468"/>
        <item x="426"/>
        <item x="317"/>
        <item x="0"/>
        <item x="586"/>
        <item x="159"/>
        <item x="292"/>
        <item x="257"/>
        <item x="451"/>
        <item x="74"/>
        <item x="65"/>
        <item x="393"/>
        <item x="45"/>
        <item x="609"/>
        <item x="51"/>
        <item x="571"/>
        <item x="464"/>
        <item x="156"/>
        <item x="88"/>
        <item x="574"/>
        <item x="594"/>
        <item x="556"/>
        <item x="390"/>
        <item x="562"/>
        <item x="512"/>
        <item x="71"/>
        <item x="566"/>
        <item x="298"/>
        <item x="370"/>
        <item x="491"/>
        <item x="309"/>
        <item x="363"/>
        <item x="335"/>
        <item x="289"/>
        <item x="475"/>
        <item x="452"/>
        <item x="350"/>
        <item x="478"/>
        <item x="264"/>
        <item x="106"/>
        <item x="466"/>
        <item x="8"/>
        <item x="252"/>
        <item x="143"/>
        <item x="585"/>
        <item x="552"/>
        <item x="2"/>
        <item x="485"/>
        <item x="92"/>
        <item x="222"/>
        <item x="538"/>
        <item x="447"/>
        <item x="595"/>
        <item x="348"/>
        <item x="559"/>
        <item x="405"/>
        <item x="437"/>
        <item x="94"/>
        <item x="130"/>
        <item x="515"/>
        <item x="367"/>
        <item x="198"/>
        <item x="343"/>
        <item x="266"/>
        <item x="128"/>
        <item x="616"/>
        <item x="21"/>
        <item x="18"/>
        <item x="493"/>
        <item x="442"/>
        <item x="511"/>
        <item x="267"/>
        <item x="419"/>
        <item x="147"/>
        <item x="53"/>
        <item x="165"/>
        <item x="154"/>
        <item x="168"/>
        <item x="228"/>
        <item x="410"/>
        <item x="72"/>
        <item x="43"/>
        <item x="283"/>
        <item x="579"/>
        <item x="569"/>
        <item x="181"/>
        <item x="84"/>
        <item x="37"/>
        <item x="532"/>
        <item x="4"/>
        <item x="476"/>
        <item x="398"/>
        <item x="172"/>
        <item x="494"/>
        <item x="495"/>
        <item x="524"/>
        <item x="496"/>
        <item x="260"/>
        <item x="304"/>
        <item x="174"/>
        <item x="5"/>
        <item x="237"/>
        <item x="58"/>
        <item x="358"/>
        <item x="360"/>
        <item x="345"/>
        <item x="25"/>
        <item x="461"/>
        <item x="192"/>
        <item x="28"/>
        <item x="20"/>
        <item x="117"/>
        <item x="587"/>
        <item x="356"/>
        <item x="612"/>
        <item x="193"/>
        <item x="573"/>
        <item x="153"/>
        <item x="311"/>
        <item x="418"/>
        <item x="76"/>
        <item x="541"/>
        <item x="182"/>
        <item x="620"/>
        <item x="516"/>
        <item x="196"/>
        <item x="383"/>
        <item x="610"/>
        <item x="104"/>
        <item x="52"/>
        <item x="87"/>
        <item x="575"/>
        <item x="600"/>
        <item x="150"/>
        <item x="531"/>
        <item x="102"/>
        <item x="519"/>
        <item x="596"/>
        <item x="581"/>
        <item x="294"/>
        <item x="105"/>
        <item x="428"/>
        <item x="522"/>
        <item x="460"/>
        <item x="98"/>
        <item x="207"/>
        <item x="256"/>
        <item x="244"/>
        <item x="73"/>
        <item x="78"/>
        <item x="167"/>
        <item x="458"/>
        <item x="160"/>
        <item x="68"/>
        <item x="403"/>
        <item x="312"/>
        <item x="577"/>
        <item x="169"/>
        <item x="536"/>
        <item x="366"/>
        <item x="321"/>
        <item x="265"/>
        <item x="459"/>
        <item x="506"/>
        <item x="157"/>
        <item x="411"/>
        <item x="517"/>
        <item x="136"/>
        <item x="178"/>
        <item x="438"/>
        <item x="59"/>
        <item x="423"/>
        <item x="326"/>
        <item x="415"/>
        <item x="122"/>
        <item x="329"/>
        <item x="187"/>
        <item x="582"/>
        <item x="239"/>
        <item x="347"/>
        <item x="486"/>
        <item x="501"/>
        <item x="249"/>
        <item x="381"/>
        <item x="149"/>
        <item x="3"/>
        <item x="208"/>
        <item x="607"/>
        <item x="378"/>
        <item x="161"/>
        <item x="100"/>
        <item x="576"/>
        <item x="142"/>
        <item x="63"/>
        <item x="186"/>
        <item x="281"/>
        <item x="375"/>
        <item x="212"/>
        <item x="277"/>
        <item x="225"/>
        <item x="126"/>
        <item x="33"/>
        <item x="308"/>
        <item x="528"/>
        <item x="502"/>
        <item x="34"/>
        <item x="392"/>
        <item x="141"/>
        <item x="269"/>
        <item x="97"/>
        <item x="234"/>
        <item x="505"/>
        <item x="429"/>
        <item x="140"/>
        <item x="440"/>
        <item x="333"/>
        <item x="346"/>
        <item x="372"/>
        <item x="31"/>
        <item x="602"/>
        <item x="320"/>
        <item x="163"/>
        <item x="349"/>
        <item x="364"/>
        <item x="444"/>
        <item x="250"/>
        <item x="471"/>
        <item x="230"/>
        <item x="404"/>
        <item x="572"/>
        <item x="344"/>
        <item x="507"/>
        <item x="162"/>
        <item x="412"/>
        <item x="537"/>
        <item x="111"/>
        <item x="425"/>
        <item x="583"/>
        <item x="66"/>
        <item x="301"/>
        <item x="530"/>
        <item x="380"/>
        <item x="481"/>
        <item x="253"/>
        <item x="246"/>
        <item x="510"/>
        <item x="421"/>
        <item x="82"/>
        <item x="608"/>
        <item x="288"/>
        <item x="109"/>
        <item x="432"/>
        <item x="223"/>
        <item x="75"/>
        <item x="110"/>
        <item x="504"/>
        <item x="262"/>
        <item x="359"/>
        <item x="290"/>
        <item x="567"/>
        <item x="70"/>
        <item x="177"/>
        <item x="200"/>
        <item x="93"/>
        <item x="618"/>
        <item x="617"/>
        <item x="205"/>
        <item x="47"/>
        <item x="216"/>
        <item x="231"/>
        <item x="527"/>
        <item x="120"/>
        <item x="296"/>
        <item x="497"/>
        <item x="44"/>
        <item x="276"/>
        <item x="251"/>
        <item x="241"/>
        <item x="448"/>
        <item x="202"/>
        <item x="220"/>
        <item x="268"/>
        <item x="13"/>
        <item x="454"/>
        <item x="79"/>
        <item x="50"/>
        <item x="195"/>
        <item x="247"/>
        <item x="385"/>
        <item x="463"/>
        <item x="470"/>
        <item x="6"/>
        <item x="155"/>
        <item x="394"/>
        <item x="488"/>
        <item x="46"/>
        <item x="204"/>
        <item x="436"/>
        <item x="589"/>
        <item x="24"/>
        <item x="123"/>
        <item x="314"/>
        <item x="424"/>
        <item x="219"/>
        <item x="330"/>
        <item x="472"/>
        <item x="323"/>
        <item x="550"/>
        <item x="297"/>
        <item x="533"/>
        <item x="416"/>
        <item x="601"/>
        <item x="365"/>
        <item x="36"/>
        <item x="307"/>
        <item x="302"/>
        <item x="443"/>
        <item x="565"/>
        <item x="188"/>
        <item x="599"/>
        <item x="275"/>
        <item x="158"/>
        <item x="334"/>
        <item x="293"/>
        <item x="81"/>
        <item x="387"/>
        <item x="422"/>
        <item x="534"/>
        <item x="15"/>
        <item x="563"/>
        <item x="319"/>
        <item x="489"/>
        <item x="77"/>
        <item x="561"/>
        <item x="482"/>
        <item x="64"/>
        <item x="10"/>
        <item x="139"/>
        <item x="315"/>
        <item x="325"/>
        <item x="615"/>
        <item x="242"/>
        <item x="272"/>
        <item x="171"/>
        <item x="558"/>
        <item x="352"/>
        <item x="201"/>
        <item x="95"/>
        <item x="166"/>
        <item x="435"/>
        <item x="115"/>
        <item x="373"/>
        <item x="132"/>
        <item x="409"/>
        <item x="584"/>
        <item x="16"/>
        <item x="413"/>
        <item x="336"/>
        <item x="144"/>
        <item x="318"/>
        <item x="236"/>
        <item x="526"/>
        <item x="407"/>
        <item x="261"/>
        <item x="614"/>
        <item x="384"/>
        <item x="57"/>
        <item x="371"/>
        <item x="26"/>
        <item x="439"/>
        <item x="327"/>
        <item x="377"/>
        <item x="525"/>
        <item x="340"/>
        <item x="233"/>
        <item x="554"/>
        <item x="396"/>
        <item x="564"/>
        <item x="19"/>
        <item x="190"/>
        <item x="299"/>
        <item x="184"/>
        <item x="503"/>
        <item x="578"/>
        <item x="456"/>
        <item x="551"/>
        <item x="484"/>
        <item x="341"/>
        <item x="401"/>
        <item x="613"/>
        <item x="175"/>
        <item x="431"/>
        <item x="328"/>
        <item x="170"/>
        <item x="191"/>
        <item x="41"/>
        <item x="148"/>
        <item x="67"/>
        <item x="114"/>
        <item x="96"/>
        <item x="118"/>
        <item x="224"/>
        <item x="306"/>
        <item x="278"/>
        <item x="313"/>
        <item x="474"/>
        <item x="457"/>
        <item x="152"/>
        <item x="374"/>
        <item x="316"/>
        <item x="35"/>
        <item x="406"/>
        <item x="83"/>
        <item x="357"/>
        <item x="427"/>
        <item x="490"/>
        <item x="86"/>
        <item x="303"/>
        <item x="259"/>
        <item x="606"/>
        <item x="310"/>
        <item x="197"/>
        <item x="351"/>
        <item x="449"/>
        <item x="29"/>
        <item x="113"/>
        <item x="514"/>
        <item x="119"/>
        <item x="434"/>
        <item x="619"/>
        <item x="30"/>
        <item x="183"/>
        <item x="89"/>
        <item x="540"/>
        <item x="402"/>
        <item x="270"/>
        <item x="445"/>
        <item x="354"/>
        <item x="209"/>
        <item x="235"/>
        <item x="535"/>
        <item x="455"/>
        <item x="108"/>
        <item x="498"/>
        <item x="593"/>
        <item x="513"/>
        <item x="116"/>
        <item x="245"/>
        <item x="508"/>
        <item x="446"/>
        <item x="382"/>
        <item x="545"/>
        <item x="450"/>
        <item x="414"/>
        <item x="282"/>
        <item x="180"/>
        <item x="605"/>
        <item x="287"/>
        <item x="49"/>
        <item x="14"/>
        <item x="391"/>
        <item x="218"/>
        <item x="284"/>
        <item x="300"/>
        <item x="151"/>
        <item x="529"/>
        <item x="48"/>
        <item x="492"/>
        <item x="9"/>
        <item x="295"/>
        <item x="369"/>
        <item x="279"/>
        <item x="99"/>
        <item x="477"/>
        <item x="203"/>
        <item x="137"/>
        <item x="280"/>
        <item x="60"/>
        <item x="173"/>
        <item x="194"/>
        <item x="62"/>
        <item x="129"/>
        <item x="368"/>
        <item x="548"/>
        <item x="324"/>
        <item x="305"/>
        <item x="338"/>
        <item x="263"/>
        <item x="417"/>
        <item x="215"/>
        <item x="164"/>
        <item x="103"/>
        <item x="568"/>
        <item x="388"/>
        <item x="547"/>
        <item x="42"/>
        <item x="80"/>
        <item x="520"/>
        <item x="543"/>
        <item x="107"/>
        <item x="400"/>
        <item x="179"/>
        <item x="560"/>
        <item x="125"/>
        <item x="217"/>
        <item x="353"/>
        <item x="549"/>
        <item x="544"/>
        <item x="221"/>
        <item x="611"/>
        <item x="361"/>
        <item x="185"/>
        <item x="38"/>
        <item x="590"/>
        <item x="408"/>
        <item x="546"/>
        <item x="248"/>
        <item x="39"/>
        <item x="12"/>
        <item x="258"/>
        <item x="61"/>
        <item x="480"/>
        <item x="69"/>
        <item x="240"/>
        <item x="467"/>
        <item x="40"/>
        <item x="127"/>
        <item x="206"/>
        <item x="523"/>
        <item x="189"/>
        <item x="521"/>
        <item x="342"/>
        <item x="210"/>
        <item x="499"/>
        <item x="101"/>
        <item x="1"/>
        <item x="27"/>
        <item x="90"/>
        <item x="32"/>
        <item x="254"/>
        <item x="433"/>
        <item x="226"/>
        <item x="131"/>
        <item x="133"/>
        <item x="386"/>
        <item x="214"/>
        <item x="389"/>
        <item x="395"/>
        <item x="588"/>
        <item x="134"/>
        <item x="465"/>
        <item x="420"/>
        <item x="124"/>
        <item x="146"/>
        <item x="213"/>
        <item x="598"/>
        <item x="453"/>
        <item x="483"/>
        <item x="362"/>
        <item x="135"/>
        <item x="255"/>
        <item x="570"/>
        <item x="232"/>
        <item x="176"/>
        <item x="557"/>
        <item x="17"/>
        <item x="56"/>
        <item x="121"/>
        <item x="322"/>
        <item x="53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/>
    <pivotField numFmtId="164" showAll="0"/>
    <pivotField dataField="1" numFmtId="165" showAll="0"/>
    <pivotField numFmtId="167" showAll="0"/>
    <pivotField numFmtId="167" showAll="0"/>
    <pivotField showAll="0"/>
    <pivotField showAll="0"/>
    <pivotField numFmtId="167" showAll="0"/>
    <pivotField numFmtId="167" showAll="0"/>
    <pivotField numFmtId="167" showAll="0"/>
    <pivotField numFmtId="167" showAll="0"/>
    <pivotField numFmtId="167" showAll="0"/>
    <pivotField numFmtId="167" showAll="0"/>
    <pivotField showAll="0"/>
    <pivotField name="Orders_filter" axis="axisPage" multipleItemSelectionAllowed="1" showAll="0">
      <items count="7">
        <item h="1" x="0"/>
        <item h="1" x="2"/>
        <item x="1"/>
        <item x="3"/>
        <item x="4"/>
        <item x="5"/>
        <item t="default"/>
      </items>
    </pivotField>
    <pivotField dragToRow="0" dragToCol="0" dragToPage="0" showAll="0" defaultSubtotal="0"/>
    <pivotField dragToRow="0" dragToCol="0" dragToPage="0" showAll="0" defaultSubtotal="0"/>
  </pivotFields>
  <rowFields count="1">
    <field x="2"/>
  </rowFields>
  <rowItems count="10">
    <i>
      <x v="595"/>
    </i>
    <i>
      <x v="425"/>
    </i>
    <i>
      <x v="31"/>
    </i>
    <i>
      <x v="301"/>
    </i>
    <i>
      <x v="195"/>
    </i>
    <i>
      <x v="143"/>
    </i>
    <i>
      <x v="414"/>
    </i>
    <i>
      <x v="617"/>
    </i>
    <i>
      <x v="596"/>
    </i>
    <i>
      <x v="251"/>
    </i>
  </rowItems>
  <colItems count="1">
    <i/>
  </colItems>
  <pageFields count="1">
    <pageField fld="17" hier="-1"/>
  </pageFields>
  <dataFields count="1">
    <dataField name="Delivery time" fld="5" subtotal="average" baseField="2" baseItem="57" numFmtId="165"/>
  </dataFields>
  <pivotTableStyleInfo name="PivotStyleMedium9" showRowHeaders="1" showColHeaders="1" showRowStripes="1" showColStripes="1" showLastColumn="1"/>
  <filters count="1">
    <filter fld="2" type="count" evalOrder="-1" id="8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5" minRefreshableVersion="3" useAutoFormatting="1" rowGrandTotals="0" colGrandTotals="0" itemPrintTitles="1" createdVersion="5" indent="0" outline="1" outlineData="1" multipleFieldFilters="0" rowHeaderCaption="Restaurant">
  <location ref="P5:Q15" firstHeaderRow="1" firstDataRow="1" firstDataCol="1" rowPageCount="1" colPageCount="1"/>
  <pivotFields count="20">
    <pivotField showAll="0"/>
    <pivotField showAll="0"/>
    <pivotField axis="axisRow" showAll="0" measureFilter="1" sortType="ascending">
      <items count="622">
        <item x="138"/>
        <item x="339"/>
        <item x="274"/>
        <item x="441"/>
        <item x="11"/>
        <item x="238"/>
        <item x="271"/>
        <item x="430"/>
        <item x="379"/>
        <item x="286"/>
        <item x="500"/>
        <item x="22"/>
        <item x="23"/>
        <item x="291"/>
        <item x="145"/>
        <item x="7"/>
        <item x="55"/>
        <item x="473"/>
        <item x="243"/>
        <item x="332"/>
        <item x="479"/>
        <item x="397"/>
        <item x="553"/>
        <item x="580"/>
        <item x="399"/>
        <item x="337"/>
        <item x="555"/>
        <item x="112"/>
        <item x="509"/>
        <item x="592"/>
        <item x="199"/>
        <item x="229"/>
        <item x="518"/>
        <item x="227"/>
        <item x="597"/>
        <item x="487"/>
        <item x="376"/>
        <item x="591"/>
        <item x="331"/>
        <item x="462"/>
        <item x="469"/>
        <item x="54"/>
        <item x="91"/>
        <item x="211"/>
        <item x="604"/>
        <item x="355"/>
        <item x="285"/>
        <item x="273"/>
        <item x="85"/>
        <item x="603"/>
        <item x="542"/>
        <item x="468"/>
        <item x="426"/>
        <item x="317"/>
        <item x="0"/>
        <item x="586"/>
        <item x="159"/>
        <item x="292"/>
        <item x="257"/>
        <item x="451"/>
        <item x="74"/>
        <item x="65"/>
        <item x="393"/>
        <item x="45"/>
        <item x="609"/>
        <item x="51"/>
        <item x="571"/>
        <item x="464"/>
        <item x="156"/>
        <item x="88"/>
        <item x="574"/>
        <item x="594"/>
        <item x="556"/>
        <item x="390"/>
        <item x="562"/>
        <item x="512"/>
        <item x="71"/>
        <item x="566"/>
        <item x="298"/>
        <item x="370"/>
        <item x="491"/>
        <item x="309"/>
        <item x="363"/>
        <item x="335"/>
        <item x="289"/>
        <item x="475"/>
        <item x="452"/>
        <item x="350"/>
        <item x="478"/>
        <item x="264"/>
        <item x="106"/>
        <item x="466"/>
        <item x="8"/>
        <item x="252"/>
        <item x="143"/>
        <item x="585"/>
        <item x="552"/>
        <item x="2"/>
        <item x="485"/>
        <item x="92"/>
        <item x="222"/>
        <item x="538"/>
        <item x="447"/>
        <item x="595"/>
        <item x="348"/>
        <item x="559"/>
        <item x="405"/>
        <item x="437"/>
        <item x="94"/>
        <item x="130"/>
        <item x="515"/>
        <item x="367"/>
        <item x="198"/>
        <item x="343"/>
        <item x="266"/>
        <item x="128"/>
        <item x="616"/>
        <item x="21"/>
        <item x="18"/>
        <item x="493"/>
        <item x="442"/>
        <item x="511"/>
        <item x="267"/>
        <item x="419"/>
        <item x="147"/>
        <item x="53"/>
        <item x="165"/>
        <item x="154"/>
        <item x="168"/>
        <item x="228"/>
        <item x="410"/>
        <item x="72"/>
        <item x="43"/>
        <item x="283"/>
        <item x="579"/>
        <item x="569"/>
        <item x="181"/>
        <item x="84"/>
        <item x="37"/>
        <item x="532"/>
        <item x="4"/>
        <item x="476"/>
        <item x="398"/>
        <item x="172"/>
        <item x="494"/>
        <item x="495"/>
        <item x="524"/>
        <item x="496"/>
        <item x="260"/>
        <item x="304"/>
        <item x="174"/>
        <item x="5"/>
        <item x="237"/>
        <item x="58"/>
        <item x="358"/>
        <item x="360"/>
        <item x="345"/>
        <item x="25"/>
        <item x="461"/>
        <item x="192"/>
        <item x="28"/>
        <item x="20"/>
        <item x="117"/>
        <item x="587"/>
        <item x="356"/>
        <item x="612"/>
        <item x="193"/>
        <item x="573"/>
        <item x="153"/>
        <item x="311"/>
        <item x="418"/>
        <item x="76"/>
        <item x="541"/>
        <item x="182"/>
        <item x="620"/>
        <item x="516"/>
        <item x="196"/>
        <item x="383"/>
        <item x="610"/>
        <item x="104"/>
        <item x="52"/>
        <item x="87"/>
        <item x="575"/>
        <item x="600"/>
        <item x="150"/>
        <item x="531"/>
        <item x="102"/>
        <item x="519"/>
        <item x="596"/>
        <item x="581"/>
        <item x="294"/>
        <item x="105"/>
        <item x="428"/>
        <item x="522"/>
        <item x="460"/>
        <item x="98"/>
        <item x="207"/>
        <item x="256"/>
        <item x="244"/>
        <item x="73"/>
        <item x="78"/>
        <item x="167"/>
        <item x="458"/>
        <item x="160"/>
        <item x="68"/>
        <item x="403"/>
        <item x="312"/>
        <item x="577"/>
        <item x="169"/>
        <item x="536"/>
        <item x="366"/>
        <item x="321"/>
        <item x="265"/>
        <item x="459"/>
        <item x="506"/>
        <item x="157"/>
        <item x="411"/>
        <item x="517"/>
        <item x="136"/>
        <item x="178"/>
        <item x="438"/>
        <item x="59"/>
        <item x="423"/>
        <item x="326"/>
        <item x="415"/>
        <item x="122"/>
        <item x="329"/>
        <item x="187"/>
        <item x="582"/>
        <item x="239"/>
        <item x="347"/>
        <item x="486"/>
        <item x="501"/>
        <item x="249"/>
        <item x="381"/>
        <item x="149"/>
        <item x="3"/>
        <item x="208"/>
        <item x="607"/>
        <item x="378"/>
        <item x="161"/>
        <item x="100"/>
        <item x="576"/>
        <item x="142"/>
        <item x="63"/>
        <item x="186"/>
        <item x="281"/>
        <item x="375"/>
        <item x="212"/>
        <item x="277"/>
        <item x="225"/>
        <item x="126"/>
        <item x="33"/>
        <item x="308"/>
        <item x="528"/>
        <item x="502"/>
        <item x="34"/>
        <item x="392"/>
        <item x="141"/>
        <item x="269"/>
        <item x="97"/>
        <item x="234"/>
        <item x="505"/>
        <item x="429"/>
        <item x="140"/>
        <item x="440"/>
        <item x="333"/>
        <item x="346"/>
        <item x="372"/>
        <item x="31"/>
        <item x="602"/>
        <item x="320"/>
        <item x="163"/>
        <item x="349"/>
        <item x="364"/>
        <item x="444"/>
        <item x="250"/>
        <item x="471"/>
        <item x="230"/>
        <item x="404"/>
        <item x="572"/>
        <item x="344"/>
        <item x="507"/>
        <item x="162"/>
        <item x="412"/>
        <item x="537"/>
        <item x="111"/>
        <item x="425"/>
        <item x="583"/>
        <item x="66"/>
        <item x="301"/>
        <item x="530"/>
        <item x="380"/>
        <item x="481"/>
        <item x="253"/>
        <item x="246"/>
        <item x="510"/>
        <item x="421"/>
        <item x="82"/>
        <item x="608"/>
        <item x="288"/>
        <item x="109"/>
        <item x="432"/>
        <item x="223"/>
        <item x="75"/>
        <item x="110"/>
        <item x="504"/>
        <item x="262"/>
        <item x="359"/>
        <item x="290"/>
        <item x="567"/>
        <item x="70"/>
        <item x="177"/>
        <item x="200"/>
        <item x="93"/>
        <item x="618"/>
        <item x="617"/>
        <item x="205"/>
        <item x="47"/>
        <item x="216"/>
        <item x="231"/>
        <item x="527"/>
        <item x="120"/>
        <item x="296"/>
        <item x="497"/>
        <item x="44"/>
        <item x="276"/>
        <item x="251"/>
        <item x="241"/>
        <item x="448"/>
        <item x="202"/>
        <item x="220"/>
        <item x="268"/>
        <item x="13"/>
        <item x="454"/>
        <item x="79"/>
        <item x="50"/>
        <item x="195"/>
        <item x="247"/>
        <item x="385"/>
        <item x="463"/>
        <item x="470"/>
        <item x="6"/>
        <item x="155"/>
        <item x="394"/>
        <item x="488"/>
        <item x="46"/>
        <item x="204"/>
        <item x="436"/>
        <item x="589"/>
        <item x="24"/>
        <item x="123"/>
        <item x="314"/>
        <item x="424"/>
        <item x="219"/>
        <item x="330"/>
        <item x="472"/>
        <item x="323"/>
        <item x="550"/>
        <item x="297"/>
        <item x="533"/>
        <item x="416"/>
        <item x="601"/>
        <item x="365"/>
        <item x="36"/>
        <item x="307"/>
        <item x="302"/>
        <item x="443"/>
        <item x="565"/>
        <item x="188"/>
        <item x="599"/>
        <item x="275"/>
        <item x="158"/>
        <item x="334"/>
        <item x="293"/>
        <item x="81"/>
        <item x="387"/>
        <item x="422"/>
        <item x="534"/>
        <item x="15"/>
        <item x="563"/>
        <item x="319"/>
        <item x="489"/>
        <item x="77"/>
        <item x="561"/>
        <item x="482"/>
        <item x="64"/>
        <item x="10"/>
        <item x="139"/>
        <item x="315"/>
        <item x="325"/>
        <item x="615"/>
        <item x="242"/>
        <item x="272"/>
        <item x="171"/>
        <item x="558"/>
        <item x="352"/>
        <item x="201"/>
        <item x="95"/>
        <item x="166"/>
        <item x="435"/>
        <item x="115"/>
        <item x="373"/>
        <item x="132"/>
        <item x="409"/>
        <item x="584"/>
        <item x="16"/>
        <item x="413"/>
        <item x="336"/>
        <item x="144"/>
        <item x="318"/>
        <item x="236"/>
        <item x="526"/>
        <item x="407"/>
        <item x="261"/>
        <item x="614"/>
        <item x="384"/>
        <item x="57"/>
        <item x="371"/>
        <item x="26"/>
        <item x="439"/>
        <item x="327"/>
        <item x="377"/>
        <item x="525"/>
        <item x="340"/>
        <item x="233"/>
        <item x="554"/>
        <item x="396"/>
        <item x="564"/>
        <item x="19"/>
        <item x="190"/>
        <item x="299"/>
        <item x="184"/>
        <item x="503"/>
        <item x="578"/>
        <item x="456"/>
        <item x="551"/>
        <item x="484"/>
        <item x="341"/>
        <item x="401"/>
        <item x="613"/>
        <item x="175"/>
        <item x="431"/>
        <item x="328"/>
        <item x="170"/>
        <item x="191"/>
        <item x="41"/>
        <item x="148"/>
        <item x="67"/>
        <item x="114"/>
        <item x="96"/>
        <item x="118"/>
        <item x="224"/>
        <item x="306"/>
        <item x="278"/>
        <item x="313"/>
        <item x="474"/>
        <item x="457"/>
        <item x="152"/>
        <item x="374"/>
        <item x="316"/>
        <item x="35"/>
        <item x="406"/>
        <item x="83"/>
        <item x="357"/>
        <item x="427"/>
        <item x="490"/>
        <item x="86"/>
        <item x="303"/>
        <item x="259"/>
        <item x="606"/>
        <item x="310"/>
        <item x="197"/>
        <item x="351"/>
        <item x="449"/>
        <item x="29"/>
        <item x="113"/>
        <item x="514"/>
        <item x="119"/>
        <item x="434"/>
        <item x="619"/>
        <item x="30"/>
        <item x="183"/>
        <item x="89"/>
        <item x="540"/>
        <item x="402"/>
        <item x="270"/>
        <item x="445"/>
        <item x="354"/>
        <item x="209"/>
        <item x="235"/>
        <item x="535"/>
        <item x="455"/>
        <item x="108"/>
        <item x="498"/>
        <item x="593"/>
        <item x="513"/>
        <item x="116"/>
        <item x="245"/>
        <item x="508"/>
        <item x="446"/>
        <item x="382"/>
        <item x="545"/>
        <item x="450"/>
        <item x="414"/>
        <item x="282"/>
        <item x="180"/>
        <item x="605"/>
        <item x="287"/>
        <item x="49"/>
        <item x="14"/>
        <item x="391"/>
        <item x="218"/>
        <item x="284"/>
        <item x="300"/>
        <item x="151"/>
        <item x="529"/>
        <item x="48"/>
        <item x="492"/>
        <item x="9"/>
        <item x="295"/>
        <item x="369"/>
        <item x="279"/>
        <item x="99"/>
        <item x="477"/>
        <item x="203"/>
        <item x="137"/>
        <item x="280"/>
        <item x="60"/>
        <item x="173"/>
        <item x="194"/>
        <item x="62"/>
        <item x="129"/>
        <item x="368"/>
        <item x="548"/>
        <item x="324"/>
        <item x="305"/>
        <item x="338"/>
        <item x="263"/>
        <item x="417"/>
        <item x="215"/>
        <item x="164"/>
        <item x="103"/>
        <item x="568"/>
        <item x="388"/>
        <item x="547"/>
        <item x="42"/>
        <item x="80"/>
        <item x="520"/>
        <item x="543"/>
        <item x="107"/>
        <item x="400"/>
        <item x="179"/>
        <item x="560"/>
        <item x="125"/>
        <item x="217"/>
        <item x="353"/>
        <item x="549"/>
        <item x="544"/>
        <item x="221"/>
        <item x="611"/>
        <item x="361"/>
        <item x="185"/>
        <item x="38"/>
        <item x="590"/>
        <item x="408"/>
        <item x="546"/>
        <item x="248"/>
        <item x="39"/>
        <item x="12"/>
        <item x="258"/>
        <item x="61"/>
        <item x="480"/>
        <item x="69"/>
        <item x="240"/>
        <item x="467"/>
        <item x="40"/>
        <item x="127"/>
        <item x="206"/>
        <item x="523"/>
        <item x="189"/>
        <item x="521"/>
        <item x="342"/>
        <item x="210"/>
        <item x="499"/>
        <item x="101"/>
        <item x="1"/>
        <item x="27"/>
        <item x="90"/>
        <item x="32"/>
        <item x="254"/>
        <item x="433"/>
        <item x="226"/>
        <item x="131"/>
        <item x="133"/>
        <item x="386"/>
        <item x="214"/>
        <item x="389"/>
        <item x="395"/>
        <item x="588"/>
        <item x="134"/>
        <item x="465"/>
        <item x="420"/>
        <item x="124"/>
        <item x="146"/>
        <item x="213"/>
        <item x="598"/>
        <item x="453"/>
        <item x="483"/>
        <item x="362"/>
        <item x="135"/>
        <item x="255"/>
        <item x="570"/>
        <item x="232"/>
        <item x="176"/>
        <item x="557"/>
        <item x="17"/>
        <item x="56"/>
        <item x="121"/>
        <item x="322"/>
        <item x="53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/>
    <pivotField numFmtId="164" showAll="0"/>
    <pivotField dataField="1" numFmtId="165" showAll="0"/>
    <pivotField numFmtId="167" showAll="0"/>
    <pivotField numFmtId="167" showAll="0"/>
    <pivotField showAll="0"/>
    <pivotField showAll="0"/>
    <pivotField numFmtId="167" showAll="0"/>
    <pivotField numFmtId="167" showAll="0"/>
    <pivotField numFmtId="167" showAll="0"/>
    <pivotField numFmtId="167" showAll="0"/>
    <pivotField numFmtId="167" showAll="0"/>
    <pivotField numFmtId="167" showAll="0"/>
    <pivotField showAll="0"/>
    <pivotField name="Orders_filter" axis="axisPage" multipleItemSelectionAllowed="1" showAll="0">
      <items count="7">
        <item h="1" x="0"/>
        <item h="1" x="2"/>
        <item x="1"/>
        <item x="3"/>
        <item x="4"/>
        <item x="5"/>
        <item t="default"/>
      </items>
    </pivotField>
    <pivotField dragToRow="0" dragToCol="0" dragToPage="0" showAll="0" defaultSubtotal="0"/>
    <pivotField dragToRow="0" dragToCol="0" dragToPage="0" showAll="0" defaultSubtotal="0"/>
  </pivotFields>
  <rowFields count="1">
    <field x="2"/>
  </rowFields>
  <rowItems count="10">
    <i>
      <x v="448"/>
    </i>
    <i>
      <x v="295"/>
    </i>
    <i>
      <x v="458"/>
    </i>
    <i>
      <x v="343"/>
    </i>
    <i>
      <x v="305"/>
    </i>
    <i>
      <x v="399"/>
    </i>
    <i>
      <x v="57"/>
    </i>
    <i>
      <x v="33"/>
    </i>
    <i>
      <x v="546"/>
    </i>
    <i>
      <x v="276"/>
    </i>
  </rowItems>
  <colItems count="1">
    <i/>
  </colItems>
  <pageFields count="1">
    <pageField fld="17" hier="-1"/>
  </pageFields>
  <dataFields count="1">
    <dataField name="Delivery time" fld="5" subtotal="average" baseField="2" baseItem="57" numFmtId="165"/>
  </dataFields>
  <pivotTableStyleInfo name="PivotStyleMedium9" showRowHeaders="1" showColHeaders="1" showRowStripes="1" showColStripes="1" showLastColumn="1"/>
  <filters count="1">
    <filter fld="2" type="count" evalOrder="-1" id="7" iMeasureFld="0">
      <autoFilter ref="A1">
        <filterColumn colId="0">
          <top10 top="0"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5" minRefreshableVersion="3" useAutoFormatting="1" rowGrandTotals="0" colGrandTotals="0" itemPrintTitles="1" createdVersion="5" indent="0" outline="1" outlineData="1" multipleFieldFilters="0" rowHeaderCaption="Restaurant">
  <location ref="A5:B82" firstHeaderRow="1" firstDataRow="1" firstDataCol="1" rowPageCount="1" colPageCount="1"/>
  <pivotFields count="20">
    <pivotField showAll="0"/>
    <pivotField showAll="0"/>
    <pivotField axis="axisRow" dataField="1" showAll="0" sortType="descending">
      <items count="622">
        <item x="138"/>
        <item x="339"/>
        <item x="274"/>
        <item x="441"/>
        <item x="11"/>
        <item x="238"/>
        <item x="271"/>
        <item x="430"/>
        <item x="379"/>
        <item x="286"/>
        <item x="500"/>
        <item x="22"/>
        <item x="23"/>
        <item x="291"/>
        <item x="145"/>
        <item x="7"/>
        <item x="55"/>
        <item x="473"/>
        <item x="243"/>
        <item x="332"/>
        <item x="479"/>
        <item x="397"/>
        <item x="553"/>
        <item x="580"/>
        <item x="399"/>
        <item x="337"/>
        <item x="555"/>
        <item x="112"/>
        <item x="509"/>
        <item x="592"/>
        <item x="199"/>
        <item x="229"/>
        <item x="518"/>
        <item x="227"/>
        <item x="597"/>
        <item x="487"/>
        <item x="376"/>
        <item x="591"/>
        <item x="331"/>
        <item x="462"/>
        <item x="469"/>
        <item x="54"/>
        <item x="91"/>
        <item x="211"/>
        <item x="604"/>
        <item x="355"/>
        <item x="285"/>
        <item x="273"/>
        <item x="85"/>
        <item x="603"/>
        <item x="542"/>
        <item x="468"/>
        <item x="426"/>
        <item x="317"/>
        <item x="0"/>
        <item x="586"/>
        <item x="159"/>
        <item x="292"/>
        <item x="257"/>
        <item x="451"/>
        <item x="74"/>
        <item x="65"/>
        <item x="393"/>
        <item x="45"/>
        <item x="609"/>
        <item x="51"/>
        <item x="571"/>
        <item x="464"/>
        <item x="156"/>
        <item x="88"/>
        <item x="574"/>
        <item x="594"/>
        <item x="556"/>
        <item x="390"/>
        <item x="562"/>
        <item x="512"/>
        <item x="71"/>
        <item x="566"/>
        <item x="298"/>
        <item x="370"/>
        <item x="491"/>
        <item x="309"/>
        <item x="363"/>
        <item x="335"/>
        <item x="289"/>
        <item x="475"/>
        <item x="452"/>
        <item x="350"/>
        <item x="478"/>
        <item x="264"/>
        <item x="106"/>
        <item x="466"/>
        <item x="8"/>
        <item x="252"/>
        <item x="143"/>
        <item x="585"/>
        <item x="552"/>
        <item x="2"/>
        <item x="485"/>
        <item x="92"/>
        <item x="222"/>
        <item x="538"/>
        <item x="447"/>
        <item x="595"/>
        <item x="348"/>
        <item x="559"/>
        <item x="405"/>
        <item x="437"/>
        <item x="94"/>
        <item x="130"/>
        <item x="515"/>
        <item x="367"/>
        <item x="198"/>
        <item x="343"/>
        <item x="266"/>
        <item x="128"/>
        <item x="616"/>
        <item x="21"/>
        <item x="18"/>
        <item x="493"/>
        <item x="442"/>
        <item x="511"/>
        <item x="267"/>
        <item x="419"/>
        <item x="147"/>
        <item x="53"/>
        <item x="165"/>
        <item x="154"/>
        <item x="168"/>
        <item x="228"/>
        <item x="410"/>
        <item x="72"/>
        <item x="43"/>
        <item x="283"/>
        <item x="579"/>
        <item x="569"/>
        <item x="181"/>
        <item x="84"/>
        <item x="37"/>
        <item x="532"/>
        <item x="4"/>
        <item x="476"/>
        <item x="398"/>
        <item x="172"/>
        <item x="494"/>
        <item x="495"/>
        <item x="524"/>
        <item x="496"/>
        <item x="260"/>
        <item x="304"/>
        <item x="174"/>
        <item x="5"/>
        <item x="237"/>
        <item x="58"/>
        <item x="358"/>
        <item x="360"/>
        <item x="345"/>
        <item x="25"/>
        <item x="461"/>
        <item x="192"/>
        <item x="28"/>
        <item x="20"/>
        <item x="117"/>
        <item x="587"/>
        <item x="356"/>
        <item x="612"/>
        <item x="193"/>
        <item x="573"/>
        <item x="153"/>
        <item x="311"/>
        <item x="418"/>
        <item x="76"/>
        <item x="541"/>
        <item x="182"/>
        <item x="620"/>
        <item x="516"/>
        <item x="196"/>
        <item x="383"/>
        <item x="610"/>
        <item x="104"/>
        <item x="52"/>
        <item x="87"/>
        <item x="575"/>
        <item x="600"/>
        <item x="150"/>
        <item x="531"/>
        <item x="102"/>
        <item x="519"/>
        <item x="596"/>
        <item x="581"/>
        <item x="294"/>
        <item x="105"/>
        <item x="428"/>
        <item x="522"/>
        <item x="460"/>
        <item x="98"/>
        <item x="207"/>
        <item x="256"/>
        <item x="244"/>
        <item x="73"/>
        <item x="78"/>
        <item x="167"/>
        <item x="458"/>
        <item x="160"/>
        <item x="68"/>
        <item x="403"/>
        <item x="312"/>
        <item x="577"/>
        <item x="169"/>
        <item x="536"/>
        <item x="366"/>
        <item x="321"/>
        <item x="265"/>
        <item x="459"/>
        <item x="506"/>
        <item x="157"/>
        <item x="411"/>
        <item x="517"/>
        <item x="136"/>
        <item x="178"/>
        <item x="438"/>
        <item x="59"/>
        <item x="423"/>
        <item x="326"/>
        <item x="415"/>
        <item x="122"/>
        <item x="329"/>
        <item x="187"/>
        <item x="582"/>
        <item x="239"/>
        <item x="347"/>
        <item x="486"/>
        <item x="501"/>
        <item x="249"/>
        <item x="381"/>
        <item x="149"/>
        <item x="3"/>
        <item x="208"/>
        <item x="607"/>
        <item x="378"/>
        <item x="161"/>
        <item x="100"/>
        <item x="576"/>
        <item x="142"/>
        <item x="63"/>
        <item x="186"/>
        <item x="281"/>
        <item x="375"/>
        <item x="212"/>
        <item x="277"/>
        <item x="225"/>
        <item x="126"/>
        <item x="33"/>
        <item x="308"/>
        <item x="528"/>
        <item x="502"/>
        <item x="34"/>
        <item x="392"/>
        <item x="141"/>
        <item x="269"/>
        <item x="97"/>
        <item x="234"/>
        <item x="505"/>
        <item x="429"/>
        <item x="140"/>
        <item x="440"/>
        <item x="333"/>
        <item x="346"/>
        <item x="372"/>
        <item x="31"/>
        <item x="602"/>
        <item x="320"/>
        <item x="163"/>
        <item x="349"/>
        <item x="364"/>
        <item x="444"/>
        <item x="250"/>
        <item x="471"/>
        <item x="230"/>
        <item x="404"/>
        <item x="572"/>
        <item x="344"/>
        <item x="507"/>
        <item x="162"/>
        <item x="412"/>
        <item x="537"/>
        <item x="111"/>
        <item x="425"/>
        <item x="583"/>
        <item x="66"/>
        <item x="301"/>
        <item x="530"/>
        <item x="380"/>
        <item x="481"/>
        <item x="253"/>
        <item x="246"/>
        <item x="510"/>
        <item x="421"/>
        <item x="82"/>
        <item x="608"/>
        <item x="288"/>
        <item x="109"/>
        <item x="432"/>
        <item x="223"/>
        <item x="75"/>
        <item x="110"/>
        <item x="504"/>
        <item x="262"/>
        <item x="359"/>
        <item x="290"/>
        <item x="567"/>
        <item x="70"/>
        <item x="177"/>
        <item x="200"/>
        <item x="93"/>
        <item x="618"/>
        <item x="617"/>
        <item x="205"/>
        <item x="47"/>
        <item x="216"/>
        <item x="231"/>
        <item x="527"/>
        <item x="120"/>
        <item x="296"/>
        <item x="497"/>
        <item x="44"/>
        <item x="276"/>
        <item x="251"/>
        <item x="241"/>
        <item x="448"/>
        <item x="202"/>
        <item x="220"/>
        <item x="268"/>
        <item x="13"/>
        <item x="454"/>
        <item x="79"/>
        <item x="50"/>
        <item x="195"/>
        <item x="247"/>
        <item x="385"/>
        <item x="463"/>
        <item x="470"/>
        <item x="6"/>
        <item x="155"/>
        <item x="394"/>
        <item x="488"/>
        <item x="46"/>
        <item x="204"/>
        <item x="436"/>
        <item x="589"/>
        <item x="24"/>
        <item x="123"/>
        <item x="314"/>
        <item x="424"/>
        <item x="219"/>
        <item x="330"/>
        <item x="472"/>
        <item x="323"/>
        <item x="550"/>
        <item x="297"/>
        <item x="533"/>
        <item x="416"/>
        <item x="601"/>
        <item x="365"/>
        <item x="36"/>
        <item x="307"/>
        <item x="302"/>
        <item x="443"/>
        <item x="565"/>
        <item x="188"/>
        <item x="599"/>
        <item x="275"/>
        <item x="158"/>
        <item x="334"/>
        <item x="293"/>
        <item x="81"/>
        <item x="387"/>
        <item x="422"/>
        <item x="534"/>
        <item x="15"/>
        <item x="563"/>
        <item x="319"/>
        <item x="489"/>
        <item x="77"/>
        <item x="561"/>
        <item x="482"/>
        <item x="64"/>
        <item x="10"/>
        <item x="139"/>
        <item x="315"/>
        <item x="325"/>
        <item x="615"/>
        <item x="242"/>
        <item x="272"/>
        <item x="171"/>
        <item x="558"/>
        <item x="352"/>
        <item x="201"/>
        <item x="95"/>
        <item x="166"/>
        <item x="435"/>
        <item x="115"/>
        <item x="373"/>
        <item x="132"/>
        <item x="409"/>
        <item x="584"/>
        <item x="16"/>
        <item x="413"/>
        <item x="336"/>
        <item x="144"/>
        <item x="318"/>
        <item x="236"/>
        <item x="526"/>
        <item x="407"/>
        <item x="261"/>
        <item x="614"/>
        <item x="384"/>
        <item x="57"/>
        <item x="371"/>
        <item x="26"/>
        <item x="439"/>
        <item x="327"/>
        <item x="377"/>
        <item x="525"/>
        <item x="340"/>
        <item x="233"/>
        <item x="554"/>
        <item x="396"/>
        <item x="564"/>
        <item x="19"/>
        <item x="190"/>
        <item x="299"/>
        <item x="184"/>
        <item x="503"/>
        <item x="578"/>
        <item x="456"/>
        <item x="551"/>
        <item x="484"/>
        <item x="341"/>
        <item x="401"/>
        <item x="613"/>
        <item x="175"/>
        <item x="431"/>
        <item x="328"/>
        <item x="170"/>
        <item x="191"/>
        <item x="41"/>
        <item x="148"/>
        <item x="67"/>
        <item x="114"/>
        <item x="96"/>
        <item x="118"/>
        <item x="224"/>
        <item x="306"/>
        <item x="278"/>
        <item x="313"/>
        <item x="474"/>
        <item x="457"/>
        <item x="152"/>
        <item x="374"/>
        <item x="316"/>
        <item x="35"/>
        <item x="406"/>
        <item x="83"/>
        <item x="357"/>
        <item x="427"/>
        <item x="490"/>
        <item x="86"/>
        <item x="303"/>
        <item x="259"/>
        <item x="606"/>
        <item x="310"/>
        <item x="197"/>
        <item x="351"/>
        <item x="449"/>
        <item x="29"/>
        <item x="113"/>
        <item x="514"/>
        <item x="119"/>
        <item x="434"/>
        <item x="619"/>
        <item x="30"/>
        <item x="183"/>
        <item x="89"/>
        <item x="540"/>
        <item x="402"/>
        <item x="270"/>
        <item x="445"/>
        <item x="354"/>
        <item x="209"/>
        <item x="235"/>
        <item x="535"/>
        <item x="455"/>
        <item x="108"/>
        <item x="498"/>
        <item x="593"/>
        <item x="513"/>
        <item x="116"/>
        <item x="245"/>
        <item x="508"/>
        <item x="446"/>
        <item x="382"/>
        <item x="545"/>
        <item x="450"/>
        <item x="414"/>
        <item x="282"/>
        <item x="180"/>
        <item x="605"/>
        <item x="287"/>
        <item x="49"/>
        <item x="14"/>
        <item x="391"/>
        <item x="218"/>
        <item x="284"/>
        <item x="300"/>
        <item x="151"/>
        <item x="529"/>
        <item x="48"/>
        <item x="492"/>
        <item x="9"/>
        <item x="295"/>
        <item x="369"/>
        <item x="279"/>
        <item x="99"/>
        <item x="477"/>
        <item x="203"/>
        <item x="137"/>
        <item x="280"/>
        <item x="60"/>
        <item x="173"/>
        <item x="194"/>
        <item x="62"/>
        <item x="129"/>
        <item x="368"/>
        <item x="548"/>
        <item x="324"/>
        <item x="305"/>
        <item x="338"/>
        <item x="263"/>
        <item x="417"/>
        <item x="215"/>
        <item x="164"/>
        <item x="103"/>
        <item x="568"/>
        <item x="388"/>
        <item x="547"/>
        <item x="42"/>
        <item x="80"/>
        <item x="520"/>
        <item x="543"/>
        <item x="107"/>
        <item x="400"/>
        <item x="179"/>
        <item x="560"/>
        <item x="125"/>
        <item x="217"/>
        <item x="353"/>
        <item x="549"/>
        <item x="544"/>
        <item x="221"/>
        <item x="611"/>
        <item x="361"/>
        <item x="185"/>
        <item x="38"/>
        <item x="590"/>
        <item x="408"/>
        <item x="546"/>
        <item x="248"/>
        <item x="39"/>
        <item x="12"/>
        <item x="258"/>
        <item x="61"/>
        <item x="480"/>
        <item x="69"/>
        <item x="240"/>
        <item x="467"/>
        <item x="40"/>
        <item x="127"/>
        <item x="206"/>
        <item x="523"/>
        <item x="189"/>
        <item x="521"/>
        <item x="342"/>
        <item x="210"/>
        <item x="499"/>
        <item x="101"/>
        <item x="1"/>
        <item x="27"/>
        <item x="90"/>
        <item x="32"/>
        <item x="254"/>
        <item x="433"/>
        <item x="226"/>
        <item x="131"/>
        <item x="133"/>
        <item x="386"/>
        <item x="214"/>
        <item x="389"/>
        <item x="395"/>
        <item x="588"/>
        <item x="134"/>
        <item x="465"/>
        <item x="420"/>
        <item x="124"/>
        <item x="146"/>
        <item x="213"/>
        <item x="598"/>
        <item x="453"/>
        <item x="483"/>
        <item x="362"/>
        <item x="135"/>
        <item x="255"/>
        <item x="570"/>
        <item x="232"/>
        <item x="176"/>
        <item x="557"/>
        <item x="17"/>
        <item x="56"/>
        <item x="121"/>
        <item x="322"/>
        <item x="53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/>
    <pivotField numFmtId="164" showAll="0"/>
    <pivotField numFmtId="165" showAll="0"/>
    <pivotField numFmtId="167" showAll="0"/>
    <pivotField numFmtId="167" showAll="0"/>
    <pivotField showAll="0"/>
    <pivotField showAll="0"/>
    <pivotField numFmtId="167" showAll="0"/>
    <pivotField numFmtId="167" showAll="0"/>
    <pivotField numFmtId="167" showAll="0"/>
    <pivotField numFmtId="167" showAll="0"/>
    <pivotField numFmtId="167" showAll="0"/>
    <pivotField numFmtId="167" showAll="0"/>
    <pivotField showAll="0"/>
    <pivotField name="Orders_filter" axis="axisPage" multipleItemSelectionAllowed="1" showAll="0">
      <items count="7">
        <item h="1" x="0"/>
        <item h="1" x="2"/>
        <item x="1"/>
        <item x="3"/>
        <item x="4"/>
        <item x="5"/>
        <item t="default"/>
      </items>
    </pivotField>
    <pivotField dragToRow="0" dragToCol="0" dragToPage="0" showAll="0" defaultSubtotal="0"/>
    <pivotField dragToRow="0" dragToCol="0" dragToPage="0" showAll="0" defaultSubtotal="0"/>
  </pivotFields>
  <rowFields count="1">
    <field x="2"/>
  </rowFields>
  <rowItems count="77">
    <i>
      <x v="425"/>
    </i>
    <i>
      <x v="572"/>
    </i>
    <i>
      <x v="610"/>
    </i>
    <i>
      <x v="137"/>
    </i>
    <i>
      <x v="186"/>
    </i>
    <i>
      <x v="303"/>
    </i>
    <i>
      <x v="176"/>
    </i>
    <i>
      <x v="154"/>
    </i>
    <i>
      <x v="21"/>
    </i>
    <i>
      <x v="48"/>
    </i>
    <i>
      <x v="596"/>
    </i>
    <i>
      <x v="204"/>
    </i>
    <i>
      <x v="406"/>
    </i>
    <i>
      <x v="276"/>
    </i>
    <i>
      <x v="483"/>
    </i>
    <i>
      <x v="100"/>
    </i>
    <i>
      <x v="595"/>
    </i>
    <i>
      <x v="617"/>
    </i>
    <i>
      <x v="603"/>
    </i>
    <i>
      <x v="372"/>
    </i>
    <i>
      <x v="403"/>
    </i>
    <i>
      <x v="305"/>
    </i>
    <i>
      <x v="432"/>
    </i>
    <i>
      <x v="586"/>
    </i>
    <i>
      <x v="486"/>
    </i>
    <i>
      <x v="195"/>
    </i>
    <i>
      <x v="408"/>
    </i>
    <i>
      <x v="201"/>
    </i>
    <i>
      <x v="458"/>
    </i>
    <i>
      <x v="42"/>
    </i>
    <i>
      <x v="531"/>
    </i>
    <i>
      <x v="208"/>
    </i>
    <i>
      <x v="607"/>
    </i>
    <i>
      <x v="211"/>
    </i>
    <i>
      <x v="417"/>
    </i>
    <i>
      <x v="236"/>
    </i>
    <i>
      <x v="446"/>
    </i>
    <i>
      <x v="251"/>
    </i>
    <i>
      <x v="140"/>
    </i>
    <i>
      <x v="267"/>
    </i>
    <i>
      <x v="514"/>
    </i>
    <i>
      <x v="12"/>
    </i>
    <i>
      <x v="546"/>
    </i>
    <i>
      <x v="285"/>
    </i>
    <i>
      <x v="30"/>
    </i>
    <i>
      <x v="295"/>
    </i>
    <i>
      <x v="614"/>
    </i>
    <i>
      <x v="300"/>
    </i>
    <i>
      <x v="414"/>
    </i>
    <i>
      <x v="301"/>
    </i>
    <i>
      <x v="7"/>
    </i>
    <i>
      <x v="57"/>
    </i>
    <i>
      <x v="439"/>
    </i>
    <i>
      <x v="60"/>
    </i>
    <i>
      <x v="448"/>
    </i>
    <i>
      <x v="6"/>
    </i>
    <i>
      <x v="468"/>
    </i>
    <i>
      <x v="341"/>
    </i>
    <i>
      <x v="485"/>
    </i>
    <i>
      <x v="343"/>
    </i>
    <i>
      <x v="490"/>
    </i>
    <i>
      <x v="352"/>
    </i>
    <i>
      <x v="526"/>
    </i>
    <i>
      <x v="81"/>
    </i>
    <i>
      <x v="541"/>
    </i>
    <i>
      <x v="386"/>
    </i>
    <i>
      <x v="143"/>
    </i>
    <i>
      <x v="398"/>
    </i>
    <i>
      <x v="149"/>
    </i>
    <i>
      <x v="399"/>
    </i>
    <i>
      <x v="169"/>
    </i>
    <i>
      <x v="401"/>
    </i>
    <i>
      <x v="31"/>
    </i>
    <i>
      <x v="14"/>
    </i>
    <i>
      <x v="33"/>
    </i>
    <i>
      <x v="129"/>
    </i>
    <i>
      <x v="309"/>
    </i>
  </rowItems>
  <colItems count="1">
    <i/>
  </colItems>
  <pageFields count="1">
    <pageField fld="17" hier="-1"/>
  </pageFields>
  <dataFields count="1">
    <dataField name="Orders" fld="2" subtotal="count" baseField="2" baseItem="434"/>
  </dataFields>
  <pivotTableStyleInfo name="PivotStyleMedium9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5" minRefreshableVersion="3" useAutoFormatting="1" rowGrandTotals="0" colGrandTotals="0" itemPrintTitles="1" createdVersion="5" indent="0" outline="1" outlineData="1" multipleFieldFilters="0" rowHeaderCaption="Restaurant">
  <location ref="M5:N15" firstHeaderRow="1" firstDataRow="1" firstDataCol="1" rowPageCount="1" colPageCount="1"/>
  <pivotFields count="20">
    <pivotField showAll="0"/>
    <pivotField showAll="0"/>
    <pivotField axis="axisRow" showAll="0" measureFilter="1" sortType="descending">
      <items count="622">
        <item x="138"/>
        <item x="339"/>
        <item x="274"/>
        <item x="441"/>
        <item x="11"/>
        <item x="238"/>
        <item x="271"/>
        <item x="430"/>
        <item x="379"/>
        <item x="286"/>
        <item x="500"/>
        <item x="22"/>
        <item x="23"/>
        <item x="291"/>
        <item x="145"/>
        <item x="7"/>
        <item x="55"/>
        <item x="473"/>
        <item x="243"/>
        <item x="332"/>
        <item x="479"/>
        <item x="397"/>
        <item x="553"/>
        <item x="580"/>
        <item x="399"/>
        <item x="337"/>
        <item x="555"/>
        <item x="112"/>
        <item x="509"/>
        <item x="592"/>
        <item x="199"/>
        <item x="229"/>
        <item x="518"/>
        <item x="227"/>
        <item x="597"/>
        <item x="487"/>
        <item x="376"/>
        <item x="591"/>
        <item x="331"/>
        <item x="462"/>
        <item x="469"/>
        <item x="54"/>
        <item x="91"/>
        <item x="211"/>
        <item x="604"/>
        <item x="355"/>
        <item x="285"/>
        <item x="273"/>
        <item x="85"/>
        <item x="603"/>
        <item x="542"/>
        <item x="468"/>
        <item x="426"/>
        <item x="317"/>
        <item x="0"/>
        <item x="586"/>
        <item x="159"/>
        <item x="292"/>
        <item x="257"/>
        <item x="451"/>
        <item x="74"/>
        <item x="65"/>
        <item x="393"/>
        <item x="45"/>
        <item x="609"/>
        <item x="51"/>
        <item x="571"/>
        <item x="464"/>
        <item x="156"/>
        <item x="88"/>
        <item x="574"/>
        <item x="594"/>
        <item x="556"/>
        <item x="390"/>
        <item x="562"/>
        <item x="512"/>
        <item x="71"/>
        <item x="566"/>
        <item x="298"/>
        <item x="370"/>
        <item x="491"/>
        <item x="309"/>
        <item x="363"/>
        <item x="335"/>
        <item x="289"/>
        <item x="475"/>
        <item x="452"/>
        <item x="350"/>
        <item x="478"/>
        <item x="264"/>
        <item x="106"/>
        <item x="466"/>
        <item x="8"/>
        <item x="252"/>
        <item x="143"/>
        <item x="585"/>
        <item x="552"/>
        <item x="2"/>
        <item x="485"/>
        <item x="92"/>
        <item x="222"/>
        <item x="538"/>
        <item x="447"/>
        <item x="595"/>
        <item x="348"/>
        <item x="559"/>
        <item x="405"/>
        <item x="437"/>
        <item x="94"/>
        <item x="130"/>
        <item x="515"/>
        <item x="367"/>
        <item x="198"/>
        <item x="343"/>
        <item x="266"/>
        <item x="128"/>
        <item x="616"/>
        <item x="21"/>
        <item x="18"/>
        <item x="493"/>
        <item x="442"/>
        <item x="511"/>
        <item x="267"/>
        <item x="419"/>
        <item x="147"/>
        <item x="53"/>
        <item x="165"/>
        <item x="154"/>
        <item x="168"/>
        <item x="228"/>
        <item x="410"/>
        <item x="72"/>
        <item x="43"/>
        <item x="283"/>
        <item x="579"/>
        <item x="569"/>
        <item x="181"/>
        <item x="84"/>
        <item x="37"/>
        <item x="532"/>
        <item x="4"/>
        <item x="476"/>
        <item x="398"/>
        <item x="172"/>
        <item x="494"/>
        <item x="495"/>
        <item x="524"/>
        <item x="496"/>
        <item x="260"/>
        <item x="304"/>
        <item x="174"/>
        <item x="5"/>
        <item x="237"/>
        <item x="58"/>
        <item x="358"/>
        <item x="360"/>
        <item x="345"/>
        <item x="25"/>
        <item x="461"/>
        <item x="192"/>
        <item x="28"/>
        <item x="20"/>
        <item x="117"/>
        <item x="587"/>
        <item x="356"/>
        <item x="612"/>
        <item x="193"/>
        <item x="573"/>
        <item x="153"/>
        <item x="311"/>
        <item x="418"/>
        <item x="76"/>
        <item x="541"/>
        <item x="182"/>
        <item x="620"/>
        <item x="516"/>
        <item x="196"/>
        <item x="383"/>
        <item x="610"/>
        <item x="104"/>
        <item x="52"/>
        <item x="87"/>
        <item x="575"/>
        <item x="600"/>
        <item x="150"/>
        <item x="531"/>
        <item x="102"/>
        <item x="519"/>
        <item x="596"/>
        <item x="581"/>
        <item x="294"/>
        <item x="105"/>
        <item x="428"/>
        <item x="522"/>
        <item x="460"/>
        <item x="98"/>
        <item x="207"/>
        <item x="256"/>
        <item x="244"/>
        <item x="73"/>
        <item x="78"/>
        <item x="167"/>
        <item x="458"/>
        <item x="160"/>
        <item x="68"/>
        <item x="403"/>
        <item x="312"/>
        <item x="577"/>
        <item x="169"/>
        <item x="536"/>
        <item x="366"/>
        <item x="321"/>
        <item x="265"/>
        <item x="459"/>
        <item x="506"/>
        <item x="157"/>
        <item x="411"/>
        <item x="517"/>
        <item x="136"/>
        <item x="178"/>
        <item x="438"/>
        <item x="59"/>
        <item x="423"/>
        <item x="326"/>
        <item x="415"/>
        <item x="122"/>
        <item x="329"/>
        <item x="187"/>
        <item x="582"/>
        <item x="239"/>
        <item x="347"/>
        <item x="486"/>
        <item x="501"/>
        <item x="249"/>
        <item x="381"/>
        <item x="149"/>
        <item x="3"/>
        <item x="208"/>
        <item x="607"/>
        <item x="378"/>
        <item x="161"/>
        <item x="100"/>
        <item x="576"/>
        <item x="142"/>
        <item x="63"/>
        <item x="186"/>
        <item x="281"/>
        <item x="375"/>
        <item x="212"/>
        <item x="277"/>
        <item x="225"/>
        <item x="126"/>
        <item x="33"/>
        <item x="308"/>
        <item x="528"/>
        <item x="502"/>
        <item x="34"/>
        <item x="392"/>
        <item x="141"/>
        <item x="269"/>
        <item x="97"/>
        <item x="234"/>
        <item x="505"/>
        <item x="429"/>
        <item x="140"/>
        <item x="440"/>
        <item x="333"/>
        <item x="346"/>
        <item x="372"/>
        <item x="31"/>
        <item x="602"/>
        <item x="320"/>
        <item x="163"/>
        <item x="349"/>
        <item x="364"/>
        <item x="444"/>
        <item x="250"/>
        <item x="471"/>
        <item x="230"/>
        <item x="404"/>
        <item x="572"/>
        <item x="344"/>
        <item x="507"/>
        <item x="162"/>
        <item x="412"/>
        <item x="537"/>
        <item x="111"/>
        <item x="425"/>
        <item x="583"/>
        <item x="66"/>
        <item x="301"/>
        <item x="530"/>
        <item x="380"/>
        <item x="481"/>
        <item x="253"/>
        <item x="246"/>
        <item x="510"/>
        <item x="421"/>
        <item x="82"/>
        <item x="608"/>
        <item x="288"/>
        <item x="109"/>
        <item x="432"/>
        <item x="223"/>
        <item x="75"/>
        <item x="110"/>
        <item x="504"/>
        <item x="262"/>
        <item x="359"/>
        <item x="290"/>
        <item x="567"/>
        <item x="70"/>
        <item x="177"/>
        <item x="200"/>
        <item x="93"/>
        <item x="618"/>
        <item x="617"/>
        <item x="205"/>
        <item x="47"/>
        <item x="216"/>
        <item x="231"/>
        <item x="527"/>
        <item x="120"/>
        <item x="296"/>
        <item x="497"/>
        <item x="44"/>
        <item x="276"/>
        <item x="251"/>
        <item x="241"/>
        <item x="448"/>
        <item x="202"/>
        <item x="220"/>
        <item x="268"/>
        <item x="13"/>
        <item x="454"/>
        <item x="79"/>
        <item x="50"/>
        <item x="195"/>
        <item x="247"/>
        <item x="385"/>
        <item x="463"/>
        <item x="470"/>
        <item x="6"/>
        <item x="155"/>
        <item x="394"/>
        <item x="488"/>
        <item x="46"/>
        <item x="204"/>
        <item x="436"/>
        <item x="589"/>
        <item x="24"/>
        <item x="123"/>
        <item x="314"/>
        <item x="424"/>
        <item x="219"/>
        <item x="330"/>
        <item x="472"/>
        <item x="323"/>
        <item x="550"/>
        <item x="297"/>
        <item x="533"/>
        <item x="416"/>
        <item x="601"/>
        <item x="365"/>
        <item x="36"/>
        <item x="307"/>
        <item x="302"/>
        <item x="443"/>
        <item x="565"/>
        <item x="188"/>
        <item x="599"/>
        <item x="275"/>
        <item x="158"/>
        <item x="334"/>
        <item x="293"/>
        <item x="81"/>
        <item x="387"/>
        <item x="422"/>
        <item x="534"/>
        <item x="15"/>
        <item x="563"/>
        <item x="319"/>
        <item x="489"/>
        <item x="77"/>
        <item x="561"/>
        <item x="482"/>
        <item x="64"/>
        <item x="10"/>
        <item x="139"/>
        <item x="315"/>
        <item x="325"/>
        <item x="615"/>
        <item x="242"/>
        <item x="272"/>
        <item x="171"/>
        <item x="558"/>
        <item x="352"/>
        <item x="201"/>
        <item x="95"/>
        <item x="166"/>
        <item x="435"/>
        <item x="115"/>
        <item x="373"/>
        <item x="132"/>
        <item x="409"/>
        <item x="584"/>
        <item x="16"/>
        <item x="413"/>
        <item x="336"/>
        <item x="144"/>
        <item x="318"/>
        <item x="236"/>
        <item x="526"/>
        <item x="407"/>
        <item x="261"/>
        <item x="614"/>
        <item x="384"/>
        <item x="57"/>
        <item x="371"/>
        <item x="26"/>
        <item x="439"/>
        <item x="327"/>
        <item x="377"/>
        <item x="525"/>
        <item x="340"/>
        <item x="233"/>
        <item x="554"/>
        <item x="396"/>
        <item x="564"/>
        <item x="19"/>
        <item x="190"/>
        <item x="299"/>
        <item x="184"/>
        <item x="503"/>
        <item x="578"/>
        <item x="456"/>
        <item x="551"/>
        <item x="484"/>
        <item x="341"/>
        <item x="401"/>
        <item x="613"/>
        <item x="175"/>
        <item x="431"/>
        <item x="328"/>
        <item x="170"/>
        <item x="191"/>
        <item x="41"/>
        <item x="148"/>
        <item x="67"/>
        <item x="114"/>
        <item x="96"/>
        <item x="118"/>
        <item x="224"/>
        <item x="306"/>
        <item x="278"/>
        <item x="313"/>
        <item x="474"/>
        <item x="457"/>
        <item x="152"/>
        <item x="374"/>
        <item x="316"/>
        <item x="35"/>
        <item x="406"/>
        <item x="83"/>
        <item x="357"/>
        <item x="427"/>
        <item x="490"/>
        <item x="86"/>
        <item x="303"/>
        <item x="259"/>
        <item x="606"/>
        <item x="310"/>
        <item x="197"/>
        <item x="351"/>
        <item x="449"/>
        <item x="29"/>
        <item x="113"/>
        <item x="514"/>
        <item x="119"/>
        <item x="434"/>
        <item x="619"/>
        <item x="30"/>
        <item x="183"/>
        <item x="89"/>
        <item x="540"/>
        <item x="402"/>
        <item x="270"/>
        <item x="445"/>
        <item x="354"/>
        <item x="209"/>
        <item x="235"/>
        <item x="535"/>
        <item x="455"/>
        <item x="108"/>
        <item x="498"/>
        <item x="593"/>
        <item x="513"/>
        <item x="116"/>
        <item x="245"/>
        <item x="508"/>
        <item x="446"/>
        <item x="382"/>
        <item x="545"/>
        <item x="450"/>
        <item x="414"/>
        <item x="282"/>
        <item x="180"/>
        <item x="605"/>
        <item x="287"/>
        <item x="49"/>
        <item x="14"/>
        <item x="391"/>
        <item x="218"/>
        <item x="284"/>
        <item x="300"/>
        <item x="151"/>
        <item x="529"/>
        <item x="48"/>
        <item x="492"/>
        <item x="9"/>
        <item x="295"/>
        <item x="369"/>
        <item x="279"/>
        <item x="99"/>
        <item x="477"/>
        <item x="203"/>
        <item x="137"/>
        <item x="280"/>
        <item x="60"/>
        <item x="173"/>
        <item x="194"/>
        <item x="62"/>
        <item x="129"/>
        <item x="368"/>
        <item x="548"/>
        <item x="324"/>
        <item x="305"/>
        <item x="338"/>
        <item x="263"/>
        <item x="417"/>
        <item x="215"/>
        <item x="164"/>
        <item x="103"/>
        <item x="568"/>
        <item x="388"/>
        <item x="547"/>
        <item x="42"/>
        <item x="80"/>
        <item x="520"/>
        <item x="543"/>
        <item x="107"/>
        <item x="400"/>
        <item x="179"/>
        <item x="560"/>
        <item x="125"/>
        <item x="217"/>
        <item x="353"/>
        <item x="549"/>
        <item x="544"/>
        <item x="221"/>
        <item x="611"/>
        <item x="361"/>
        <item x="185"/>
        <item x="38"/>
        <item x="590"/>
        <item x="408"/>
        <item x="546"/>
        <item x="248"/>
        <item x="39"/>
        <item x="12"/>
        <item x="258"/>
        <item x="61"/>
        <item x="480"/>
        <item x="69"/>
        <item x="240"/>
        <item x="467"/>
        <item x="40"/>
        <item x="127"/>
        <item x="206"/>
        <item x="523"/>
        <item x="189"/>
        <item x="521"/>
        <item x="342"/>
        <item x="210"/>
        <item x="499"/>
        <item x="101"/>
        <item x="1"/>
        <item x="27"/>
        <item x="90"/>
        <item x="32"/>
        <item x="254"/>
        <item x="433"/>
        <item x="226"/>
        <item x="131"/>
        <item x="133"/>
        <item x="386"/>
        <item x="214"/>
        <item x="389"/>
        <item x="395"/>
        <item x="588"/>
        <item x="134"/>
        <item x="465"/>
        <item x="420"/>
        <item x="124"/>
        <item x="146"/>
        <item x="213"/>
        <item x="598"/>
        <item x="453"/>
        <item x="483"/>
        <item x="362"/>
        <item x="135"/>
        <item x="255"/>
        <item x="570"/>
        <item x="232"/>
        <item x="176"/>
        <item x="557"/>
        <item x="17"/>
        <item x="56"/>
        <item x="121"/>
        <item x="322"/>
        <item x="53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/>
    <pivotField numFmtId="164" showAll="0"/>
    <pivotField numFmtId="165" showAll="0"/>
    <pivotField numFmtId="167" showAll="0"/>
    <pivotField numFmtId="167" showAll="0"/>
    <pivotField showAll="0"/>
    <pivotField showAll="0"/>
    <pivotField numFmtId="167" showAll="0"/>
    <pivotField numFmtId="167" showAll="0"/>
    <pivotField numFmtId="167" showAll="0"/>
    <pivotField numFmtId="167" showAll="0"/>
    <pivotField numFmtId="167" showAll="0"/>
    <pivotField numFmtId="167" showAll="0"/>
    <pivotField showAll="0"/>
    <pivotField name="Orders_filter" axis="axisPage" multipleItemSelectionAllowed="1" showAll="0">
      <items count="7">
        <item h="1" x="0"/>
        <item h="1" x="2"/>
        <item x="1"/>
        <item x="3"/>
        <item x="4"/>
        <item x="5"/>
        <item t="default"/>
      </items>
    </pivotField>
    <pivotField dragToRow="0" dragToCol="0" dragToPage="0" showAll="0" defaultSubtotal="0"/>
    <pivotField dataField="1" dragToRow="0" dragToCol="0" dragToPage="0" showAll="0" defaultSubtotal="0"/>
  </pivotFields>
  <rowFields count="1">
    <field x="2"/>
  </rowFields>
  <rowItems count="10">
    <i>
      <x v="60"/>
    </i>
    <i>
      <x v="468"/>
    </i>
    <i>
      <x v="401"/>
    </i>
    <i>
      <x v="31"/>
    </i>
    <i>
      <x v="526"/>
    </i>
    <i>
      <x v="57"/>
    </i>
    <i>
      <x v="309"/>
    </i>
    <i>
      <x v="485"/>
    </i>
    <i>
      <x v="341"/>
    </i>
    <i>
      <x v="483"/>
    </i>
  </rowItems>
  <colItems count="1">
    <i/>
  </colItems>
  <pageFields count="1">
    <pageField fld="17" hier="-1"/>
  </pageFields>
  <dataFields count="1">
    <dataField name="Rate" fld="19" baseField="2" baseItem="48" numFmtId="10"/>
  </dataFields>
  <pivotTableStyleInfo name="PivotStyleMedium9" showRowHeaders="1" showColHeaders="1" showRowStripes="1" showColStripes="1" showLastColumn="1"/>
  <filters count="1">
    <filter fld="2" type="count" evalOrder="-1" id="5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5" minRefreshableVersion="3" useAutoFormatting="1" rowGrandTotals="0" colGrandTotals="0" itemPrintTitles="1" createdVersion="5" indent="0" outline="1" outlineData="1" multipleFieldFilters="0" rowHeaderCaption="Restaurant">
  <location ref="J5:K15" firstHeaderRow="1" firstDataRow="1" firstDataCol="1" rowPageCount="1" colPageCount="1"/>
  <pivotFields count="20">
    <pivotField showAll="0"/>
    <pivotField showAll="0"/>
    <pivotField axis="axisRow" showAll="0" measureFilter="1" sortType="ascending">
      <items count="622">
        <item x="138"/>
        <item x="339"/>
        <item x="274"/>
        <item x="441"/>
        <item x="11"/>
        <item x="238"/>
        <item x="271"/>
        <item x="430"/>
        <item x="379"/>
        <item x="286"/>
        <item x="500"/>
        <item x="22"/>
        <item x="23"/>
        <item x="291"/>
        <item x="145"/>
        <item x="7"/>
        <item x="55"/>
        <item x="473"/>
        <item x="243"/>
        <item x="332"/>
        <item x="479"/>
        <item x="397"/>
        <item x="553"/>
        <item x="580"/>
        <item x="399"/>
        <item x="337"/>
        <item x="555"/>
        <item x="112"/>
        <item x="509"/>
        <item x="592"/>
        <item x="199"/>
        <item x="229"/>
        <item x="518"/>
        <item x="227"/>
        <item x="597"/>
        <item x="487"/>
        <item x="376"/>
        <item x="591"/>
        <item x="331"/>
        <item x="462"/>
        <item x="469"/>
        <item x="54"/>
        <item x="91"/>
        <item x="211"/>
        <item x="604"/>
        <item x="355"/>
        <item x="285"/>
        <item x="273"/>
        <item x="85"/>
        <item x="603"/>
        <item x="542"/>
        <item x="468"/>
        <item x="426"/>
        <item x="317"/>
        <item x="0"/>
        <item x="586"/>
        <item x="159"/>
        <item x="292"/>
        <item x="257"/>
        <item x="451"/>
        <item x="74"/>
        <item x="65"/>
        <item x="393"/>
        <item x="45"/>
        <item x="609"/>
        <item x="51"/>
        <item x="571"/>
        <item x="464"/>
        <item x="156"/>
        <item x="88"/>
        <item x="574"/>
        <item x="594"/>
        <item x="556"/>
        <item x="390"/>
        <item x="562"/>
        <item x="512"/>
        <item x="71"/>
        <item x="566"/>
        <item x="298"/>
        <item x="370"/>
        <item x="491"/>
        <item x="309"/>
        <item x="363"/>
        <item x="335"/>
        <item x="289"/>
        <item x="475"/>
        <item x="452"/>
        <item x="350"/>
        <item x="478"/>
        <item x="264"/>
        <item x="106"/>
        <item x="466"/>
        <item x="8"/>
        <item x="252"/>
        <item x="143"/>
        <item x="585"/>
        <item x="552"/>
        <item x="2"/>
        <item x="485"/>
        <item x="92"/>
        <item x="222"/>
        <item x="538"/>
        <item x="447"/>
        <item x="595"/>
        <item x="348"/>
        <item x="559"/>
        <item x="405"/>
        <item x="437"/>
        <item x="94"/>
        <item x="130"/>
        <item x="515"/>
        <item x="367"/>
        <item x="198"/>
        <item x="343"/>
        <item x="266"/>
        <item x="128"/>
        <item x="616"/>
        <item x="21"/>
        <item x="18"/>
        <item x="493"/>
        <item x="442"/>
        <item x="511"/>
        <item x="267"/>
        <item x="419"/>
        <item x="147"/>
        <item x="53"/>
        <item x="165"/>
        <item x="154"/>
        <item x="168"/>
        <item x="228"/>
        <item x="410"/>
        <item x="72"/>
        <item x="43"/>
        <item x="283"/>
        <item x="579"/>
        <item x="569"/>
        <item x="181"/>
        <item x="84"/>
        <item x="37"/>
        <item x="532"/>
        <item x="4"/>
        <item x="476"/>
        <item x="398"/>
        <item x="172"/>
        <item x="494"/>
        <item x="495"/>
        <item x="524"/>
        <item x="496"/>
        <item x="260"/>
        <item x="304"/>
        <item x="174"/>
        <item x="5"/>
        <item x="237"/>
        <item x="58"/>
        <item x="358"/>
        <item x="360"/>
        <item x="345"/>
        <item x="25"/>
        <item x="461"/>
        <item x="192"/>
        <item x="28"/>
        <item x="20"/>
        <item x="117"/>
        <item x="587"/>
        <item x="356"/>
        <item x="612"/>
        <item x="193"/>
        <item x="573"/>
        <item x="153"/>
        <item x="311"/>
        <item x="418"/>
        <item x="76"/>
        <item x="541"/>
        <item x="182"/>
        <item x="620"/>
        <item x="516"/>
        <item x="196"/>
        <item x="383"/>
        <item x="610"/>
        <item x="104"/>
        <item x="52"/>
        <item x="87"/>
        <item x="575"/>
        <item x="600"/>
        <item x="150"/>
        <item x="531"/>
        <item x="102"/>
        <item x="519"/>
        <item x="596"/>
        <item x="581"/>
        <item x="294"/>
        <item x="105"/>
        <item x="428"/>
        <item x="522"/>
        <item x="460"/>
        <item x="98"/>
        <item x="207"/>
        <item x="256"/>
        <item x="244"/>
        <item x="73"/>
        <item x="78"/>
        <item x="167"/>
        <item x="458"/>
        <item x="160"/>
        <item x="68"/>
        <item x="403"/>
        <item x="312"/>
        <item x="577"/>
        <item x="169"/>
        <item x="536"/>
        <item x="366"/>
        <item x="321"/>
        <item x="265"/>
        <item x="459"/>
        <item x="506"/>
        <item x="157"/>
        <item x="411"/>
        <item x="517"/>
        <item x="136"/>
        <item x="178"/>
        <item x="438"/>
        <item x="59"/>
        <item x="423"/>
        <item x="326"/>
        <item x="415"/>
        <item x="122"/>
        <item x="329"/>
        <item x="187"/>
        <item x="582"/>
        <item x="239"/>
        <item x="347"/>
        <item x="486"/>
        <item x="501"/>
        <item x="249"/>
        <item x="381"/>
        <item x="149"/>
        <item x="3"/>
        <item x="208"/>
        <item x="607"/>
        <item x="378"/>
        <item x="161"/>
        <item x="100"/>
        <item x="576"/>
        <item x="142"/>
        <item x="63"/>
        <item x="186"/>
        <item x="281"/>
        <item x="375"/>
        <item x="212"/>
        <item x="277"/>
        <item x="225"/>
        <item x="126"/>
        <item x="33"/>
        <item x="308"/>
        <item x="528"/>
        <item x="502"/>
        <item x="34"/>
        <item x="392"/>
        <item x="141"/>
        <item x="269"/>
        <item x="97"/>
        <item x="234"/>
        <item x="505"/>
        <item x="429"/>
        <item x="140"/>
        <item x="440"/>
        <item x="333"/>
        <item x="346"/>
        <item x="372"/>
        <item x="31"/>
        <item x="602"/>
        <item x="320"/>
        <item x="163"/>
        <item x="349"/>
        <item x="364"/>
        <item x="444"/>
        <item x="250"/>
        <item x="471"/>
        <item x="230"/>
        <item x="404"/>
        <item x="572"/>
        <item x="344"/>
        <item x="507"/>
        <item x="162"/>
        <item x="412"/>
        <item x="537"/>
        <item x="111"/>
        <item x="425"/>
        <item x="583"/>
        <item x="66"/>
        <item x="301"/>
        <item x="530"/>
        <item x="380"/>
        <item x="481"/>
        <item x="253"/>
        <item x="246"/>
        <item x="510"/>
        <item x="421"/>
        <item x="82"/>
        <item x="608"/>
        <item x="288"/>
        <item x="109"/>
        <item x="432"/>
        <item x="223"/>
        <item x="75"/>
        <item x="110"/>
        <item x="504"/>
        <item x="262"/>
        <item x="359"/>
        <item x="290"/>
        <item x="567"/>
        <item x="70"/>
        <item x="177"/>
        <item x="200"/>
        <item x="93"/>
        <item x="618"/>
        <item x="617"/>
        <item x="205"/>
        <item x="47"/>
        <item x="216"/>
        <item x="231"/>
        <item x="527"/>
        <item x="120"/>
        <item x="296"/>
        <item x="497"/>
        <item x="44"/>
        <item x="276"/>
        <item x="251"/>
        <item x="241"/>
        <item x="448"/>
        <item x="202"/>
        <item x="220"/>
        <item x="268"/>
        <item x="13"/>
        <item x="454"/>
        <item x="79"/>
        <item x="50"/>
        <item x="195"/>
        <item x="247"/>
        <item x="385"/>
        <item x="463"/>
        <item x="470"/>
        <item x="6"/>
        <item x="155"/>
        <item x="394"/>
        <item x="488"/>
        <item x="46"/>
        <item x="204"/>
        <item x="436"/>
        <item x="589"/>
        <item x="24"/>
        <item x="123"/>
        <item x="314"/>
        <item x="424"/>
        <item x="219"/>
        <item x="330"/>
        <item x="472"/>
        <item x="323"/>
        <item x="550"/>
        <item x="297"/>
        <item x="533"/>
        <item x="416"/>
        <item x="601"/>
        <item x="365"/>
        <item x="36"/>
        <item x="307"/>
        <item x="302"/>
        <item x="443"/>
        <item x="565"/>
        <item x="188"/>
        <item x="599"/>
        <item x="275"/>
        <item x="158"/>
        <item x="334"/>
        <item x="293"/>
        <item x="81"/>
        <item x="387"/>
        <item x="422"/>
        <item x="534"/>
        <item x="15"/>
        <item x="563"/>
        <item x="319"/>
        <item x="489"/>
        <item x="77"/>
        <item x="561"/>
        <item x="482"/>
        <item x="64"/>
        <item x="10"/>
        <item x="139"/>
        <item x="315"/>
        <item x="325"/>
        <item x="615"/>
        <item x="242"/>
        <item x="272"/>
        <item x="171"/>
        <item x="558"/>
        <item x="352"/>
        <item x="201"/>
        <item x="95"/>
        <item x="166"/>
        <item x="435"/>
        <item x="115"/>
        <item x="373"/>
        <item x="132"/>
        <item x="409"/>
        <item x="584"/>
        <item x="16"/>
        <item x="413"/>
        <item x="336"/>
        <item x="144"/>
        <item x="318"/>
        <item x="236"/>
        <item x="526"/>
        <item x="407"/>
        <item x="261"/>
        <item x="614"/>
        <item x="384"/>
        <item x="57"/>
        <item x="371"/>
        <item x="26"/>
        <item x="439"/>
        <item x="327"/>
        <item x="377"/>
        <item x="525"/>
        <item x="340"/>
        <item x="233"/>
        <item x="554"/>
        <item x="396"/>
        <item x="564"/>
        <item x="19"/>
        <item x="190"/>
        <item x="299"/>
        <item x="184"/>
        <item x="503"/>
        <item x="578"/>
        <item x="456"/>
        <item x="551"/>
        <item x="484"/>
        <item x="341"/>
        <item x="401"/>
        <item x="613"/>
        <item x="175"/>
        <item x="431"/>
        <item x="328"/>
        <item x="170"/>
        <item x="191"/>
        <item x="41"/>
        <item x="148"/>
        <item x="67"/>
        <item x="114"/>
        <item x="96"/>
        <item x="118"/>
        <item x="224"/>
        <item x="306"/>
        <item x="278"/>
        <item x="313"/>
        <item x="474"/>
        <item x="457"/>
        <item x="152"/>
        <item x="374"/>
        <item x="316"/>
        <item x="35"/>
        <item x="406"/>
        <item x="83"/>
        <item x="357"/>
        <item x="427"/>
        <item x="490"/>
        <item x="86"/>
        <item x="303"/>
        <item x="259"/>
        <item x="606"/>
        <item x="310"/>
        <item x="197"/>
        <item x="351"/>
        <item x="449"/>
        <item x="29"/>
        <item x="113"/>
        <item x="514"/>
        <item x="119"/>
        <item x="434"/>
        <item x="619"/>
        <item x="30"/>
        <item x="183"/>
        <item x="89"/>
        <item x="540"/>
        <item x="402"/>
        <item x="270"/>
        <item x="445"/>
        <item x="354"/>
        <item x="209"/>
        <item x="235"/>
        <item x="535"/>
        <item x="455"/>
        <item x="108"/>
        <item x="498"/>
        <item x="593"/>
        <item x="513"/>
        <item x="116"/>
        <item x="245"/>
        <item x="508"/>
        <item x="446"/>
        <item x="382"/>
        <item x="545"/>
        <item x="450"/>
        <item x="414"/>
        <item x="282"/>
        <item x="180"/>
        <item x="605"/>
        <item x="287"/>
        <item x="49"/>
        <item x="14"/>
        <item x="391"/>
        <item x="218"/>
        <item x="284"/>
        <item x="300"/>
        <item x="151"/>
        <item x="529"/>
        <item x="48"/>
        <item x="492"/>
        <item x="9"/>
        <item x="295"/>
        <item x="369"/>
        <item x="279"/>
        <item x="99"/>
        <item x="477"/>
        <item x="203"/>
        <item x="137"/>
        <item x="280"/>
        <item x="60"/>
        <item x="173"/>
        <item x="194"/>
        <item x="62"/>
        <item x="129"/>
        <item x="368"/>
        <item x="548"/>
        <item x="324"/>
        <item x="305"/>
        <item x="338"/>
        <item x="263"/>
        <item x="417"/>
        <item x="215"/>
        <item x="164"/>
        <item x="103"/>
        <item x="568"/>
        <item x="388"/>
        <item x="547"/>
        <item x="42"/>
        <item x="80"/>
        <item x="520"/>
        <item x="543"/>
        <item x="107"/>
        <item x="400"/>
        <item x="179"/>
        <item x="560"/>
        <item x="125"/>
        <item x="217"/>
        <item x="353"/>
        <item x="549"/>
        <item x="544"/>
        <item x="221"/>
        <item x="611"/>
        <item x="361"/>
        <item x="185"/>
        <item x="38"/>
        <item x="590"/>
        <item x="408"/>
        <item x="546"/>
        <item x="248"/>
        <item x="39"/>
        <item x="12"/>
        <item x="258"/>
        <item x="61"/>
        <item x="480"/>
        <item x="69"/>
        <item x="240"/>
        <item x="467"/>
        <item x="40"/>
        <item x="127"/>
        <item x="206"/>
        <item x="523"/>
        <item x="189"/>
        <item x="521"/>
        <item x="342"/>
        <item x="210"/>
        <item x="499"/>
        <item x="101"/>
        <item x="1"/>
        <item x="27"/>
        <item x="90"/>
        <item x="32"/>
        <item x="254"/>
        <item x="433"/>
        <item x="226"/>
        <item x="131"/>
        <item x="133"/>
        <item x="386"/>
        <item x="214"/>
        <item x="389"/>
        <item x="395"/>
        <item x="588"/>
        <item x="134"/>
        <item x="465"/>
        <item x="420"/>
        <item x="124"/>
        <item x="146"/>
        <item x="213"/>
        <item x="598"/>
        <item x="453"/>
        <item x="483"/>
        <item x="362"/>
        <item x="135"/>
        <item x="255"/>
        <item x="570"/>
        <item x="232"/>
        <item x="176"/>
        <item x="557"/>
        <item x="17"/>
        <item x="56"/>
        <item x="121"/>
        <item x="322"/>
        <item x="53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/>
    <pivotField numFmtId="164" showAll="0"/>
    <pivotField numFmtId="165" showAll="0"/>
    <pivotField numFmtId="167" showAll="0"/>
    <pivotField numFmtId="167" showAll="0"/>
    <pivotField showAll="0"/>
    <pivotField showAll="0"/>
    <pivotField numFmtId="167" showAll="0"/>
    <pivotField numFmtId="167" showAll="0"/>
    <pivotField numFmtId="167" showAll="0"/>
    <pivotField numFmtId="167" showAll="0"/>
    <pivotField numFmtId="167" showAll="0"/>
    <pivotField numFmtId="167" showAll="0"/>
    <pivotField showAll="0"/>
    <pivotField name="Orders_filter" axis="axisPage" multipleItemSelectionAllowed="1" showAll="0">
      <items count="7">
        <item h="1" x="0"/>
        <item h="1" x="2"/>
        <item x="1"/>
        <item x="3"/>
        <item x="4"/>
        <item x="5"/>
        <item t="default"/>
      </items>
    </pivotField>
    <pivotField dragToRow="0" dragToCol="0" dragToPage="0" showAll="0" defaultSubtotal="0"/>
    <pivotField dataField="1" dragToRow="0" dragToCol="0" dragToPage="0" showAll="0" defaultSubtotal="0"/>
  </pivotFields>
  <rowFields count="1">
    <field x="2"/>
  </rowFields>
  <rowItems count="10">
    <i>
      <x v="169"/>
    </i>
    <i>
      <x v="439"/>
    </i>
    <i>
      <x v="48"/>
    </i>
    <i>
      <x v="201"/>
    </i>
    <i>
      <x v="417"/>
    </i>
    <i>
      <x v="614"/>
    </i>
    <i>
      <x v="6"/>
    </i>
    <i>
      <x v="408"/>
    </i>
    <i>
      <x v="285"/>
    </i>
    <i>
      <x v="30"/>
    </i>
  </rowItems>
  <colItems count="1">
    <i/>
  </colItems>
  <pageFields count="1">
    <pageField fld="17" hier="-1"/>
  </pageFields>
  <dataFields count="1">
    <dataField name="Rate" fld="19" baseField="2" baseItem="48" numFmtId="10"/>
  </dataFields>
  <pivotTableStyleInfo name="PivotStyleMedium9" showRowHeaders="1" showColHeaders="1" showRowStripes="1" showColStripes="1" showLastColumn="1"/>
  <filters count="1">
    <filter fld="2" type="count" evalOrder="-1" id="4" iMeasureFld="0">
      <autoFilter ref="A1">
        <filterColumn colId="0">
          <top10 top="0"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5" minRefreshableVersion="3" useAutoFormatting="1" rowGrandTotals="0" colGrandTotals="0" itemPrintTitles="1" createdVersion="5" indent="0" outline="1" outlineData="1" multipleFieldFilters="0" rowHeaderCaption="Restaurant">
  <location ref="G5:H15" firstHeaderRow="1" firstDataRow="1" firstDataCol="1" rowPageCount="1" colPageCount="1"/>
  <pivotFields count="20">
    <pivotField showAll="0"/>
    <pivotField showAll="0"/>
    <pivotField axis="axisRow" showAll="0" measureFilter="1" sortType="descending">
      <items count="622">
        <item x="138"/>
        <item x="339"/>
        <item x="274"/>
        <item x="441"/>
        <item x="11"/>
        <item x="238"/>
        <item x="271"/>
        <item x="430"/>
        <item x="379"/>
        <item x="286"/>
        <item x="500"/>
        <item x="22"/>
        <item x="23"/>
        <item x="291"/>
        <item x="145"/>
        <item x="7"/>
        <item x="55"/>
        <item x="473"/>
        <item x="243"/>
        <item x="332"/>
        <item x="479"/>
        <item x="397"/>
        <item x="553"/>
        <item x="580"/>
        <item x="399"/>
        <item x="337"/>
        <item x="555"/>
        <item x="112"/>
        <item x="509"/>
        <item x="592"/>
        <item x="199"/>
        <item x="229"/>
        <item x="518"/>
        <item x="227"/>
        <item x="597"/>
        <item x="487"/>
        <item x="376"/>
        <item x="591"/>
        <item x="331"/>
        <item x="462"/>
        <item x="469"/>
        <item x="54"/>
        <item x="91"/>
        <item x="211"/>
        <item x="604"/>
        <item x="355"/>
        <item x="285"/>
        <item x="273"/>
        <item x="85"/>
        <item x="603"/>
        <item x="542"/>
        <item x="468"/>
        <item x="426"/>
        <item x="317"/>
        <item x="0"/>
        <item x="586"/>
        <item x="159"/>
        <item x="292"/>
        <item x="257"/>
        <item x="451"/>
        <item x="74"/>
        <item x="65"/>
        <item x="393"/>
        <item x="45"/>
        <item x="609"/>
        <item x="51"/>
        <item x="571"/>
        <item x="464"/>
        <item x="156"/>
        <item x="88"/>
        <item x="574"/>
        <item x="594"/>
        <item x="556"/>
        <item x="390"/>
        <item x="562"/>
        <item x="512"/>
        <item x="71"/>
        <item x="566"/>
        <item x="298"/>
        <item x="370"/>
        <item x="491"/>
        <item x="309"/>
        <item x="363"/>
        <item x="335"/>
        <item x="289"/>
        <item x="475"/>
        <item x="452"/>
        <item x="350"/>
        <item x="478"/>
        <item x="264"/>
        <item x="106"/>
        <item x="466"/>
        <item x="8"/>
        <item x="252"/>
        <item x="143"/>
        <item x="585"/>
        <item x="552"/>
        <item x="2"/>
        <item x="485"/>
        <item x="92"/>
        <item x="222"/>
        <item x="538"/>
        <item x="447"/>
        <item x="595"/>
        <item x="348"/>
        <item x="559"/>
        <item x="405"/>
        <item x="437"/>
        <item x="94"/>
        <item x="130"/>
        <item x="515"/>
        <item x="367"/>
        <item x="198"/>
        <item x="343"/>
        <item x="266"/>
        <item x="128"/>
        <item x="616"/>
        <item x="21"/>
        <item x="18"/>
        <item x="493"/>
        <item x="442"/>
        <item x="511"/>
        <item x="267"/>
        <item x="419"/>
        <item x="147"/>
        <item x="53"/>
        <item x="165"/>
        <item x="154"/>
        <item x="168"/>
        <item x="228"/>
        <item x="410"/>
        <item x="72"/>
        <item x="43"/>
        <item x="283"/>
        <item x="579"/>
        <item x="569"/>
        <item x="181"/>
        <item x="84"/>
        <item x="37"/>
        <item x="532"/>
        <item x="4"/>
        <item x="476"/>
        <item x="398"/>
        <item x="172"/>
        <item x="494"/>
        <item x="495"/>
        <item x="524"/>
        <item x="496"/>
        <item x="260"/>
        <item x="304"/>
        <item x="174"/>
        <item x="5"/>
        <item x="237"/>
        <item x="58"/>
        <item x="358"/>
        <item x="360"/>
        <item x="345"/>
        <item x="25"/>
        <item x="461"/>
        <item x="192"/>
        <item x="28"/>
        <item x="20"/>
        <item x="117"/>
        <item x="587"/>
        <item x="356"/>
        <item x="612"/>
        <item x="193"/>
        <item x="573"/>
        <item x="153"/>
        <item x="311"/>
        <item x="418"/>
        <item x="76"/>
        <item x="541"/>
        <item x="182"/>
        <item x="620"/>
        <item x="516"/>
        <item x="196"/>
        <item x="383"/>
        <item x="610"/>
        <item x="104"/>
        <item x="52"/>
        <item x="87"/>
        <item x="575"/>
        <item x="600"/>
        <item x="150"/>
        <item x="531"/>
        <item x="102"/>
        <item x="519"/>
        <item x="596"/>
        <item x="581"/>
        <item x="294"/>
        <item x="105"/>
        <item x="428"/>
        <item x="522"/>
        <item x="460"/>
        <item x="98"/>
        <item x="207"/>
        <item x="256"/>
        <item x="244"/>
        <item x="73"/>
        <item x="78"/>
        <item x="167"/>
        <item x="458"/>
        <item x="160"/>
        <item x="68"/>
        <item x="403"/>
        <item x="312"/>
        <item x="577"/>
        <item x="169"/>
        <item x="536"/>
        <item x="366"/>
        <item x="321"/>
        <item x="265"/>
        <item x="459"/>
        <item x="506"/>
        <item x="157"/>
        <item x="411"/>
        <item x="517"/>
        <item x="136"/>
        <item x="178"/>
        <item x="438"/>
        <item x="59"/>
        <item x="423"/>
        <item x="326"/>
        <item x="415"/>
        <item x="122"/>
        <item x="329"/>
        <item x="187"/>
        <item x="582"/>
        <item x="239"/>
        <item x="347"/>
        <item x="486"/>
        <item x="501"/>
        <item x="249"/>
        <item x="381"/>
        <item x="149"/>
        <item x="3"/>
        <item x="208"/>
        <item x="607"/>
        <item x="378"/>
        <item x="161"/>
        <item x="100"/>
        <item x="576"/>
        <item x="142"/>
        <item x="63"/>
        <item x="186"/>
        <item x="281"/>
        <item x="375"/>
        <item x="212"/>
        <item x="277"/>
        <item x="225"/>
        <item x="126"/>
        <item x="33"/>
        <item x="308"/>
        <item x="528"/>
        <item x="502"/>
        <item x="34"/>
        <item x="392"/>
        <item x="141"/>
        <item x="269"/>
        <item x="97"/>
        <item x="234"/>
        <item x="505"/>
        <item x="429"/>
        <item x="140"/>
        <item x="440"/>
        <item x="333"/>
        <item x="346"/>
        <item x="372"/>
        <item x="31"/>
        <item x="602"/>
        <item x="320"/>
        <item x="163"/>
        <item x="349"/>
        <item x="364"/>
        <item x="444"/>
        <item x="250"/>
        <item x="471"/>
        <item x="230"/>
        <item x="404"/>
        <item x="572"/>
        <item x="344"/>
        <item x="507"/>
        <item x="162"/>
        <item x="412"/>
        <item x="537"/>
        <item x="111"/>
        <item x="425"/>
        <item x="583"/>
        <item x="66"/>
        <item x="301"/>
        <item x="530"/>
        <item x="380"/>
        <item x="481"/>
        <item x="253"/>
        <item x="246"/>
        <item x="510"/>
        <item x="421"/>
        <item x="82"/>
        <item x="608"/>
        <item x="288"/>
        <item x="109"/>
        <item x="432"/>
        <item x="223"/>
        <item x="75"/>
        <item x="110"/>
        <item x="504"/>
        <item x="262"/>
        <item x="359"/>
        <item x="290"/>
        <item x="567"/>
        <item x="70"/>
        <item x="177"/>
        <item x="200"/>
        <item x="93"/>
        <item x="618"/>
        <item x="617"/>
        <item x="205"/>
        <item x="47"/>
        <item x="216"/>
        <item x="231"/>
        <item x="527"/>
        <item x="120"/>
        <item x="296"/>
        <item x="497"/>
        <item x="44"/>
        <item x="276"/>
        <item x="251"/>
        <item x="241"/>
        <item x="448"/>
        <item x="202"/>
        <item x="220"/>
        <item x="268"/>
        <item x="13"/>
        <item x="454"/>
        <item x="79"/>
        <item x="50"/>
        <item x="195"/>
        <item x="247"/>
        <item x="385"/>
        <item x="463"/>
        <item x="470"/>
        <item x="6"/>
        <item x="155"/>
        <item x="394"/>
        <item x="488"/>
        <item x="46"/>
        <item x="204"/>
        <item x="436"/>
        <item x="589"/>
        <item x="24"/>
        <item x="123"/>
        <item x="314"/>
        <item x="424"/>
        <item x="219"/>
        <item x="330"/>
        <item x="472"/>
        <item x="323"/>
        <item x="550"/>
        <item x="297"/>
        <item x="533"/>
        <item x="416"/>
        <item x="601"/>
        <item x="365"/>
        <item x="36"/>
        <item x="307"/>
        <item x="302"/>
        <item x="443"/>
        <item x="565"/>
        <item x="188"/>
        <item x="599"/>
        <item x="275"/>
        <item x="158"/>
        <item x="334"/>
        <item x="293"/>
        <item x="81"/>
        <item x="387"/>
        <item x="422"/>
        <item x="534"/>
        <item x="15"/>
        <item x="563"/>
        <item x="319"/>
        <item x="489"/>
        <item x="77"/>
        <item x="561"/>
        <item x="482"/>
        <item x="64"/>
        <item x="10"/>
        <item x="139"/>
        <item x="315"/>
        <item x="325"/>
        <item x="615"/>
        <item x="242"/>
        <item x="272"/>
        <item x="171"/>
        <item x="558"/>
        <item x="352"/>
        <item x="201"/>
        <item x="95"/>
        <item x="166"/>
        <item x="435"/>
        <item x="115"/>
        <item x="373"/>
        <item x="132"/>
        <item x="409"/>
        <item x="584"/>
        <item x="16"/>
        <item x="413"/>
        <item x="336"/>
        <item x="144"/>
        <item x="318"/>
        <item x="236"/>
        <item x="526"/>
        <item x="407"/>
        <item x="261"/>
        <item x="614"/>
        <item x="384"/>
        <item x="57"/>
        <item x="371"/>
        <item x="26"/>
        <item x="439"/>
        <item x="327"/>
        <item x="377"/>
        <item x="525"/>
        <item x="340"/>
        <item x="233"/>
        <item x="554"/>
        <item x="396"/>
        <item x="564"/>
        <item x="19"/>
        <item x="190"/>
        <item x="299"/>
        <item x="184"/>
        <item x="503"/>
        <item x="578"/>
        <item x="456"/>
        <item x="551"/>
        <item x="484"/>
        <item x="341"/>
        <item x="401"/>
        <item x="613"/>
        <item x="175"/>
        <item x="431"/>
        <item x="328"/>
        <item x="170"/>
        <item x="191"/>
        <item x="41"/>
        <item x="148"/>
        <item x="67"/>
        <item x="114"/>
        <item x="96"/>
        <item x="118"/>
        <item x="224"/>
        <item x="306"/>
        <item x="278"/>
        <item x="313"/>
        <item x="474"/>
        <item x="457"/>
        <item x="152"/>
        <item x="374"/>
        <item x="316"/>
        <item x="35"/>
        <item x="406"/>
        <item x="83"/>
        <item x="357"/>
        <item x="427"/>
        <item x="490"/>
        <item x="86"/>
        <item x="303"/>
        <item x="259"/>
        <item x="606"/>
        <item x="310"/>
        <item x="197"/>
        <item x="351"/>
        <item x="449"/>
        <item x="29"/>
        <item x="113"/>
        <item x="514"/>
        <item x="119"/>
        <item x="434"/>
        <item x="619"/>
        <item x="30"/>
        <item x="183"/>
        <item x="89"/>
        <item x="540"/>
        <item x="402"/>
        <item x="270"/>
        <item x="445"/>
        <item x="354"/>
        <item x="209"/>
        <item x="235"/>
        <item x="535"/>
        <item x="455"/>
        <item x="108"/>
        <item x="498"/>
        <item x="593"/>
        <item x="513"/>
        <item x="116"/>
        <item x="245"/>
        <item x="508"/>
        <item x="446"/>
        <item x="382"/>
        <item x="545"/>
        <item x="450"/>
        <item x="414"/>
        <item x="282"/>
        <item x="180"/>
        <item x="605"/>
        <item x="287"/>
        <item x="49"/>
        <item x="14"/>
        <item x="391"/>
        <item x="218"/>
        <item x="284"/>
        <item x="300"/>
        <item x="151"/>
        <item x="529"/>
        <item x="48"/>
        <item x="492"/>
        <item x="9"/>
        <item x="295"/>
        <item x="369"/>
        <item x="279"/>
        <item x="99"/>
        <item x="477"/>
        <item x="203"/>
        <item x="137"/>
        <item x="280"/>
        <item x="60"/>
        <item x="173"/>
        <item x="194"/>
        <item x="62"/>
        <item x="129"/>
        <item x="368"/>
        <item x="548"/>
        <item x="324"/>
        <item x="305"/>
        <item x="338"/>
        <item x="263"/>
        <item x="417"/>
        <item x="215"/>
        <item x="164"/>
        <item x="103"/>
        <item x="568"/>
        <item x="388"/>
        <item x="547"/>
        <item x="42"/>
        <item x="80"/>
        <item x="520"/>
        <item x="543"/>
        <item x="107"/>
        <item x="400"/>
        <item x="179"/>
        <item x="560"/>
        <item x="125"/>
        <item x="217"/>
        <item x="353"/>
        <item x="549"/>
        <item x="544"/>
        <item x="221"/>
        <item x="611"/>
        <item x="361"/>
        <item x="185"/>
        <item x="38"/>
        <item x="590"/>
        <item x="408"/>
        <item x="546"/>
        <item x="248"/>
        <item x="39"/>
        <item x="12"/>
        <item x="258"/>
        <item x="61"/>
        <item x="480"/>
        <item x="69"/>
        <item x="240"/>
        <item x="467"/>
        <item x="40"/>
        <item x="127"/>
        <item x="206"/>
        <item x="523"/>
        <item x="189"/>
        <item x="521"/>
        <item x="342"/>
        <item x="210"/>
        <item x="499"/>
        <item x="101"/>
        <item x="1"/>
        <item x="27"/>
        <item x="90"/>
        <item x="32"/>
        <item x="254"/>
        <item x="433"/>
        <item x="226"/>
        <item x="131"/>
        <item x="133"/>
        <item x="386"/>
        <item x="214"/>
        <item x="389"/>
        <item x="395"/>
        <item x="588"/>
        <item x="134"/>
        <item x="465"/>
        <item x="420"/>
        <item x="124"/>
        <item x="146"/>
        <item x="213"/>
        <item x="598"/>
        <item x="453"/>
        <item x="483"/>
        <item x="362"/>
        <item x="135"/>
        <item x="255"/>
        <item x="570"/>
        <item x="232"/>
        <item x="176"/>
        <item x="557"/>
        <item x="17"/>
        <item x="56"/>
        <item x="121"/>
        <item x="322"/>
        <item x="53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/>
    <pivotField numFmtId="164" showAll="0"/>
    <pivotField numFmtId="165" showAll="0"/>
    <pivotField numFmtId="167" showAll="0"/>
    <pivotField numFmtId="167" showAll="0"/>
    <pivotField showAll="0"/>
    <pivotField showAll="0"/>
    <pivotField numFmtId="167" showAll="0"/>
    <pivotField numFmtId="167" showAll="0"/>
    <pivotField numFmtId="167" showAll="0"/>
    <pivotField dataField="1" numFmtId="167" showAll="0"/>
    <pivotField numFmtId="167" showAll="0"/>
    <pivotField numFmtId="167" showAll="0"/>
    <pivotField showAll="0"/>
    <pivotField name="Orders_filter" axis="axisPage" multipleItemSelectionAllowed="1" showAll="0">
      <items count="7">
        <item x="0"/>
        <item x="2"/>
        <item x="1"/>
        <item x="3"/>
        <item x="4"/>
        <item x="5"/>
        <item t="default"/>
      </items>
    </pivotField>
    <pivotField dragToRow="0" dragToCol="0" dragToPage="0" showAll="0" defaultSubtotal="0"/>
    <pivotField dragToRow="0" dragToCol="0" dragToPage="0" showAll="0" defaultSubtotal="0"/>
  </pivotFields>
  <rowFields count="1">
    <field x="2"/>
  </rowFields>
  <rowItems count="10">
    <i>
      <x v="186"/>
    </i>
    <i>
      <x v="572"/>
    </i>
    <i>
      <x v="48"/>
    </i>
    <i>
      <x v="417"/>
    </i>
    <i>
      <x v="169"/>
    </i>
    <i>
      <x v="403"/>
    </i>
    <i>
      <x v="425"/>
    </i>
    <i>
      <x v="201"/>
    </i>
    <i>
      <x v="408"/>
    </i>
    <i>
      <x v="285"/>
    </i>
  </rowItems>
  <colItems count="1">
    <i/>
  </colItems>
  <pageFields count="1">
    <pageField fld="17" hier="-1"/>
  </pageFields>
  <dataFields count="1">
    <dataField name="Profit" fld="13" baseField="2" baseItem="12" numFmtId="167"/>
  </dataFields>
  <pivotTableStyleInfo name="PivotStyleMedium9" showRowHeaders="1" showColHeaders="1" showRowStripes="1" showColStripes="1" showLastColumn="1"/>
  <filters count="1">
    <filter fld="2" type="count" evalOrder="-1" id="3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rowGrandTotals="0" colGrandTotals="0" itemPrintTitles="1" createdVersion="5" indent="0" outline="1" outlineData="1" multipleFieldFilters="0" rowHeaderCaption="Restaurant">
  <location ref="D5:E15" firstHeaderRow="1" firstDataRow="1" firstDataCol="1" rowPageCount="1" colPageCount="1"/>
  <pivotFields count="20">
    <pivotField showAll="0"/>
    <pivotField showAll="0"/>
    <pivotField axis="axisRow" showAll="0" measureFilter="1" sortType="descending">
      <items count="622">
        <item x="138"/>
        <item x="339"/>
        <item x="274"/>
        <item x="441"/>
        <item x="11"/>
        <item x="238"/>
        <item x="271"/>
        <item x="430"/>
        <item x="379"/>
        <item x="286"/>
        <item x="500"/>
        <item x="22"/>
        <item x="23"/>
        <item x="291"/>
        <item x="145"/>
        <item x="7"/>
        <item x="55"/>
        <item x="473"/>
        <item x="243"/>
        <item x="332"/>
        <item x="479"/>
        <item x="397"/>
        <item x="553"/>
        <item x="580"/>
        <item x="399"/>
        <item x="337"/>
        <item x="555"/>
        <item x="112"/>
        <item x="509"/>
        <item x="592"/>
        <item x="199"/>
        <item x="229"/>
        <item x="518"/>
        <item x="227"/>
        <item x="597"/>
        <item x="487"/>
        <item x="376"/>
        <item x="591"/>
        <item x="331"/>
        <item x="462"/>
        <item x="469"/>
        <item x="54"/>
        <item x="91"/>
        <item x="211"/>
        <item x="604"/>
        <item x="355"/>
        <item x="285"/>
        <item x="273"/>
        <item x="85"/>
        <item x="603"/>
        <item x="542"/>
        <item x="468"/>
        <item x="426"/>
        <item x="317"/>
        <item x="0"/>
        <item x="586"/>
        <item x="159"/>
        <item x="292"/>
        <item x="257"/>
        <item x="451"/>
        <item x="74"/>
        <item x="65"/>
        <item x="393"/>
        <item x="45"/>
        <item x="609"/>
        <item x="51"/>
        <item x="571"/>
        <item x="464"/>
        <item x="156"/>
        <item x="88"/>
        <item x="574"/>
        <item x="594"/>
        <item x="556"/>
        <item x="390"/>
        <item x="562"/>
        <item x="512"/>
        <item x="71"/>
        <item x="566"/>
        <item x="298"/>
        <item x="370"/>
        <item x="491"/>
        <item x="309"/>
        <item x="363"/>
        <item x="335"/>
        <item x="289"/>
        <item x="475"/>
        <item x="452"/>
        <item x="350"/>
        <item x="478"/>
        <item x="264"/>
        <item x="106"/>
        <item x="466"/>
        <item x="8"/>
        <item x="252"/>
        <item x="143"/>
        <item x="585"/>
        <item x="552"/>
        <item x="2"/>
        <item x="485"/>
        <item x="92"/>
        <item x="222"/>
        <item x="538"/>
        <item x="447"/>
        <item x="595"/>
        <item x="348"/>
        <item x="559"/>
        <item x="405"/>
        <item x="437"/>
        <item x="94"/>
        <item x="130"/>
        <item x="515"/>
        <item x="367"/>
        <item x="198"/>
        <item x="343"/>
        <item x="266"/>
        <item x="128"/>
        <item x="616"/>
        <item x="21"/>
        <item x="18"/>
        <item x="493"/>
        <item x="442"/>
        <item x="511"/>
        <item x="267"/>
        <item x="419"/>
        <item x="147"/>
        <item x="53"/>
        <item x="165"/>
        <item x="154"/>
        <item x="168"/>
        <item x="228"/>
        <item x="410"/>
        <item x="72"/>
        <item x="43"/>
        <item x="283"/>
        <item x="579"/>
        <item x="569"/>
        <item x="181"/>
        <item x="84"/>
        <item x="37"/>
        <item x="532"/>
        <item x="4"/>
        <item x="476"/>
        <item x="398"/>
        <item x="172"/>
        <item x="494"/>
        <item x="495"/>
        <item x="524"/>
        <item x="496"/>
        <item x="260"/>
        <item x="304"/>
        <item x="174"/>
        <item x="5"/>
        <item x="237"/>
        <item x="58"/>
        <item x="358"/>
        <item x="360"/>
        <item x="345"/>
        <item x="25"/>
        <item x="461"/>
        <item x="192"/>
        <item x="28"/>
        <item x="20"/>
        <item x="117"/>
        <item x="587"/>
        <item x="356"/>
        <item x="612"/>
        <item x="193"/>
        <item x="573"/>
        <item x="153"/>
        <item x="311"/>
        <item x="418"/>
        <item x="76"/>
        <item x="541"/>
        <item x="182"/>
        <item x="620"/>
        <item x="516"/>
        <item x="196"/>
        <item x="383"/>
        <item x="610"/>
        <item x="104"/>
        <item x="52"/>
        <item x="87"/>
        <item x="575"/>
        <item x="600"/>
        <item x="150"/>
        <item x="531"/>
        <item x="102"/>
        <item x="519"/>
        <item x="596"/>
        <item x="581"/>
        <item x="294"/>
        <item x="105"/>
        <item x="428"/>
        <item x="522"/>
        <item x="460"/>
        <item x="98"/>
        <item x="207"/>
        <item x="256"/>
        <item x="244"/>
        <item x="73"/>
        <item x="78"/>
        <item x="167"/>
        <item x="458"/>
        <item x="160"/>
        <item x="68"/>
        <item x="403"/>
        <item x="312"/>
        <item x="577"/>
        <item x="169"/>
        <item x="536"/>
        <item x="366"/>
        <item x="321"/>
        <item x="265"/>
        <item x="459"/>
        <item x="506"/>
        <item x="157"/>
        <item x="411"/>
        <item x="517"/>
        <item x="136"/>
        <item x="178"/>
        <item x="438"/>
        <item x="59"/>
        <item x="423"/>
        <item x="326"/>
        <item x="415"/>
        <item x="122"/>
        <item x="329"/>
        <item x="187"/>
        <item x="582"/>
        <item x="239"/>
        <item x="347"/>
        <item x="486"/>
        <item x="501"/>
        <item x="249"/>
        <item x="381"/>
        <item x="149"/>
        <item x="3"/>
        <item x="208"/>
        <item x="607"/>
        <item x="378"/>
        <item x="161"/>
        <item x="100"/>
        <item x="576"/>
        <item x="142"/>
        <item x="63"/>
        <item x="186"/>
        <item x="281"/>
        <item x="375"/>
        <item x="212"/>
        <item x="277"/>
        <item x="225"/>
        <item x="126"/>
        <item x="33"/>
        <item x="308"/>
        <item x="528"/>
        <item x="502"/>
        <item x="34"/>
        <item x="392"/>
        <item x="141"/>
        <item x="269"/>
        <item x="97"/>
        <item x="234"/>
        <item x="505"/>
        <item x="429"/>
        <item x="140"/>
        <item x="440"/>
        <item x="333"/>
        <item x="346"/>
        <item x="372"/>
        <item x="31"/>
        <item x="602"/>
        <item x="320"/>
        <item x="163"/>
        <item x="349"/>
        <item x="364"/>
        <item x="444"/>
        <item x="250"/>
        <item x="471"/>
        <item x="230"/>
        <item x="404"/>
        <item x="572"/>
        <item x="344"/>
        <item x="507"/>
        <item x="162"/>
        <item x="412"/>
        <item x="537"/>
        <item x="111"/>
        <item x="425"/>
        <item x="583"/>
        <item x="66"/>
        <item x="301"/>
        <item x="530"/>
        <item x="380"/>
        <item x="481"/>
        <item x="253"/>
        <item x="246"/>
        <item x="510"/>
        <item x="421"/>
        <item x="82"/>
        <item x="608"/>
        <item x="288"/>
        <item x="109"/>
        <item x="432"/>
        <item x="223"/>
        <item x="75"/>
        <item x="110"/>
        <item x="504"/>
        <item x="262"/>
        <item x="359"/>
        <item x="290"/>
        <item x="567"/>
        <item x="70"/>
        <item x="177"/>
        <item x="200"/>
        <item x="93"/>
        <item x="618"/>
        <item x="617"/>
        <item x="205"/>
        <item x="47"/>
        <item x="216"/>
        <item x="231"/>
        <item x="527"/>
        <item x="120"/>
        <item x="296"/>
        <item x="497"/>
        <item x="44"/>
        <item x="276"/>
        <item x="251"/>
        <item x="241"/>
        <item x="448"/>
        <item x="202"/>
        <item x="220"/>
        <item x="268"/>
        <item x="13"/>
        <item x="454"/>
        <item x="79"/>
        <item x="50"/>
        <item x="195"/>
        <item x="247"/>
        <item x="385"/>
        <item x="463"/>
        <item x="470"/>
        <item x="6"/>
        <item x="155"/>
        <item x="394"/>
        <item x="488"/>
        <item x="46"/>
        <item x="204"/>
        <item x="436"/>
        <item x="589"/>
        <item x="24"/>
        <item x="123"/>
        <item x="314"/>
        <item x="424"/>
        <item x="219"/>
        <item x="330"/>
        <item x="472"/>
        <item x="323"/>
        <item x="550"/>
        <item x="297"/>
        <item x="533"/>
        <item x="416"/>
        <item x="601"/>
        <item x="365"/>
        <item x="36"/>
        <item x="307"/>
        <item x="302"/>
        <item x="443"/>
        <item x="565"/>
        <item x="188"/>
        <item x="599"/>
        <item x="275"/>
        <item x="158"/>
        <item x="334"/>
        <item x="293"/>
        <item x="81"/>
        <item x="387"/>
        <item x="422"/>
        <item x="534"/>
        <item x="15"/>
        <item x="563"/>
        <item x="319"/>
        <item x="489"/>
        <item x="77"/>
        <item x="561"/>
        <item x="482"/>
        <item x="64"/>
        <item x="10"/>
        <item x="139"/>
        <item x="315"/>
        <item x="325"/>
        <item x="615"/>
        <item x="242"/>
        <item x="272"/>
        <item x="171"/>
        <item x="558"/>
        <item x="352"/>
        <item x="201"/>
        <item x="95"/>
        <item x="166"/>
        <item x="435"/>
        <item x="115"/>
        <item x="373"/>
        <item x="132"/>
        <item x="409"/>
        <item x="584"/>
        <item x="16"/>
        <item x="413"/>
        <item x="336"/>
        <item x="144"/>
        <item x="318"/>
        <item x="236"/>
        <item x="526"/>
        <item x="407"/>
        <item x="261"/>
        <item x="614"/>
        <item x="384"/>
        <item x="57"/>
        <item x="371"/>
        <item x="26"/>
        <item x="439"/>
        <item x="327"/>
        <item x="377"/>
        <item x="525"/>
        <item x="340"/>
        <item x="233"/>
        <item x="554"/>
        <item x="396"/>
        <item x="564"/>
        <item x="19"/>
        <item x="190"/>
        <item x="299"/>
        <item x="184"/>
        <item x="503"/>
        <item x="578"/>
        <item x="456"/>
        <item x="551"/>
        <item x="484"/>
        <item x="341"/>
        <item x="401"/>
        <item x="613"/>
        <item x="175"/>
        <item x="431"/>
        <item x="328"/>
        <item x="170"/>
        <item x="191"/>
        <item x="41"/>
        <item x="148"/>
        <item x="67"/>
        <item x="114"/>
        <item x="96"/>
        <item x="118"/>
        <item x="224"/>
        <item x="306"/>
        <item x="278"/>
        <item x="313"/>
        <item x="474"/>
        <item x="457"/>
        <item x="152"/>
        <item x="374"/>
        <item x="316"/>
        <item x="35"/>
        <item x="406"/>
        <item x="83"/>
        <item x="357"/>
        <item x="427"/>
        <item x="490"/>
        <item x="86"/>
        <item x="303"/>
        <item x="259"/>
        <item x="606"/>
        <item x="310"/>
        <item x="197"/>
        <item x="351"/>
        <item x="449"/>
        <item x="29"/>
        <item x="113"/>
        <item x="514"/>
        <item x="119"/>
        <item x="434"/>
        <item x="619"/>
        <item x="30"/>
        <item x="183"/>
        <item x="89"/>
        <item x="540"/>
        <item x="402"/>
        <item x="270"/>
        <item x="445"/>
        <item x="354"/>
        <item x="209"/>
        <item x="235"/>
        <item x="535"/>
        <item x="455"/>
        <item x="108"/>
        <item x="498"/>
        <item x="593"/>
        <item x="513"/>
        <item x="116"/>
        <item x="245"/>
        <item x="508"/>
        <item x="446"/>
        <item x="382"/>
        <item x="545"/>
        <item x="450"/>
        <item x="414"/>
        <item x="282"/>
        <item x="180"/>
        <item x="605"/>
        <item x="287"/>
        <item x="49"/>
        <item x="14"/>
        <item x="391"/>
        <item x="218"/>
        <item x="284"/>
        <item x="300"/>
        <item x="151"/>
        <item x="529"/>
        <item x="48"/>
        <item x="492"/>
        <item x="9"/>
        <item x="295"/>
        <item x="369"/>
        <item x="279"/>
        <item x="99"/>
        <item x="477"/>
        <item x="203"/>
        <item x="137"/>
        <item x="280"/>
        <item x="60"/>
        <item x="173"/>
        <item x="194"/>
        <item x="62"/>
        <item x="129"/>
        <item x="368"/>
        <item x="548"/>
        <item x="324"/>
        <item x="305"/>
        <item x="338"/>
        <item x="263"/>
        <item x="417"/>
        <item x="215"/>
        <item x="164"/>
        <item x="103"/>
        <item x="568"/>
        <item x="388"/>
        <item x="547"/>
        <item x="42"/>
        <item x="80"/>
        <item x="520"/>
        <item x="543"/>
        <item x="107"/>
        <item x="400"/>
        <item x="179"/>
        <item x="560"/>
        <item x="125"/>
        <item x="217"/>
        <item x="353"/>
        <item x="549"/>
        <item x="544"/>
        <item x="221"/>
        <item x="611"/>
        <item x="361"/>
        <item x="185"/>
        <item x="38"/>
        <item x="590"/>
        <item x="408"/>
        <item x="546"/>
        <item x="248"/>
        <item x="39"/>
        <item x="12"/>
        <item x="258"/>
        <item x="61"/>
        <item x="480"/>
        <item x="69"/>
        <item x="240"/>
        <item x="467"/>
        <item x="40"/>
        <item x="127"/>
        <item x="206"/>
        <item x="523"/>
        <item x="189"/>
        <item x="521"/>
        <item x="342"/>
        <item x="210"/>
        <item x="499"/>
        <item x="101"/>
        <item x="1"/>
        <item x="27"/>
        <item x="90"/>
        <item x="32"/>
        <item x="254"/>
        <item x="433"/>
        <item x="226"/>
        <item x="131"/>
        <item x="133"/>
        <item x="386"/>
        <item x="214"/>
        <item x="389"/>
        <item x="395"/>
        <item x="588"/>
        <item x="134"/>
        <item x="465"/>
        <item x="420"/>
        <item x="124"/>
        <item x="146"/>
        <item x="213"/>
        <item x="598"/>
        <item x="453"/>
        <item x="483"/>
        <item x="362"/>
        <item x="135"/>
        <item x="255"/>
        <item x="570"/>
        <item x="232"/>
        <item x="176"/>
        <item x="557"/>
        <item x="17"/>
        <item x="56"/>
        <item x="121"/>
        <item x="322"/>
        <item x="53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/>
    <pivotField numFmtId="164" showAll="0"/>
    <pivotField numFmtId="165" showAll="0"/>
    <pivotField dataField="1" numFmtId="167" showAll="0"/>
    <pivotField numFmtId="167" showAll="0"/>
    <pivotField showAll="0"/>
    <pivotField showAll="0"/>
    <pivotField numFmtId="167" showAll="0"/>
    <pivotField numFmtId="167" showAll="0"/>
    <pivotField numFmtId="167" showAll="0"/>
    <pivotField numFmtId="167" showAll="0"/>
    <pivotField numFmtId="167" showAll="0"/>
    <pivotField numFmtId="167" showAll="0"/>
    <pivotField showAll="0"/>
    <pivotField name="Orders_filter" axis="axisPage" multipleItemSelectionAllowed="1" showAll="0">
      <items count="7">
        <item x="0"/>
        <item x="2"/>
        <item x="1"/>
        <item x="3"/>
        <item x="4"/>
        <item x="5"/>
        <item t="default"/>
      </items>
    </pivotField>
    <pivotField dragToRow="0" dragToCol="0" dragToPage="0" showAll="0" defaultSubtotal="0"/>
    <pivotField dragToRow="0" dragToCol="0" dragToPage="0" showAll="0" defaultSubtotal="0"/>
  </pivotFields>
  <rowFields count="1">
    <field x="2"/>
  </rowFields>
  <rowItems count="10">
    <i>
      <x v="186"/>
    </i>
    <i>
      <x v="572"/>
    </i>
    <i>
      <x v="48"/>
    </i>
    <i>
      <x v="417"/>
    </i>
    <i>
      <x v="403"/>
    </i>
    <i>
      <x v="169"/>
    </i>
    <i>
      <x v="425"/>
    </i>
    <i>
      <x v="617"/>
    </i>
    <i>
      <x v="137"/>
    </i>
    <i>
      <x v="408"/>
    </i>
  </rowItems>
  <colItems count="1">
    <i/>
  </colItems>
  <pageFields count="1">
    <pageField fld="17" hier="-1"/>
  </pageFields>
  <dataFields count="1">
    <dataField name="Revenue" fld="6" baseField="2" baseItem="434" numFmtId="167"/>
  </dataFields>
  <pivotTableStyleInfo name="PivotStyleMedium9" showRowHeaders="1" showColHeaders="1" showRowStripes="1" showColStripes="1" showLastColumn="1"/>
  <filters count="1">
    <filter fld="2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5" minRefreshableVersion="3" useAutoFormatting="1" rowGrandTotals="0" colGrandTotals="0" itemPrintTitles="1" createdVersion="5" indent="0" outline="1" outlineData="1" multipleFieldFilters="0" rowHeaderCaption="Client">
  <location ref="K5:N10" firstHeaderRow="0" firstDataRow="1" firstDataCol="1" rowPageCount="1" colPageCount="1"/>
  <pivotFields count="20">
    <pivotField showAll="0"/>
    <pivotField axis="axisRow" dataField="1" showAll="0" measureFilter="1" sortType="descending">
      <items count="948">
        <item x="337"/>
        <item x="750"/>
        <item x="575"/>
        <item x="695"/>
        <item x="78"/>
        <item x="803"/>
        <item x="854"/>
        <item x="232"/>
        <item x="756"/>
        <item x="720"/>
        <item x="874"/>
        <item x="528"/>
        <item x="644"/>
        <item x="297"/>
        <item x="58"/>
        <item x="26"/>
        <item x="277"/>
        <item x="184"/>
        <item x="176"/>
        <item x="109"/>
        <item x="763"/>
        <item x="258"/>
        <item x="727"/>
        <item x="786"/>
        <item x="611"/>
        <item x="572"/>
        <item x="773"/>
        <item x="213"/>
        <item x="273"/>
        <item x="693"/>
        <item x="862"/>
        <item x="699"/>
        <item x="590"/>
        <item x="87"/>
        <item x="455"/>
        <item x="591"/>
        <item x="427"/>
        <item x="419"/>
        <item x="835"/>
        <item x="6"/>
        <item x="105"/>
        <item x="521"/>
        <item x="362"/>
        <item x="680"/>
        <item x="900"/>
        <item x="307"/>
        <item x="555"/>
        <item x="365"/>
        <item x="287"/>
        <item x="326"/>
        <item x="370"/>
        <item x="806"/>
        <item x="274"/>
        <item x="349"/>
        <item x="694"/>
        <item x="191"/>
        <item x="148"/>
        <item x="669"/>
        <item x="549"/>
        <item x="671"/>
        <item x="921"/>
        <item x="163"/>
        <item x="275"/>
        <item x="604"/>
        <item x="460"/>
        <item x="430"/>
        <item x="659"/>
        <item x="939"/>
        <item x="11"/>
        <item x="613"/>
        <item x="46"/>
        <item x="299"/>
        <item x="857"/>
        <item x="861"/>
        <item x="525"/>
        <item x="424"/>
        <item x="868"/>
        <item x="352"/>
        <item x="760"/>
        <item x="397"/>
        <item x="323"/>
        <item x="165"/>
        <item x="1"/>
        <item x="116"/>
        <item x="341"/>
        <item x="69"/>
        <item x="705"/>
        <item x="834"/>
        <item x="566"/>
        <item x="526"/>
        <item x="838"/>
        <item x="931"/>
        <item x="488"/>
        <item x="238"/>
        <item x="918"/>
        <item x="278"/>
        <item x="866"/>
        <item x="60"/>
        <item x="581"/>
        <item x="62"/>
        <item x="53"/>
        <item x="103"/>
        <item x="251"/>
        <item x="129"/>
        <item x="271"/>
        <item x="472"/>
        <item x="747"/>
        <item x="807"/>
        <item x="409"/>
        <item x="269"/>
        <item x="615"/>
        <item x="361"/>
        <item x="837"/>
        <item x="437"/>
        <item x="327"/>
        <item x="358"/>
        <item x="223"/>
        <item x="471"/>
        <item x="17"/>
        <item x="493"/>
        <item x="826"/>
        <item x="910"/>
        <item x="522"/>
        <item x="246"/>
        <item x="818"/>
        <item x="624"/>
        <item x="536"/>
        <item x="32"/>
        <item x="691"/>
        <item x="157"/>
        <item x="717"/>
        <item x="139"/>
        <item x="503"/>
        <item x="633"/>
        <item x="780"/>
        <item x="545"/>
        <item x="452"/>
        <item x="298"/>
        <item x="595"/>
        <item x="114"/>
        <item x="151"/>
        <item x="33"/>
        <item x="523"/>
        <item x="496"/>
        <item x="491"/>
        <item x="439"/>
        <item x="567"/>
        <item x="49"/>
        <item x="785"/>
        <item x="739"/>
        <item x="778"/>
        <item x="901"/>
        <item x="589"/>
        <item x="161"/>
        <item x="884"/>
        <item x="704"/>
        <item x="227"/>
        <item x="136"/>
        <item x="360"/>
        <item x="126"/>
        <item x="375"/>
        <item x="10"/>
        <item x="294"/>
        <item x="398"/>
        <item x="253"/>
        <item x="171"/>
        <item x="738"/>
        <item x="198"/>
        <item x="122"/>
        <item x="928"/>
        <item x="736"/>
        <item x="881"/>
        <item x="207"/>
        <item x="507"/>
        <item x="284"/>
        <item x="767"/>
        <item x="574"/>
        <item x="309"/>
        <item x="199"/>
        <item x="531"/>
        <item x="155"/>
        <item x="887"/>
        <item x="844"/>
        <item x="667"/>
        <item x="289"/>
        <item x="30"/>
        <item x="657"/>
        <item x="787"/>
        <item x="768"/>
        <item x="186"/>
        <item x="359"/>
        <item x="202"/>
        <item x="823"/>
        <item x="716"/>
        <item x="195"/>
        <item x="911"/>
        <item x="782"/>
        <item x="820"/>
        <item x="149"/>
        <item x="593"/>
        <item x="771"/>
        <item x="82"/>
        <item x="24"/>
        <item x="603"/>
        <item x="215"/>
        <item x="776"/>
        <item x="77"/>
        <item x="938"/>
        <item x="933"/>
        <item x="416"/>
        <item x="529"/>
        <item x="858"/>
        <item x="698"/>
        <item x="808"/>
        <item x="380"/>
        <item x="442"/>
        <item x="473"/>
        <item x="641"/>
        <item x="815"/>
        <item x="817"/>
        <item x="582"/>
        <item x="233"/>
        <item x="836"/>
        <item x="268"/>
        <item x="775"/>
        <item x="841"/>
        <item x="222"/>
        <item x="180"/>
        <item x="839"/>
        <item x="316"/>
        <item x="850"/>
        <item x="205"/>
        <item x="681"/>
        <item x="400"/>
        <item x="13"/>
        <item x="864"/>
        <item x="96"/>
        <item x="733"/>
        <item x="382"/>
        <item x="929"/>
        <item x="391"/>
        <item x="333"/>
        <item x="459"/>
        <item x="434"/>
        <item x="190"/>
        <item x="489"/>
        <item x="757"/>
        <item x="231"/>
        <item x="22"/>
        <item x="793"/>
        <item x="80"/>
        <item x="746"/>
        <item x="682"/>
        <item x="41"/>
        <item x="791"/>
        <item x="842"/>
        <item x="855"/>
        <item x="495"/>
        <item x="133"/>
        <item x="83"/>
        <item x="542"/>
        <item x="892"/>
        <item x="816"/>
        <item x="917"/>
        <item x="934"/>
        <item x="98"/>
        <item x="290"/>
        <item x="27"/>
        <item x="403"/>
        <item x="734"/>
        <item x="378"/>
        <item x="553"/>
        <item x="25"/>
        <item x="565"/>
        <item x="461"/>
        <item x="436"/>
        <item x="117"/>
        <item x="706"/>
        <item x="306"/>
        <item x="192"/>
        <item x="622"/>
        <item x="781"/>
        <item x="648"/>
        <item x="357"/>
        <item x="393"/>
        <item x="388"/>
        <item x="237"/>
        <item x="576"/>
        <item x="886"/>
        <item x="687"/>
        <item x="851"/>
        <item x="801"/>
        <item x="197"/>
        <item x="448"/>
        <item x="509"/>
        <item x="182"/>
        <item x="313"/>
        <item x="234"/>
        <item x="435"/>
        <item x="279"/>
        <item x="201"/>
        <item x="28"/>
        <item x="295"/>
        <item x="885"/>
        <item x="336"/>
        <item x="519"/>
        <item x="52"/>
        <item x="713"/>
        <item x="91"/>
        <item x="94"/>
        <item x="218"/>
        <item x="334"/>
        <item x="504"/>
        <item x="373"/>
        <item x="48"/>
        <item x="131"/>
        <item x="221"/>
        <item x="639"/>
        <item x="849"/>
        <item x="127"/>
        <item x="668"/>
        <item x="423"/>
        <item x="152"/>
        <item x="569"/>
        <item x="281"/>
        <item x="541"/>
        <item x="946"/>
        <item x="368"/>
        <item x="710"/>
        <item x="257"/>
        <item x="879"/>
        <item x="414"/>
        <item x="623"/>
        <item x="537"/>
        <item x="19"/>
        <item x="795"/>
        <item x="282"/>
        <item x="883"/>
        <item x="609"/>
        <item x="272"/>
        <item x="920"/>
        <item x="254"/>
        <item x="445"/>
        <item x="270"/>
        <item x="250"/>
        <item x="646"/>
        <item x="882"/>
        <item x="506"/>
        <item x="783"/>
        <item x="376"/>
        <item x="895"/>
        <item x="175"/>
        <item x="743"/>
        <item x="789"/>
        <item x="869"/>
        <item x="34"/>
        <item x="89"/>
        <item x="913"/>
        <item x="649"/>
        <item x="158"/>
        <item x="539"/>
        <item x="723"/>
        <item x="907"/>
        <item x="134"/>
        <item x="470"/>
        <item x="689"/>
        <item x="366"/>
        <item x="821"/>
        <item x="162"/>
        <item x="923"/>
        <item x="516"/>
        <item x="552"/>
        <item x="744"/>
        <item x="772"/>
        <item x="147"/>
        <item x="852"/>
        <item x="153"/>
        <item x="446"/>
        <item x="325"/>
        <item x="558"/>
        <item x="880"/>
        <item x="737"/>
        <item x="656"/>
        <item x="102"/>
        <item x="54"/>
        <item x="332"/>
        <item x="291"/>
        <item x="872"/>
        <item x="35"/>
        <item x="676"/>
        <item x="408"/>
        <item x="586"/>
        <item x="50"/>
        <item x="422"/>
        <item x="244"/>
        <item x="401"/>
        <item x="293"/>
        <item x="822"/>
        <item x="888"/>
        <item x="819"/>
        <item x="212"/>
        <item x="369"/>
        <item x="438"/>
        <item x="412"/>
        <item x="343"/>
        <item x="688"/>
        <item x="324"/>
        <item x="585"/>
        <item x="651"/>
        <item x="457"/>
        <item x="533"/>
        <item x="599"/>
        <item x="511"/>
        <item x="670"/>
        <item x="229"/>
        <item x="729"/>
        <item x="764"/>
        <item x="897"/>
        <item x="177"/>
        <item x="853"/>
        <item x="805"/>
        <item x="769"/>
        <item x="922"/>
        <item x="374"/>
        <item x="634"/>
        <item x="513"/>
        <item x="189"/>
        <item x="759"/>
        <item x="59"/>
        <item x="654"/>
        <item x="502"/>
        <item x="748"/>
        <item x="482"/>
        <item x="458"/>
        <item x="614"/>
        <item x="411"/>
        <item x="179"/>
        <item x="146"/>
        <item x="927"/>
        <item x="7"/>
        <item x="690"/>
        <item x="236"/>
        <item x="871"/>
        <item x="385"/>
        <item x="348"/>
        <item x="550"/>
        <item x="108"/>
        <item x="466"/>
        <item x="453"/>
        <item x="242"/>
        <item x="319"/>
        <item x="247"/>
        <item x="224"/>
        <item x="935"/>
        <item x="627"/>
        <item x="607"/>
        <item x="217"/>
        <item x="18"/>
        <item x="392"/>
        <item x="843"/>
        <item x="701"/>
        <item x="721"/>
        <item x="128"/>
        <item x="637"/>
        <item x="264"/>
        <item x="29"/>
        <item x="889"/>
        <item x="814"/>
        <item x="626"/>
        <item x="621"/>
        <item x="478"/>
        <item x="248"/>
        <item x="206"/>
        <item x="164"/>
        <item x="514"/>
        <item x="350"/>
        <item x="916"/>
        <item x="331"/>
        <item x="315"/>
        <item x="588"/>
        <item x="573"/>
        <item x="598"/>
        <item x="800"/>
        <item x="557"/>
        <item x="485"/>
        <item x="515"/>
        <item x="638"/>
        <item x="619"/>
        <item x="71"/>
        <item x="340"/>
        <item x="70"/>
        <item x="642"/>
        <item x="259"/>
        <item x="532"/>
        <item x="243"/>
        <item x="944"/>
        <item x="174"/>
        <item x="919"/>
        <item x="462"/>
        <item x="556"/>
        <item x="449"/>
        <item x="909"/>
        <item x="235"/>
        <item x="608"/>
        <item x="464"/>
        <item x="527"/>
        <item x="891"/>
        <item x="15"/>
        <item x="402"/>
        <item x="100"/>
        <item x="546"/>
        <item x="440"/>
        <item x="942"/>
        <item x="276"/>
        <item x="441"/>
        <item x="877"/>
        <item x="636"/>
        <item x="120"/>
        <item x="703"/>
        <item x="580"/>
        <item x="702"/>
        <item x="110"/>
        <item x="813"/>
        <item x="475"/>
        <item x="170"/>
        <item x="353"/>
        <item x="925"/>
        <item x="379"/>
        <item x="3"/>
        <item x="338"/>
        <item x="154"/>
        <item x="364"/>
        <item x="685"/>
        <item x="169"/>
        <item x="790"/>
        <item x="84"/>
        <item x="76"/>
        <item x="777"/>
        <item x="492"/>
        <item x="912"/>
        <item x="510"/>
        <item x="476"/>
        <item x="14"/>
        <item x="339"/>
        <item x="562"/>
        <item x="480"/>
        <item x="749"/>
        <item x="534"/>
        <item x="840"/>
        <item x="405"/>
        <item x="2"/>
        <item x="37"/>
        <item x="735"/>
        <item x="832"/>
        <item x="794"/>
        <item x="216"/>
        <item x="288"/>
        <item x="647"/>
        <item x="135"/>
        <item x="81"/>
        <item x="797"/>
        <item x="44"/>
        <item x="940"/>
        <item x="145"/>
        <item x="211"/>
        <item x="173"/>
        <item x="407"/>
        <item x="228"/>
        <item x="498"/>
        <item x="758"/>
        <item x="606"/>
        <item x="828"/>
        <item x="653"/>
        <item x="144"/>
        <item x="8"/>
        <item x="675"/>
        <item x="468"/>
        <item x="137"/>
        <item x="304"/>
        <item x="261"/>
        <item x="85"/>
        <item x="740"/>
        <item x="312"/>
        <item x="447"/>
        <item x="538"/>
        <item x="57"/>
        <item x="335"/>
        <item x="240"/>
        <item x="570"/>
        <item x="413"/>
        <item x="404"/>
        <item x="4"/>
        <item x="830"/>
        <item x="426"/>
        <item x="715"/>
        <item x="203"/>
        <item x="825"/>
        <item x="859"/>
        <item x="831"/>
        <item x="172"/>
        <item x="943"/>
        <item x="305"/>
        <item x="692"/>
        <item x="285"/>
        <item x="167"/>
        <item x="141"/>
        <item x="708"/>
        <item x="395"/>
        <item x="386"/>
        <item x="88"/>
        <item x="256"/>
        <item x="132"/>
        <item x="450"/>
        <item x="322"/>
        <item x="356"/>
        <item x="796"/>
        <item x="873"/>
        <item x="754"/>
        <item x="650"/>
        <item x="914"/>
        <item x="111"/>
        <item x="812"/>
        <item x="308"/>
        <item x="433"/>
        <item x="594"/>
        <item x="602"/>
        <item x="320"/>
        <item x="245"/>
        <item x="945"/>
        <item x="121"/>
        <item x="876"/>
        <item x="845"/>
        <item x="664"/>
        <item x="774"/>
        <item x="559"/>
        <item x="663"/>
        <item x="280"/>
        <item x="563"/>
        <item x="860"/>
        <item x="724"/>
        <item x="497"/>
        <item x="90"/>
        <item x="535"/>
        <item x="226"/>
        <item x="718"/>
        <item x="766"/>
        <item x="43"/>
        <item x="662"/>
        <item x="629"/>
        <item x="658"/>
        <item x="5"/>
        <item x="655"/>
        <item x="92"/>
        <item x="765"/>
        <item x="187"/>
        <item x="722"/>
        <item x="328"/>
        <item x="225"/>
        <item x="396"/>
        <item x="494"/>
        <item x="530"/>
        <item x="915"/>
        <item x="645"/>
        <item x="72"/>
        <item x="847"/>
        <item x="728"/>
        <item x="124"/>
        <item x="679"/>
        <item x="20"/>
        <item x="799"/>
        <item x="16"/>
        <item x="64"/>
        <item x="896"/>
        <item x="329"/>
        <item x="761"/>
        <item x="383"/>
        <item x="906"/>
        <item x="686"/>
        <item x="707"/>
        <item x="890"/>
        <item x="168"/>
        <item x="520"/>
        <item x="477"/>
        <item x="620"/>
        <item x="194"/>
        <item x="811"/>
        <item x="156"/>
        <item x="508"/>
        <item x="601"/>
        <item x="321"/>
        <item x="210"/>
        <item x="381"/>
        <item x="517"/>
        <item x="941"/>
        <item x="317"/>
        <item x="387"/>
        <item x="130"/>
        <item x="677"/>
        <item x="204"/>
        <item x="926"/>
        <item x="286"/>
        <item x="486"/>
        <item x="86"/>
        <item x="732"/>
        <item x="418"/>
        <item x="741"/>
        <item x="140"/>
        <item x="672"/>
        <item x="908"/>
        <item x="347"/>
        <item x="484"/>
        <item x="443"/>
        <item x="700"/>
        <item x="551"/>
        <item x="399"/>
        <item x="66"/>
        <item x="56"/>
        <item x="628"/>
        <item x="712"/>
        <item x="731"/>
        <item x="125"/>
        <item x="252"/>
        <item x="856"/>
        <item x="390"/>
        <item x="106"/>
        <item x="684"/>
        <item x="107"/>
        <item x="631"/>
        <item x="809"/>
        <item x="241"/>
        <item x="12"/>
        <item x="344"/>
        <item x="587"/>
        <item x="311"/>
        <item x="678"/>
        <item x="742"/>
        <item x="770"/>
        <item x="625"/>
        <item x="632"/>
        <item x="371"/>
        <item x="260"/>
        <item x="571"/>
        <item x="342"/>
        <item x="113"/>
        <item x="42"/>
        <item x="643"/>
        <item x="490"/>
        <item x="345"/>
        <item x="193"/>
        <item x="45"/>
        <item x="560"/>
        <item x="893"/>
        <item x="544"/>
        <item x="185"/>
        <item x="597"/>
        <item x="870"/>
        <item x="219"/>
        <item x="431"/>
        <item x="454"/>
        <item x="596"/>
        <item x="467"/>
        <item x="878"/>
        <item x="303"/>
        <item x="75"/>
        <item x="95"/>
        <item x="610"/>
        <item x="683"/>
        <item x="487"/>
        <item x="600"/>
        <item x="377"/>
        <item x="465"/>
        <item x="0"/>
        <item x="160"/>
        <item x="937"/>
        <item x="561"/>
        <item x="846"/>
        <item x="479"/>
        <item x="267"/>
        <item x="302"/>
        <item x="661"/>
        <item x="444"/>
        <item x="104"/>
        <item x="389"/>
        <item x="138"/>
        <item x="220"/>
        <item x="367"/>
        <item x="118"/>
        <item x="578"/>
        <item x="579"/>
        <item x="505"/>
        <item x="384"/>
        <item x="584"/>
        <item x="292"/>
        <item x="554"/>
        <item x="751"/>
        <item x="501"/>
        <item x="330"/>
        <item x="40"/>
        <item x="142"/>
        <item x="428"/>
        <item x="802"/>
        <item x="159"/>
        <item x="51"/>
        <item x="301"/>
        <item x="725"/>
        <item x="673"/>
        <item x="123"/>
        <item x="548"/>
        <item x="524"/>
        <item x="804"/>
        <item x="429"/>
        <item x="61"/>
        <item x="719"/>
        <item x="635"/>
        <item x="469"/>
        <item x="829"/>
        <item x="425"/>
        <item x="711"/>
        <item x="265"/>
        <item x="263"/>
        <item x="665"/>
        <item x="568"/>
        <item x="112"/>
        <item x="410"/>
        <item x="640"/>
        <item x="31"/>
        <item x="183"/>
        <item x="865"/>
        <item x="867"/>
        <item x="810"/>
        <item x="363"/>
        <item x="296"/>
        <item x="660"/>
        <item x="23"/>
        <item x="115"/>
        <item x="474"/>
        <item x="848"/>
        <item x="63"/>
        <item x="564"/>
        <item x="65"/>
        <item x="618"/>
        <item x="67"/>
        <item x="605"/>
        <item x="652"/>
        <item x="730"/>
        <item x="674"/>
        <item x="898"/>
        <item x="902"/>
        <item x="784"/>
        <item x="346"/>
        <item x="55"/>
        <item x="314"/>
        <item x="150"/>
        <item x="262"/>
        <item x="406"/>
        <item x="181"/>
        <item x="79"/>
        <item x="798"/>
        <item x="483"/>
        <item x="630"/>
        <item x="249"/>
        <item x="540"/>
        <item x="930"/>
        <item x="904"/>
        <item x="456"/>
        <item x="300"/>
        <item x="101"/>
        <item x="209"/>
        <item x="372"/>
        <item x="827"/>
        <item x="697"/>
        <item x="714"/>
        <item x="99"/>
        <item x="208"/>
        <item x="792"/>
        <item x="166"/>
        <item x="709"/>
        <item x="318"/>
        <item x="592"/>
        <item x="753"/>
        <item x="266"/>
        <item x="47"/>
        <item x="726"/>
        <item x="420"/>
        <item x="355"/>
        <item x="351"/>
        <item x="283"/>
        <item x="9"/>
        <item x="463"/>
        <item x="196"/>
        <item x="239"/>
        <item x="824"/>
        <item x="93"/>
        <item x="894"/>
        <item x="583"/>
        <item x="616"/>
        <item x="39"/>
        <item x="745"/>
        <item x="230"/>
        <item x="666"/>
        <item x="936"/>
        <item x="779"/>
        <item x="394"/>
        <item x="68"/>
        <item x="924"/>
        <item x="547"/>
        <item x="863"/>
        <item x="788"/>
        <item x="73"/>
        <item x="903"/>
        <item x="617"/>
        <item x="905"/>
        <item x="518"/>
        <item x="752"/>
        <item x="543"/>
        <item x="21"/>
        <item x="833"/>
        <item x="200"/>
        <item x="74"/>
        <item x="499"/>
        <item x="500"/>
        <item x="310"/>
        <item x="696"/>
        <item x="255"/>
        <item x="119"/>
        <item x="899"/>
        <item x="451"/>
        <item x="38"/>
        <item x="875"/>
        <item x="188"/>
        <item x="421"/>
        <item x="214"/>
        <item x="755"/>
        <item x="36"/>
        <item x="612"/>
        <item x="432"/>
        <item x="143"/>
        <item x="512"/>
        <item x="932"/>
        <item x="762"/>
        <item x="481"/>
        <item x="354"/>
        <item x="415"/>
        <item x="178"/>
        <item x="417"/>
        <item x="577"/>
        <item x="9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4" showAll="0"/>
    <pivotField numFmtId="164" showAll="0"/>
    <pivotField numFmtId="165" showAll="0">
      <items count="91">
        <item x="75"/>
        <item x="60"/>
        <item x="66"/>
        <item x="30"/>
        <item x="58"/>
        <item x="1"/>
        <item x="46"/>
        <item x="28"/>
        <item x="63"/>
        <item x="70"/>
        <item x="11"/>
        <item x="53"/>
        <item x="82"/>
        <item x="39"/>
        <item x="22"/>
        <item x="83"/>
        <item x="3"/>
        <item x="79"/>
        <item x="77"/>
        <item x="21"/>
        <item x="19"/>
        <item x="5"/>
        <item x="52"/>
        <item x="6"/>
        <item x="32"/>
        <item x="27"/>
        <item x="56"/>
        <item x="64"/>
        <item x="2"/>
        <item x="44"/>
        <item x="31"/>
        <item x="89"/>
        <item x="80"/>
        <item x="43"/>
        <item x="33"/>
        <item x="47"/>
        <item x="26"/>
        <item x="48"/>
        <item x="15"/>
        <item x="87"/>
        <item x="36"/>
        <item x="14"/>
        <item x="35"/>
        <item x="54"/>
        <item x="68"/>
        <item x="51"/>
        <item x="37"/>
        <item x="17"/>
        <item x="34"/>
        <item x="10"/>
        <item x="9"/>
        <item x="50"/>
        <item x="41"/>
        <item x="85"/>
        <item x="67"/>
        <item x="12"/>
        <item x="18"/>
        <item x="76"/>
        <item x="0"/>
        <item x="4"/>
        <item x="38"/>
        <item x="25"/>
        <item x="55"/>
        <item x="73"/>
        <item x="69"/>
        <item x="84"/>
        <item x="61"/>
        <item x="40"/>
        <item x="16"/>
        <item x="62"/>
        <item x="13"/>
        <item x="71"/>
        <item x="29"/>
        <item x="74"/>
        <item x="59"/>
        <item x="24"/>
        <item x="23"/>
        <item x="78"/>
        <item x="88"/>
        <item x="49"/>
        <item x="7"/>
        <item x="20"/>
        <item x="65"/>
        <item x="42"/>
        <item x="8"/>
        <item x="86"/>
        <item x="57"/>
        <item x="45"/>
        <item x="72"/>
        <item x="81"/>
        <item t="default"/>
      </items>
    </pivotField>
    <pivotField numFmtId="167" showAll="0"/>
    <pivotField numFmtId="167" showAll="0"/>
    <pivotField showAll="0"/>
    <pivotField showAll="0"/>
    <pivotField numFmtId="167" showAll="0"/>
    <pivotField numFmtId="167" showAll="0"/>
    <pivotField dataField="1" numFmtId="167" showAll="0"/>
    <pivotField numFmtId="167" showAll="0"/>
    <pivotField numFmtId="167" showAll="0"/>
    <pivotField numFmtId="167" showAll="0"/>
    <pivotField name="Orders_filter" axis="axisPage" multipleItemSelectionAllowed="1" showAll="0">
      <items count="4">
        <item x="0"/>
        <item x="2"/>
        <item x="1"/>
        <item t="default"/>
      </items>
    </pivotField>
    <pivotField showAl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5">
    <i>
      <x v="61"/>
    </i>
    <i>
      <x v="435"/>
    </i>
    <i>
      <x v="660"/>
    </i>
    <i>
      <x v="363"/>
    </i>
    <i>
      <x v="136"/>
    </i>
  </rowItems>
  <colFields count="1">
    <field x="-2"/>
  </colFields>
  <colItems count="3">
    <i>
      <x/>
    </i>
    <i i="1">
      <x v="1"/>
    </i>
    <i i="2">
      <x v="2"/>
    </i>
  </colItems>
  <pageFields count="1">
    <pageField fld="16" hier="-1"/>
  </pageFields>
  <dataFields count="3">
    <dataField name="Refunds" fld="12" baseField="1" baseItem="61" numFmtId="167"/>
    <dataField name="Average" fld="12" subtotal="average" baseField="1" baseItem="61" numFmtId="166"/>
    <dataField name="Purchases" fld="1" subtotal="count" baseField="1" baseItem="665"/>
  </dataFields>
  <pivotTableStyleInfo name="PivotStyleMedium9" showRowHeaders="1" showColHeaders="1" showRowStripes="1" showColStripes="1" showLastColumn="1"/>
  <filters count="1">
    <filter fld="1" type="count" evalOrder="-1" id="8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5" minRefreshableVersion="3" useAutoFormatting="1" rowGrandTotals="0" colGrandTotals="0" itemPrintTitles="1" createdVersion="5" indent="0" outline="1" outlineData="1" multipleFieldFilters="0" rowHeaderCaption="Client">
  <location ref="H5:I15" firstHeaderRow="1" firstDataRow="1" firstDataCol="1" rowPageCount="1" colPageCount="1"/>
  <pivotFields count="20">
    <pivotField showAll="0"/>
    <pivotField axis="axisRow" showAll="0" measureFilter="1" sortType="descending">
      <items count="948">
        <item x="337"/>
        <item x="750"/>
        <item x="575"/>
        <item x="695"/>
        <item x="78"/>
        <item x="803"/>
        <item x="854"/>
        <item x="232"/>
        <item x="756"/>
        <item x="720"/>
        <item x="874"/>
        <item x="528"/>
        <item x="644"/>
        <item x="297"/>
        <item x="58"/>
        <item x="26"/>
        <item x="277"/>
        <item x="184"/>
        <item x="176"/>
        <item x="109"/>
        <item x="763"/>
        <item x="258"/>
        <item x="727"/>
        <item x="786"/>
        <item x="611"/>
        <item x="572"/>
        <item x="773"/>
        <item x="213"/>
        <item x="273"/>
        <item x="693"/>
        <item x="862"/>
        <item x="699"/>
        <item x="590"/>
        <item x="87"/>
        <item x="455"/>
        <item x="591"/>
        <item x="427"/>
        <item x="419"/>
        <item x="835"/>
        <item x="6"/>
        <item x="105"/>
        <item x="521"/>
        <item x="362"/>
        <item x="680"/>
        <item x="900"/>
        <item x="307"/>
        <item x="555"/>
        <item x="365"/>
        <item x="287"/>
        <item x="326"/>
        <item x="370"/>
        <item x="806"/>
        <item x="274"/>
        <item x="349"/>
        <item x="694"/>
        <item x="191"/>
        <item x="148"/>
        <item x="669"/>
        <item x="549"/>
        <item x="671"/>
        <item x="921"/>
        <item x="163"/>
        <item x="275"/>
        <item x="604"/>
        <item x="460"/>
        <item x="430"/>
        <item x="659"/>
        <item x="939"/>
        <item x="11"/>
        <item x="613"/>
        <item x="46"/>
        <item x="299"/>
        <item x="857"/>
        <item x="861"/>
        <item x="525"/>
        <item x="424"/>
        <item x="868"/>
        <item x="352"/>
        <item x="760"/>
        <item x="397"/>
        <item x="323"/>
        <item x="165"/>
        <item x="1"/>
        <item x="116"/>
        <item x="341"/>
        <item x="69"/>
        <item x="705"/>
        <item x="834"/>
        <item x="566"/>
        <item x="526"/>
        <item x="838"/>
        <item x="931"/>
        <item x="488"/>
        <item x="238"/>
        <item x="918"/>
        <item x="278"/>
        <item x="866"/>
        <item x="60"/>
        <item x="581"/>
        <item x="62"/>
        <item x="53"/>
        <item x="103"/>
        <item x="251"/>
        <item x="129"/>
        <item x="271"/>
        <item x="472"/>
        <item x="747"/>
        <item x="807"/>
        <item x="409"/>
        <item x="269"/>
        <item x="615"/>
        <item x="361"/>
        <item x="837"/>
        <item x="437"/>
        <item x="327"/>
        <item x="358"/>
        <item x="223"/>
        <item x="471"/>
        <item x="17"/>
        <item x="493"/>
        <item x="826"/>
        <item x="910"/>
        <item x="522"/>
        <item x="246"/>
        <item x="818"/>
        <item x="624"/>
        <item x="536"/>
        <item x="32"/>
        <item x="691"/>
        <item x="157"/>
        <item x="717"/>
        <item x="139"/>
        <item x="503"/>
        <item x="633"/>
        <item x="780"/>
        <item x="545"/>
        <item x="452"/>
        <item x="298"/>
        <item x="595"/>
        <item x="114"/>
        <item x="151"/>
        <item x="33"/>
        <item x="523"/>
        <item x="496"/>
        <item x="491"/>
        <item x="439"/>
        <item x="567"/>
        <item x="49"/>
        <item x="785"/>
        <item x="739"/>
        <item x="778"/>
        <item x="901"/>
        <item x="589"/>
        <item x="161"/>
        <item x="884"/>
        <item x="704"/>
        <item x="227"/>
        <item x="136"/>
        <item x="360"/>
        <item x="126"/>
        <item x="375"/>
        <item x="10"/>
        <item x="294"/>
        <item x="398"/>
        <item x="253"/>
        <item x="171"/>
        <item x="738"/>
        <item x="198"/>
        <item x="122"/>
        <item x="928"/>
        <item x="736"/>
        <item x="881"/>
        <item x="207"/>
        <item x="507"/>
        <item x="284"/>
        <item x="767"/>
        <item x="574"/>
        <item x="309"/>
        <item x="199"/>
        <item x="531"/>
        <item x="155"/>
        <item x="887"/>
        <item x="844"/>
        <item x="667"/>
        <item x="289"/>
        <item x="30"/>
        <item x="657"/>
        <item x="787"/>
        <item x="768"/>
        <item x="186"/>
        <item x="359"/>
        <item x="202"/>
        <item x="823"/>
        <item x="716"/>
        <item x="195"/>
        <item x="911"/>
        <item x="782"/>
        <item x="820"/>
        <item x="149"/>
        <item x="593"/>
        <item x="771"/>
        <item x="82"/>
        <item x="24"/>
        <item x="603"/>
        <item x="215"/>
        <item x="776"/>
        <item x="77"/>
        <item x="938"/>
        <item x="933"/>
        <item x="416"/>
        <item x="529"/>
        <item x="858"/>
        <item x="698"/>
        <item x="808"/>
        <item x="380"/>
        <item x="442"/>
        <item x="473"/>
        <item x="641"/>
        <item x="815"/>
        <item x="817"/>
        <item x="582"/>
        <item x="233"/>
        <item x="836"/>
        <item x="268"/>
        <item x="775"/>
        <item x="841"/>
        <item x="222"/>
        <item x="180"/>
        <item x="839"/>
        <item x="316"/>
        <item x="850"/>
        <item x="205"/>
        <item x="681"/>
        <item x="400"/>
        <item x="13"/>
        <item x="864"/>
        <item x="96"/>
        <item x="733"/>
        <item x="382"/>
        <item x="929"/>
        <item x="391"/>
        <item x="333"/>
        <item x="459"/>
        <item x="434"/>
        <item x="190"/>
        <item x="489"/>
        <item x="757"/>
        <item x="231"/>
        <item x="22"/>
        <item x="793"/>
        <item x="80"/>
        <item x="746"/>
        <item x="682"/>
        <item x="41"/>
        <item x="791"/>
        <item x="842"/>
        <item x="855"/>
        <item x="495"/>
        <item x="133"/>
        <item x="83"/>
        <item x="542"/>
        <item x="892"/>
        <item x="816"/>
        <item x="917"/>
        <item x="934"/>
        <item x="98"/>
        <item x="290"/>
        <item x="27"/>
        <item x="403"/>
        <item x="734"/>
        <item x="378"/>
        <item x="553"/>
        <item x="25"/>
        <item x="565"/>
        <item x="461"/>
        <item x="436"/>
        <item x="117"/>
        <item x="706"/>
        <item x="306"/>
        <item x="192"/>
        <item x="622"/>
        <item x="781"/>
        <item x="648"/>
        <item x="357"/>
        <item x="393"/>
        <item x="388"/>
        <item x="237"/>
        <item x="576"/>
        <item x="886"/>
        <item x="687"/>
        <item x="851"/>
        <item x="801"/>
        <item x="197"/>
        <item x="448"/>
        <item x="509"/>
        <item x="182"/>
        <item x="313"/>
        <item x="234"/>
        <item x="435"/>
        <item x="279"/>
        <item x="201"/>
        <item x="28"/>
        <item x="295"/>
        <item x="885"/>
        <item x="336"/>
        <item x="519"/>
        <item x="52"/>
        <item x="713"/>
        <item x="91"/>
        <item x="94"/>
        <item x="218"/>
        <item x="334"/>
        <item x="504"/>
        <item x="373"/>
        <item x="48"/>
        <item x="131"/>
        <item x="221"/>
        <item x="639"/>
        <item x="849"/>
        <item x="127"/>
        <item x="668"/>
        <item x="423"/>
        <item x="152"/>
        <item x="569"/>
        <item x="281"/>
        <item x="541"/>
        <item x="946"/>
        <item x="368"/>
        <item x="710"/>
        <item x="257"/>
        <item x="879"/>
        <item x="414"/>
        <item x="623"/>
        <item x="537"/>
        <item x="19"/>
        <item x="795"/>
        <item x="282"/>
        <item x="883"/>
        <item x="609"/>
        <item x="272"/>
        <item x="920"/>
        <item x="254"/>
        <item x="445"/>
        <item x="270"/>
        <item x="250"/>
        <item x="646"/>
        <item x="882"/>
        <item x="506"/>
        <item x="783"/>
        <item x="376"/>
        <item x="895"/>
        <item x="175"/>
        <item x="743"/>
        <item x="789"/>
        <item x="869"/>
        <item x="34"/>
        <item x="89"/>
        <item x="913"/>
        <item x="649"/>
        <item x="158"/>
        <item x="539"/>
        <item x="723"/>
        <item x="907"/>
        <item x="134"/>
        <item x="470"/>
        <item x="689"/>
        <item x="366"/>
        <item x="821"/>
        <item x="162"/>
        <item x="923"/>
        <item x="516"/>
        <item x="552"/>
        <item x="744"/>
        <item x="772"/>
        <item x="147"/>
        <item x="852"/>
        <item x="153"/>
        <item x="446"/>
        <item x="325"/>
        <item x="558"/>
        <item x="880"/>
        <item x="737"/>
        <item x="656"/>
        <item x="102"/>
        <item x="54"/>
        <item x="332"/>
        <item x="291"/>
        <item x="872"/>
        <item x="35"/>
        <item x="676"/>
        <item x="408"/>
        <item x="586"/>
        <item x="50"/>
        <item x="422"/>
        <item x="244"/>
        <item x="401"/>
        <item x="293"/>
        <item x="822"/>
        <item x="888"/>
        <item x="819"/>
        <item x="212"/>
        <item x="369"/>
        <item x="438"/>
        <item x="412"/>
        <item x="343"/>
        <item x="688"/>
        <item x="324"/>
        <item x="585"/>
        <item x="651"/>
        <item x="457"/>
        <item x="533"/>
        <item x="599"/>
        <item x="511"/>
        <item x="670"/>
        <item x="229"/>
        <item x="729"/>
        <item x="764"/>
        <item x="897"/>
        <item x="177"/>
        <item x="853"/>
        <item x="805"/>
        <item x="769"/>
        <item x="922"/>
        <item x="374"/>
        <item x="634"/>
        <item x="513"/>
        <item x="189"/>
        <item x="759"/>
        <item x="59"/>
        <item x="654"/>
        <item x="502"/>
        <item x="748"/>
        <item x="482"/>
        <item x="458"/>
        <item x="614"/>
        <item x="411"/>
        <item x="179"/>
        <item x="146"/>
        <item x="927"/>
        <item x="7"/>
        <item x="690"/>
        <item x="236"/>
        <item x="871"/>
        <item x="385"/>
        <item x="348"/>
        <item x="550"/>
        <item x="108"/>
        <item x="466"/>
        <item x="453"/>
        <item x="242"/>
        <item x="319"/>
        <item x="247"/>
        <item x="224"/>
        <item x="935"/>
        <item x="627"/>
        <item x="607"/>
        <item x="217"/>
        <item x="18"/>
        <item x="392"/>
        <item x="843"/>
        <item x="701"/>
        <item x="721"/>
        <item x="128"/>
        <item x="637"/>
        <item x="264"/>
        <item x="29"/>
        <item x="889"/>
        <item x="814"/>
        <item x="626"/>
        <item x="621"/>
        <item x="478"/>
        <item x="248"/>
        <item x="206"/>
        <item x="164"/>
        <item x="514"/>
        <item x="350"/>
        <item x="916"/>
        <item x="331"/>
        <item x="315"/>
        <item x="588"/>
        <item x="573"/>
        <item x="598"/>
        <item x="800"/>
        <item x="557"/>
        <item x="485"/>
        <item x="515"/>
        <item x="638"/>
        <item x="619"/>
        <item x="71"/>
        <item x="340"/>
        <item x="70"/>
        <item x="642"/>
        <item x="259"/>
        <item x="532"/>
        <item x="243"/>
        <item x="944"/>
        <item x="174"/>
        <item x="919"/>
        <item x="462"/>
        <item x="556"/>
        <item x="449"/>
        <item x="909"/>
        <item x="235"/>
        <item x="608"/>
        <item x="464"/>
        <item x="527"/>
        <item x="891"/>
        <item x="15"/>
        <item x="402"/>
        <item x="100"/>
        <item x="546"/>
        <item x="440"/>
        <item x="942"/>
        <item x="276"/>
        <item x="441"/>
        <item x="877"/>
        <item x="636"/>
        <item x="120"/>
        <item x="703"/>
        <item x="580"/>
        <item x="702"/>
        <item x="110"/>
        <item x="813"/>
        <item x="475"/>
        <item x="170"/>
        <item x="353"/>
        <item x="925"/>
        <item x="379"/>
        <item x="3"/>
        <item x="338"/>
        <item x="154"/>
        <item x="364"/>
        <item x="685"/>
        <item x="169"/>
        <item x="790"/>
        <item x="84"/>
        <item x="76"/>
        <item x="777"/>
        <item x="492"/>
        <item x="912"/>
        <item x="510"/>
        <item x="476"/>
        <item x="14"/>
        <item x="339"/>
        <item x="562"/>
        <item x="480"/>
        <item x="749"/>
        <item x="534"/>
        <item x="840"/>
        <item x="405"/>
        <item x="2"/>
        <item x="37"/>
        <item x="735"/>
        <item x="832"/>
        <item x="794"/>
        <item x="216"/>
        <item x="288"/>
        <item x="647"/>
        <item x="135"/>
        <item x="81"/>
        <item x="797"/>
        <item x="44"/>
        <item x="940"/>
        <item x="145"/>
        <item x="211"/>
        <item x="173"/>
        <item x="407"/>
        <item x="228"/>
        <item x="498"/>
        <item x="758"/>
        <item x="606"/>
        <item x="828"/>
        <item x="653"/>
        <item x="144"/>
        <item x="8"/>
        <item x="675"/>
        <item x="468"/>
        <item x="137"/>
        <item x="304"/>
        <item x="261"/>
        <item x="85"/>
        <item x="740"/>
        <item x="312"/>
        <item x="447"/>
        <item x="538"/>
        <item x="57"/>
        <item x="335"/>
        <item x="240"/>
        <item x="570"/>
        <item x="413"/>
        <item x="404"/>
        <item x="4"/>
        <item x="830"/>
        <item x="426"/>
        <item x="715"/>
        <item x="203"/>
        <item x="825"/>
        <item x="859"/>
        <item x="831"/>
        <item x="172"/>
        <item x="943"/>
        <item x="305"/>
        <item x="692"/>
        <item x="285"/>
        <item x="167"/>
        <item x="141"/>
        <item x="708"/>
        <item x="395"/>
        <item x="386"/>
        <item x="88"/>
        <item x="256"/>
        <item x="132"/>
        <item x="450"/>
        <item x="322"/>
        <item x="356"/>
        <item x="796"/>
        <item x="873"/>
        <item x="754"/>
        <item x="650"/>
        <item x="914"/>
        <item x="111"/>
        <item x="812"/>
        <item x="308"/>
        <item x="433"/>
        <item x="594"/>
        <item x="602"/>
        <item x="320"/>
        <item x="245"/>
        <item x="945"/>
        <item x="121"/>
        <item x="876"/>
        <item x="845"/>
        <item x="664"/>
        <item x="774"/>
        <item x="559"/>
        <item x="663"/>
        <item x="280"/>
        <item x="563"/>
        <item x="860"/>
        <item x="724"/>
        <item x="497"/>
        <item x="90"/>
        <item x="535"/>
        <item x="226"/>
        <item x="718"/>
        <item x="766"/>
        <item x="43"/>
        <item x="662"/>
        <item x="629"/>
        <item x="658"/>
        <item x="5"/>
        <item x="655"/>
        <item x="92"/>
        <item x="765"/>
        <item x="187"/>
        <item x="722"/>
        <item x="328"/>
        <item x="225"/>
        <item x="396"/>
        <item x="494"/>
        <item x="530"/>
        <item x="915"/>
        <item x="645"/>
        <item x="72"/>
        <item x="847"/>
        <item x="728"/>
        <item x="124"/>
        <item x="679"/>
        <item x="20"/>
        <item x="799"/>
        <item x="16"/>
        <item x="64"/>
        <item x="896"/>
        <item x="329"/>
        <item x="761"/>
        <item x="383"/>
        <item x="906"/>
        <item x="686"/>
        <item x="707"/>
        <item x="890"/>
        <item x="168"/>
        <item x="520"/>
        <item x="477"/>
        <item x="620"/>
        <item x="194"/>
        <item x="811"/>
        <item x="156"/>
        <item x="508"/>
        <item x="601"/>
        <item x="321"/>
        <item x="210"/>
        <item x="381"/>
        <item x="517"/>
        <item x="941"/>
        <item x="317"/>
        <item x="387"/>
        <item x="130"/>
        <item x="677"/>
        <item x="204"/>
        <item x="926"/>
        <item x="286"/>
        <item x="486"/>
        <item x="86"/>
        <item x="732"/>
        <item x="418"/>
        <item x="741"/>
        <item x="140"/>
        <item x="672"/>
        <item x="908"/>
        <item x="347"/>
        <item x="484"/>
        <item x="443"/>
        <item x="700"/>
        <item x="551"/>
        <item x="399"/>
        <item x="66"/>
        <item x="56"/>
        <item x="628"/>
        <item x="712"/>
        <item x="731"/>
        <item x="125"/>
        <item x="252"/>
        <item x="856"/>
        <item x="390"/>
        <item x="106"/>
        <item x="684"/>
        <item x="107"/>
        <item x="631"/>
        <item x="809"/>
        <item x="241"/>
        <item x="12"/>
        <item x="344"/>
        <item x="587"/>
        <item x="311"/>
        <item x="678"/>
        <item x="742"/>
        <item x="770"/>
        <item x="625"/>
        <item x="632"/>
        <item x="371"/>
        <item x="260"/>
        <item x="571"/>
        <item x="342"/>
        <item x="113"/>
        <item x="42"/>
        <item x="643"/>
        <item x="490"/>
        <item x="345"/>
        <item x="193"/>
        <item x="45"/>
        <item x="560"/>
        <item x="893"/>
        <item x="544"/>
        <item x="185"/>
        <item x="597"/>
        <item x="870"/>
        <item x="219"/>
        <item x="431"/>
        <item x="454"/>
        <item x="596"/>
        <item x="467"/>
        <item x="878"/>
        <item x="303"/>
        <item x="75"/>
        <item x="95"/>
        <item x="610"/>
        <item x="683"/>
        <item x="487"/>
        <item x="600"/>
        <item x="377"/>
        <item x="465"/>
        <item x="0"/>
        <item x="160"/>
        <item x="937"/>
        <item x="561"/>
        <item x="846"/>
        <item x="479"/>
        <item x="267"/>
        <item x="302"/>
        <item x="661"/>
        <item x="444"/>
        <item x="104"/>
        <item x="389"/>
        <item x="138"/>
        <item x="220"/>
        <item x="367"/>
        <item x="118"/>
        <item x="578"/>
        <item x="579"/>
        <item x="505"/>
        <item x="384"/>
        <item x="584"/>
        <item x="292"/>
        <item x="554"/>
        <item x="751"/>
        <item x="501"/>
        <item x="330"/>
        <item x="40"/>
        <item x="142"/>
        <item x="428"/>
        <item x="802"/>
        <item x="159"/>
        <item x="51"/>
        <item x="301"/>
        <item x="725"/>
        <item x="673"/>
        <item x="123"/>
        <item x="548"/>
        <item x="524"/>
        <item x="804"/>
        <item x="429"/>
        <item x="61"/>
        <item x="719"/>
        <item x="635"/>
        <item x="469"/>
        <item x="829"/>
        <item x="425"/>
        <item x="711"/>
        <item x="265"/>
        <item x="263"/>
        <item x="665"/>
        <item x="568"/>
        <item x="112"/>
        <item x="410"/>
        <item x="640"/>
        <item x="31"/>
        <item x="183"/>
        <item x="865"/>
        <item x="867"/>
        <item x="810"/>
        <item x="363"/>
        <item x="296"/>
        <item x="660"/>
        <item x="23"/>
        <item x="115"/>
        <item x="474"/>
        <item x="848"/>
        <item x="63"/>
        <item x="564"/>
        <item x="65"/>
        <item x="618"/>
        <item x="67"/>
        <item x="605"/>
        <item x="652"/>
        <item x="730"/>
        <item x="674"/>
        <item x="898"/>
        <item x="902"/>
        <item x="784"/>
        <item x="346"/>
        <item x="55"/>
        <item x="314"/>
        <item x="150"/>
        <item x="262"/>
        <item x="406"/>
        <item x="181"/>
        <item x="79"/>
        <item x="798"/>
        <item x="483"/>
        <item x="630"/>
        <item x="249"/>
        <item x="540"/>
        <item x="930"/>
        <item x="904"/>
        <item x="456"/>
        <item x="300"/>
        <item x="101"/>
        <item x="209"/>
        <item x="372"/>
        <item x="827"/>
        <item x="697"/>
        <item x="714"/>
        <item x="99"/>
        <item x="208"/>
        <item x="792"/>
        <item x="166"/>
        <item x="709"/>
        <item x="318"/>
        <item x="592"/>
        <item x="753"/>
        <item x="266"/>
        <item x="47"/>
        <item x="726"/>
        <item x="420"/>
        <item x="355"/>
        <item x="351"/>
        <item x="283"/>
        <item x="9"/>
        <item x="463"/>
        <item x="196"/>
        <item x="239"/>
        <item x="824"/>
        <item x="93"/>
        <item x="894"/>
        <item x="583"/>
        <item x="616"/>
        <item x="39"/>
        <item x="745"/>
        <item x="230"/>
        <item x="666"/>
        <item x="936"/>
        <item x="779"/>
        <item x="394"/>
        <item x="68"/>
        <item x="924"/>
        <item x="547"/>
        <item x="863"/>
        <item x="788"/>
        <item x="73"/>
        <item x="903"/>
        <item x="617"/>
        <item x="905"/>
        <item x="518"/>
        <item x="752"/>
        <item x="543"/>
        <item x="21"/>
        <item x="833"/>
        <item x="200"/>
        <item x="74"/>
        <item x="499"/>
        <item x="500"/>
        <item x="310"/>
        <item x="696"/>
        <item x="255"/>
        <item x="119"/>
        <item x="899"/>
        <item x="451"/>
        <item x="38"/>
        <item x="875"/>
        <item x="188"/>
        <item x="421"/>
        <item x="214"/>
        <item x="755"/>
        <item x="36"/>
        <item x="612"/>
        <item x="432"/>
        <item x="143"/>
        <item x="512"/>
        <item x="932"/>
        <item x="762"/>
        <item x="481"/>
        <item x="354"/>
        <item x="415"/>
        <item x="178"/>
        <item x="417"/>
        <item x="577"/>
        <item x="9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4" showAll="0"/>
    <pivotField numFmtId="164" showAll="0"/>
    <pivotField dataField="1" numFmtId="165" showAll="0">
      <items count="91">
        <item x="75"/>
        <item x="60"/>
        <item x="66"/>
        <item x="30"/>
        <item x="58"/>
        <item x="1"/>
        <item x="46"/>
        <item x="28"/>
        <item x="63"/>
        <item x="70"/>
        <item x="11"/>
        <item x="53"/>
        <item x="82"/>
        <item x="39"/>
        <item x="22"/>
        <item x="83"/>
        <item x="3"/>
        <item x="79"/>
        <item x="77"/>
        <item x="21"/>
        <item x="19"/>
        <item x="5"/>
        <item x="52"/>
        <item x="6"/>
        <item x="32"/>
        <item x="27"/>
        <item x="56"/>
        <item x="64"/>
        <item x="2"/>
        <item x="44"/>
        <item x="31"/>
        <item x="89"/>
        <item x="80"/>
        <item x="43"/>
        <item x="33"/>
        <item x="47"/>
        <item x="26"/>
        <item x="48"/>
        <item x="15"/>
        <item x="87"/>
        <item x="36"/>
        <item x="14"/>
        <item x="35"/>
        <item x="54"/>
        <item x="68"/>
        <item x="51"/>
        <item x="37"/>
        <item x="17"/>
        <item x="34"/>
        <item x="10"/>
        <item x="9"/>
        <item x="50"/>
        <item x="41"/>
        <item x="85"/>
        <item x="67"/>
        <item x="12"/>
        <item x="18"/>
        <item x="76"/>
        <item x="0"/>
        <item x="4"/>
        <item x="38"/>
        <item x="25"/>
        <item x="55"/>
        <item x="73"/>
        <item x="69"/>
        <item x="84"/>
        <item x="61"/>
        <item x="40"/>
        <item x="16"/>
        <item x="62"/>
        <item x="13"/>
        <item x="71"/>
        <item x="29"/>
        <item x="74"/>
        <item x="59"/>
        <item x="24"/>
        <item x="23"/>
        <item x="78"/>
        <item x="88"/>
        <item x="49"/>
        <item x="7"/>
        <item x="20"/>
        <item x="65"/>
        <item x="42"/>
        <item x="8"/>
        <item x="86"/>
        <item x="57"/>
        <item x="45"/>
        <item x="72"/>
        <item x="81"/>
        <item t="default"/>
      </items>
    </pivotField>
    <pivotField numFmtId="167" showAll="0"/>
    <pivotField numFmtId="167" showAll="0"/>
    <pivotField showAll="0"/>
    <pivotField showAll="0"/>
    <pivotField numFmtId="167" showAll="0"/>
    <pivotField numFmtId="167" showAll="0"/>
    <pivotField numFmtId="167" showAll="0"/>
    <pivotField numFmtId="167" showAll="0"/>
    <pivotField numFmtId="167" showAll="0"/>
    <pivotField numFmtId="167" showAll="0"/>
    <pivotField name="Orders_filter" axis="axisPage" multipleItemSelectionAllowed="1" showAll="0">
      <items count="4">
        <item h="1" x="0"/>
        <item x="2"/>
        <item x="1"/>
        <item t="default"/>
      </items>
    </pivotField>
    <pivotField showAl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10">
    <i>
      <x v="937"/>
    </i>
    <i>
      <x v="435"/>
    </i>
    <i>
      <x v="920"/>
    </i>
    <i>
      <x v="727"/>
    </i>
    <i>
      <x v="227"/>
    </i>
    <i>
      <x v="457"/>
    </i>
    <i>
      <x v="620"/>
    </i>
    <i>
      <x v="84"/>
    </i>
    <i>
      <x v="136"/>
    </i>
    <i>
      <x v="867"/>
    </i>
  </rowItems>
  <colItems count="1">
    <i/>
  </colItems>
  <pageFields count="1">
    <pageField fld="16" hier="-1"/>
  </pageFields>
  <dataFields count="1">
    <dataField name="Delivery time" fld="5" subtotal="average" baseField="1" baseItem="0" numFmtId="165"/>
  </dataFields>
  <pivotTableStyleInfo name="PivotStyleMedium9" showRowHeaders="1" showColHeaders="1" showRowStripes="1" showColStripes="1" showLastColumn="1"/>
  <filters count="1">
    <filter fld="1" type="count" evalOrder="-1" id="3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5" minRefreshableVersion="3" useAutoFormatting="1" rowGrandTotals="0" colGrandTotals="0" itemPrintTitles="1" createdVersion="5" indent="0" outline="1" outlineData="1" multipleFieldFilters="0" rowHeaderCaption="Client">
  <location ref="E5:F15" firstHeaderRow="1" firstDataRow="1" firstDataCol="1" rowPageCount="1" colPageCount="1"/>
  <pivotFields count="20">
    <pivotField showAll="0"/>
    <pivotField axis="axisRow" showAll="0" measureFilter="1" sortType="ascending">
      <items count="948">
        <item x="337"/>
        <item x="750"/>
        <item x="575"/>
        <item x="695"/>
        <item x="78"/>
        <item x="803"/>
        <item x="854"/>
        <item x="232"/>
        <item x="756"/>
        <item x="720"/>
        <item x="874"/>
        <item x="528"/>
        <item x="644"/>
        <item x="297"/>
        <item x="58"/>
        <item x="26"/>
        <item x="277"/>
        <item x="184"/>
        <item x="176"/>
        <item x="109"/>
        <item x="763"/>
        <item x="258"/>
        <item x="727"/>
        <item x="786"/>
        <item x="611"/>
        <item x="572"/>
        <item x="773"/>
        <item x="213"/>
        <item x="273"/>
        <item x="693"/>
        <item x="862"/>
        <item x="699"/>
        <item x="590"/>
        <item x="87"/>
        <item x="455"/>
        <item x="591"/>
        <item x="427"/>
        <item x="419"/>
        <item x="835"/>
        <item x="6"/>
        <item x="105"/>
        <item x="521"/>
        <item x="362"/>
        <item x="680"/>
        <item x="900"/>
        <item x="307"/>
        <item x="555"/>
        <item x="365"/>
        <item x="287"/>
        <item x="326"/>
        <item x="370"/>
        <item x="806"/>
        <item x="274"/>
        <item x="349"/>
        <item x="694"/>
        <item x="191"/>
        <item x="148"/>
        <item x="669"/>
        <item x="549"/>
        <item x="671"/>
        <item x="921"/>
        <item x="163"/>
        <item x="275"/>
        <item x="604"/>
        <item x="460"/>
        <item x="430"/>
        <item x="659"/>
        <item x="939"/>
        <item x="11"/>
        <item x="613"/>
        <item x="46"/>
        <item x="299"/>
        <item x="857"/>
        <item x="861"/>
        <item x="525"/>
        <item x="424"/>
        <item x="868"/>
        <item x="352"/>
        <item x="760"/>
        <item x="397"/>
        <item x="323"/>
        <item x="165"/>
        <item x="1"/>
        <item x="116"/>
        <item x="341"/>
        <item x="69"/>
        <item x="705"/>
        <item x="834"/>
        <item x="566"/>
        <item x="526"/>
        <item x="838"/>
        <item x="931"/>
        <item x="488"/>
        <item x="238"/>
        <item x="918"/>
        <item x="278"/>
        <item x="866"/>
        <item x="60"/>
        <item x="581"/>
        <item x="62"/>
        <item x="53"/>
        <item x="103"/>
        <item x="251"/>
        <item x="129"/>
        <item x="271"/>
        <item x="472"/>
        <item x="747"/>
        <item x="807"/>
        <item x="409"/>
        <item x="269"/>
        <item x="615"/>
        <item x="361"/>
        <item x="837"/>
        <item x="437"/>
        <item x="327"/>
        <item x="358"/>
        <item x="223"/>
        <item x="471"/>
        <item x="17"/>
        <item x="493"/>
        <item x="826"/>
        <item x="910"/>
        <item x="522"/>
        <item x="246"/>
        <item x="818"/>
        <item x="624"/>
        <item x="536"/>
        <item x="32"/>
        <item x="691"/>
        <item x="157"/>
        <item x="717"/>
        <item x="139"/>
        <item x="503"/>
        <item x="633"/>
        <item x="780"/>
        <item x="545"/>
        <item x="452"/>
        <item x="298"/>
        <item x="595"/>
        <item x="114"/>
        <item x="151"/>
        <item x="33"/>
        <item x="523"/>
        <item x="496"/>
        <item x="491"/>
        <item x="439"/>
        <item x="567"/>
        <item x="49"/>
        <item x="785"/>
        <item x="739"/>
        <item x="778"/>
        <item x="901"/>
        <item x="589"/>
        <item x="161"/>
        <item x="884"/>
        <item x="704"/>
        <item x="227"/>
        <item x="136"/>
        <item x="360"/>
        <item x="126"/>
        <item x="375"/>
        <item x="10"/>
        <item x="294"/>
        <item x="398"/>
        <item x="253"/>
        <item x="171"/>
        <item x="738"/>
        <item x="198"/>
        <item x="122"/>
        <item x="928"/>
        <item x="736"/>
        <item x="881"/>
        <item x="207"/>
        <item x="507"/>
        <item x="284"/>
        <item x="767"/>
        <item x="574"/>
        <item x="309"/>
        <item x="199"/>
        <item x="531"/>
        <item x="155"/>
        <item x="887"/>
        <item x="844"/>
        <item x="667"/>
        <item x="289"/>
        <item x="30"/>
        <item x="657"/>
        <item x="787"/>
        <item x="768"/>
        <item x="186"/>
        <item x="359"/>
        <item x="202"/>
        <item x="823"/>
        <item x="716"/>
        <item x="195"/>
        <item x="911"/>
        <item x="782"/>
        <item x="820"/>
        <item x="149"/>
        <item x="593"/>
        <item x="771"/>
        <item x="82"/>
        <item x="24"/>
        <item x="603"/>
        <item x="215"/>
        <item x="776"/>
        <item x="77"/>
        <item x="938"/>
        <item x="933"/>
        <item x="416"/>
        <item x="529"/>
        <item x="858"/>
        <item x="698"/>
        <item x="808"/>
        <item x="380"/>
        <item x="442"/>
        <item x="473"/>
        <item x="641"/>
        <item x="815"/>
        <item x="817"/>
        <item x="582"/>
        <item x="233"/>
        <item x="836"/>
        <item x="268"/>
        <item x="775"/>
        <item x="841"/>
        <item x="222"/>
        <item x="180"/>
        <item x="839"/>
        <item x="316"/>
        <item x="850"/>
        <item x="205"/>
        <item x="681"/>
        <item x="400"/>
        <item x="13"/>
        <item x="864"/>
        <item x="96"/>
        <item x="733"/>
        <item x="382"/>
        <item x="929"/>
        <item x="391"/>
        <item x="333"/>
        <item x="459"/>
        <item x="434"/>
        <item x="190"/>
        <item x="489"/>
        <item x="757"/>
        <item x="231"/>
        <item x="22"/>
        <item x="793"/>
        <item x="80"/>
        <item x="746"/>
        <item x="682"/>
        <item x="41"/>
        <item x="791"/>
        <item x="842"/>
        <item x="855"/>
        <item x="495"/>
        <item x="133"/>
        <item x="83"/>
        <item x="542"/>
        <item x="892"/>
        <item x="816"/>
        <item x="917"/>
        <item x="934"/>
        <item x="98"/>
        <item x="290"/>
        <item x="27"/>
        <item x="403"/>
        <item x="734"/>
        <item x="378"/>
        <item x="553"/>
        <item x="25"/>
        <item x="565"/>
        <item x="461"/>
        <item x="436"/>
        <item x="117"/>
        <item x="706"/>
        <item x="306"/>
        <item x="192"/>
        <item x="622"/>
        <item x="781"/>
        <item x="648"/>
        <item x="357"/>
        <item x="393"/>
        <item x="388"/>
        <item x="237"/>
        <item x="576"/>
        <item x="886"/>
        <item x="687"/>
        <item x="851"/>
        <item x="801"/>
        <item x="197"/>
        <item x="448"/>
        <item x="509"/>
        <item x="182"/>
        <item x="313"/>
        <item x="234"/>
        <item x="435"/>
        <item x="279"/>
        <item x="201"/>
        <item x="28"/>
        <item x="295"/>
        <item x="885"/>
        <item x="336"/>
        <item x="519"/>
        <item x="52"/>
        <item x="713"/>
        <item x="91"/>
        <item x="94"/>
        <item x="218"/>
        <item x="334"/>
        <item x="504"/>
        <item x="373"/>
        <item x="48"/>
        <item x="131"/>
        <item x="221"/>
        <item x="639"/>
        <item x="849"/>
        <item x="127"/>
        <item x="668"/>
        <item x="423"/>
        <item x="152"/>
        <item x="569"/>
        <item x="281"/>
        <item x="541"/>
        <item x="946"/>
        <item x="368"/>
        <item x="710"/>
        <item x="257"/>
        <item x="879"/>
        <item x="414"/>
        <item x="623"/>
        <item x="537"/>
        <item x="19"/>
        <item x="795"/>
        <item x="282"/>
        <item x="883"/>
        <item x="609"/>
        <item x="272"/>
        <item x="920"/>
        <item x="254"/>
        <item x="445"/>
        <item x="270"/>
        <item x="250"/>
        <item x="646"/>
        <item x="882"/>
        <item x="506"/>
        <item x="783"/>
        <item x="376"/>
        <item x="895"/>
        <item x="175"/>
        <item x="743"/>
        <item x="789"/>
        <item x="869"/>
        <item x="34"/>
        <item x="89"/>
        <item x="913"/>
        <item x="649"/>
        <item x="158"/>
        <item x="539"/>
        <item x="723"/>
        <item x="907"/>
        <item x="134"/>
        <item x="470"/>
        <item x="689"/>
        <item x="366"/>
        <item x="821"/>
        <item x="162"/>
        <item x="923"/>
        <item x="516"/>
        <item x="552"/>
        <item x="744"/>
        <item x="772"/>
        <item x="147"/>
        <item x="852"/>
        <item x="153"/>
        <item x="446"/>
        <item x="325"/>
        <item x="558"/>
        <item x="880"/>
        <item x="737"/>
        <item x="656"/>
        <item x="102"/>
        <item x="54"/>
        <item x="332"/>
        <item x="291"/>
        <item x="872"/>
        <item x="35"/>
        <item x="676"/>
        <item x="408"/>
        <item x="586"/>
        <item x="50"/>
        <item x="422"/>
        <item x="244"/>
        <item x="401"/>
        <item x="293"/>
        <item x="822"/>
        <item x="888"/>
        <item x="819"/>
        <item x="212"/>
        <item x="369"/>
        <item x="438"/>
        <item x="412"/>
        <item x="343"/>
        <item x="688"/>
        <item x="324"/>
        <item x="585"/>
        <item x="651"/>
        <item x="457"/>
        <item x="533"/>
        <item x="599"/>
        <item x="511"/>
        <item x="670"/>
        <item x="229"/>
        <item x="729"/>
        <item x="764"/>
        <item x="897"/>
        <item x="177"/>
        <item x="853"/>
        <item x="805"/>
        <item x="769"/>
        <item x="922"/>
        <item x="374"/>
        <item x="634"/>
        <item x="513"/>
        <item x="189"/>
        <item x="759"/>
        <item x="59"/>
        <item x="654"/>
        <item x="502"/>
        <item x="748"/>
        <item x="482"/>
        <item x="458"/>
        <item x="614"/>
        <item x="411"/>
        <item x="179"/>
        <item x="146"/>
        <item x="927"/>
        <item x="7"/>
        <item x="690"/>
        <item x="236"/>
        <item x="871"/>
        <item x="385"/>
        <item x="348"/>
        <item x="550"/>
        <item x="108"/>
        <item x="466"/>
        <item x="453"/>
        <item x="242"/>
        <item x="319"/>
        <item x="247"/>
        <item x="224"/>
        <item x="935"/>
        <item x="627"/>
        <item x="607"/>
        <item x="217"/>
        <item x="18"/>
        <item x="392"/>
        <item x="843"/>
        <item x="701"/>
        <item x="721"/>
        <item x="128"/>
        <item x="637"/>
        <item x="264"/>
        <item x="29"/>
        <item x="889"/>
        <item x="814"/>
        <item x="626"/>
        <item x="621"/>
        <item x="478"/>
        <item x="248"/>
        <item x="206"/>
        <item x="164"/>
        <item x="514"/>
        <item x="350"/>
        <item x="916"/>
        <item x="331"/>
        <item x="315"/>
        <item x="588"/>
        <item x="573"/>
        <item x="598"/>
        <item x="800"/>
        <item x="557"/>
        <item x="485"/>
        <item x="515"/>
        <item x="638"/>
        <item x="619"/>
        <item x="71"/>
        <item x="340"/>
        <item x="70"/>
        <item x="642"/>
        <item x="259"/>
        <item x="532"/>
        <item x="243"/>
        <item x="944"/>
        <item x="174"/>
        <item x="919"/>
        <item x="462"/>
        <item x="556"/>
        <item x="449"/>
        <item x="909"/>
        <item x="235"/>
        <item x="608"/>
        <item x="464"/>
        <item x="527"/>
        <item x="891"/>
        <item x="15"/>
        <item x="402"/>
        <item x="100"/>
        <item x="546"/>
        <item x="440"/>
        <item x="942"/>
        <item x="276"/>
        <item x="441"/>
        <item x="877"/>
        <item x="636"/>
        <item x="120"/>
        <item x="703"/>
        <item x="580"/>
        <item x="702"/>
        <item x="110"/>
        <item x="813"/>
        <item x="475"/>
        <item x="170"/>
        <item x="353"/>
        <item x="925"/>
        <item x="379"/>
        <item x="3"/>
        <item x="338"/>
        <item x="154"/>
        <item x="364"/>
        <item x="685"/>
        <item x="169"/>
        <item x="790"/>
        <item x="84"/>
        <item x="76"/>
        <item x="777"/>
        <item x="492"/>
        <item x="912"/>
        <item x="510"/>
        <item x="476"/>
        <item x="14"/>
        <item x="339"/>
        <item x="562"/>
        <item x="480"/>
        <item x="749"/>
        <item x="534"/>
        <item x="840"/>
        <item x="405"/>
        <item x="2"/>
        <item x="37"/>
        <item x="735"/>
        <item x="832"/>
        <item x="794"/>
        <item x="216"/>
        <item x="288"/>
        <item x="647"/>
        <item x="135"/>
        <item x="81"/>
        <item x="797"/>
        <item x="44"/>
        <item x="940"/>
        <item x="145"/>
        <item x="211"/>
        <item x="173"/>
        <item x="407"/>
        <item x="228"/>
        <item x="498"/>
        <item x="758"/>
        <item x="606"/>
        <item x="828"/>
        <item x="653"/>
        <item x="144"/>
        <item x="8"/>
        <item x="675"/>
        <item x="468"/>
        <item x="137"/>
        <item x="304"/>
        <item x="261"/>
        <item x="85"/>
        <item x="740"/>
        <item x="312"/>
        <item x="447"/>
        <item x="538"/>
        <item x="57"/>
        <item x="335"/>
        <item x="240"/>
        <item x="570"/>
        <item x="413"/>
        <item x="404"/>
        <item x="4"/>
        <item x="830"/>
        <item x="426"/>
        <item x="715"/>
        <item x="203"/>
        <item x="825"/>
        <item x="859"/>
        <item x="831"/>
        <item x="172"/>
        <item x="943"/>
        <item x="305"/>
        <item x="692"/>
        <item x="285"/>
        <item x="167"/>
        <item x="141"/>
        <item x="708"/>
        <item x="395"/>
        <item x="386"/>
        <item x="88"/>
        <item x="256"/>
        <item x="132"/>
        <item x="450"/>
        <item x="322"/>
        <item x="356"/>
        <item x="796"/>
        <item x="873"/>
        <item x="754"/>
        <item x="650"/>
        <item x="914"/>
        <item x="111"/>
        <item x="812"/>
        <item x="308"/>
        <item x="433"/>
        <item x="594"/>
        <item x="602"/>
        <item x="320"/>
        <item x="245"/>
        <item x="945"/>
        <item x="121"/>
        <item x="876"/>
        <item x="845"/>
        <item x="664"/>
        <item x="774"/>
        <item x="559"/>
        <item x="663"/>
        <item x="280"/>
        <item x="563"/>
        <item x="860"/>
        <item x="724"/>
        <item x="497"/>
        <item x="90"/>
        <item x="535"/>
        <item x="226"/>
        <item x="718"/>
        <item x="766"/>
        <item x="43"/>
        <item x="662"/>
        <item x="629"/>
        <item x="658"/>
        <item x="5"/>
        <item x="655"/>
        <item x="92"/>
        <item x="765"/>
        <item x="187"/>
        <item x="722"/>
        <item x="328"/>
        <item x="225"/>
        <item x="396"/>
        <item x="494"/>
        <item x="530"/>
        <item x="915"/>
        <item x="645"/>
        <item x="72"/>
        <item x="847"/>
        <item x="728"/>
        <item x="124"/>
        <item x="679"/>
        <item x="20"/>
        <item x="799"/>
        <item x="16"/>
        <item x="64"/>
        <item x="896"/>
        <item x="329"/>
        <item x="761"/>
        <item x="383"/>
        <item x="906"/>
        <item x="686"/>
        <item x="707"/>
        <item x="890"/>
        <item x="168"/>
        <item x="520"/>
        <item x="477"/>
        <item x="620"/>
        <item x="194"/>
        <item x="811"/>
        <item x="156"/>
        <item x="508"/>
        <item x="601"/>
        <item x="321"/>
        <item x="210"/>
        <item x="381"/>
        <item x="517"/>
        <item x="941"/>
        <item x="317"/>
        <item x="387"/>
        <item x="130"/>
        <item x="677"/>
        <item x="204"/>
        <item x="926"/>
        <item x="286"/>
        <item x="486"/>
        <item x="86"/>
        <item x="732"/>
        <item x="418"/>
        <item x="741"/>
        <item x="140"/>
        <item x="672"/>
        <item x="908"/>
        <item x="347"/>
        <item x="484"/>
        <item x="443"/>
        <item x="700"/>
        <item x="551"/>
        <item x="399"/>
        <item x="66"/>
        <item x="56"/>
        <item x="628"/>
        <item x="712"/>
        <item x="731"/>
        <item x="125"/>
        <item x="252"/>
        <item x="856"/>
        <item x="390"/>
        <item x="106"/>
        <item x="684"/>
        <item x="107"/>
        <item x="631"/>
        <item x="809"/>
        <item x="241"/>
        <item x="12"/>
        <item x="344"/>
        <item x="587"/>
        <item x="311"/>
        <item x="678"/>
        <item x="742"/>
        <item x="770"/>
        <item x="625"/>
        <item x="632"/>
        <item x="371"/>
        <item x="260"/>
        <item x="571"/>
        <item x="342"/>
        <item x="113"/>
        <item x="42"/>
        <item x="643"/>
        <item x="490"/>
        <item x="345"/>
        <item x="193"/>
        <item x="45"/>
        <item x="560"/>
        <item x="893"/>
        <item x="544"/>
        <item x="185"/>
        <item x="597"/>
        <item x="870"/>
        <item x="219"/>
        <item x="431"/>
        <item x="454"/>
        <item x="596"/>
        <item x="467"/>
        <item x="878"/>
        <item x="303"/>
        <item x="75"/>
        <item x="95"/>
        <item x="610"/>
        <item x="683"/>
        <item x="487"/>
        <item x="600"/>
        <item x="377"/>
        <item x="465"/>
        <item x="0"/>
        <item x="160"/>
        <item x="937"/>
        <item x="561"/>
        <item x="846"/>
        <item x="479"/>
        <item x="267"/>
        <item x="302"/>
        <item x="661"/>
        <item x="444"/>
        <item x="104"/>
        <item x="389"/>
        <item x="138"/>
        <item x="220"/>
        <item x="367"/>
        <item x="118"/>
        <item x="578"/>
        <item x="579"/>
        <item x="505"/>
        <item x="384"/>
        <item x="584"/>
        <item x="292"/>
        <item x="554"/>
        <item x="751"/>
        <item x="501"/>
        <item x="330"/>
        <item x="40"/>
        <item x="142"/>
        <item x="428"/>
        <item x="802"/>
        <item x="159"/>
        <item x="51"/>
        <item x="301"/>
        <item x="725"/>
        <item x="673"/>
        <item x="123"/>
        <item x="548"/>
        <item x="524"/>
        <item x="804"/>
        <item x="429"/>
        <item x="61"/>
        <item x="719"/>
        <item x="635"/>
        <item x="469"/>
        <item x="829"/>
        <item x="425"/>
        <item x="711"/>
        <item x="265"/>
        <item x="263"/>
        <item x="665"/>
        <item x="568"/>
        <item x="112"/>
        <item x="410"/>
        <item x="640"/>
        <item x="31"/>
        <item x="183"/>
        <item x="865"/>
        <item x="867"/>
        <item x="810"/>
        <item x="363"/>
        <item x="296"/>
        <item x="660"/>
        <item x="23"/>
        <item x="115"/>
        <item x="474"/>
        <item x="848"/>
        <item x="63"/>
        <item x="564"/>
        <item x="65"/>
        <item x="618"/>
        <item x="67"/>
        <item x="605"/>
        <item x="652"/>
        <item x="730"/>
        <item x="674"/>
        <item x="898"/>
        <item x="902"/>
        <item x="784"/>
        <item x="346"/>
        <item x="55"/>
        <item x="314"/>
        <item x="150"/>
        <item x="262"/>
        <item x="406"/>
        <item x="181"/>
        <item x="79"/>
        <item x="798"/>
        <item x="483"/>
        <item x="630"/>
        <item x="249"/>
        <item x="540"/>
        <item x="930"/>
        <item x="904"/>
        <item x="456"/>
        <item x="300"/>
        <item x="101"/>
        <item x="209"/>
        <item x="372"/>
        <item x="827"/>
        <item x="697"/>
        <item x="714"/>
        <item x="99"/>
        <item x="208"/>
        <item x="792"/>
        <item x="166"/>
        <item x="709"/>
        <item x="318"/>
        <item x="592"/>
        <item x="753"/>
        <item x="266"/>
        <item x="47"/>
        <item x="726"/>
        <item x="420"/>
        <item x="355"/>
        <item x="351"/>
        <item x="283"/>
        <item x="9"/>
        <item x="463"/>
        <item x="196"/>
        <item x="239"/>
        <item x="824"/>
        <item x="93"/>
        <item x="894"/>
        <item x="583"/>
        <item x="616"/>
        <item x="39"/>
        <item x="745"/>
        <item x="230"/>
        <item x="666"/>
        <item x="936"/>
        <item x="779"/>
        <item x="394"/>
        <item x="68"/>
        <item x="924"/>
        <item x="547"/>
        <item x="863"/>
        <item x="788"/>
        <item x="73"/>
        <item x="903"/>
        <item x="617"/>
        <item x="905"/>
        <item x="518"/>
        <item x="752"/>
        <item x="543"/>
        <item x="21"/>
        <item x="833"/>
        <item x="200"/>
        <item x="74"/>
        <item x="499"/>
        <item x="500"/>
        <item x="310"/>
        <item x="696"/>
        <item x="255"/>
        <item x="119"/>
        <item x="899"/>
        <item x="451"/>
        <item x="38"/>
        <item x="875"/>
        <item x="188"/>
        <item x="421"/>
        <item x="214"/>
        <item x="755"/>
        <item x="36"/>
        <item x="612"/>
        <item x="432"/>
        <item x="143"/>
        <item x="512"/>
        <item x="932"/>
        <item x="762"/>
        <item x="481"/>
        <item x="354"/>
        <item x="415"/>
        <item x="178"/>
        <item x="417"/>
        <item x="577"/>
        <item x="9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4" showAll="0"/>
    <pivotField numFmtId="164" showAll="0"/>
    <pivotField dataField="1" numFmtId="165" showAll="0">
      <items count="91">
        <item x="75"/>
        <item x="60"/>
        <item x="66"/>
        <item x="30"/>
        <item x="58"/>
        <item x="1"/>
        <item x="46"/>
        <item x="28"/>
        <item x="63"/>
        <item x="70"/>
        <item x="11"/>
        <item x="53"/>
        <item x="82"/>
        <item x="39"/>
        <item x="22"/>
        <item x="83"/>
        <item x="3"/>
        <item x="79"/>
        <item x="77"/>
        <item x="21"/>
        <item x="19"/>
        <item x="5"/>
        <item x="52"/>
        <item x="6"/>
        <item x="32"/>
        <item x="27"/>
        <item x="56"/>
        <item x="64"/>
        <item x="2"/>
        <item x="44"/>
        <item x="31"/>
        <item x="89"/>
        <item x="80"/>
        <item x="43"/>
        <item x="33"/>
        <item x="47"/>
        <item x="26"/>
        <item x="48"/>
        <item x="15"/>
        <item x="87"/>
        <item x="36"/>
        <item x="14"/>
        <item x="35"/>
        <item x="54"/>
        <item x="68"/>
        <item x="51"/>
        <item x="37"/>
        <item x="17"/>
        <item x="34"/>
        <item x="10"/>
        <item x="9"/>
        <item x="50"/>
        <item x="41"/>
        <item x="85"/>
        <item x="67"/>
        <item x="12"/>
        <item x="18"/>
        <item x="76"/>
        <item x="0"/>
        <item x="4"/>
        <item x="38"/>
        <item x="25"/>
        <item x="55"/>
        <item x="73"/>
        <item x="69"/>
        <item x="84"/>
        <item x="61"/>
        <item x="40"/>
        <item x="16"/>
        <item x="62"/>
        <item x="13"/>
        <item x="71"/>
        <item x="29"/>
        <item x="74"/>
        <item x="59"/>
        <item x="24"/>
        <item x="23"/>
        <item x="78"/>
        <item x="88"/>
        <item x="49"/>
        <item x="7"/>
        <item x="20"/>
        <item x="65"/>
        <item x="42"/>
        <item x="8"/>
        <item x="86"/>
        <item x="57"/>
        <item x="45"/>
        <item x="72"/>
        <item x="81"/>
        <item t="default"/>
      </items>
    </pivotField>
    <pivotField numFmtId="167" showAll="0"/>
    <pivotField numFmtId="167" showAll="0"/>
    <pivotField showAll="0"/>
    <pivotField showAll="0"/>
    <pivotField numFmtId="167" showAll="0"/>
    <pivotField numFmtId="167" showAll="0"/>
    <pivotField numFmtId="167" showAll="0"/>
    <pivotField numFmtId="167" showAll="0"/>
    <pivotField numFmtId="167" showAll="0"/>
    <pivotField numFmtId="167" showAll="0"/>
    <pivotField name="Orders_filter" axis="axisPage" multipleItemSelectionAllowed="1" showAll="0">
      <items count="4">
        <item h="1" x="0"/>
        <item x="2"/>
        <item x="1"/>
        <item t="default"/>
      </items>
    </pivotField>
    <pivotField showAl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10">
    <i>
      <x v="305"/>
    </i>
    <i>
      <x v="164"/>
    </i>
    <i>
      <x v="577"/>
    </i>
    <i>
      <x v="2"/>
    </i>
    <i>
      <x v="282"/>
    </i>
    <i>
      <x v="660"/>
    </i>
    <i>
      <x v="317"/>
    </i>
    <i>
      <x v="783"/>
    </i>
    <i>
      <x v="726"/>
    </i>
    <i>
      <x v="105"/>
    </i>
  </rowItems>
  <colItems count="1">
    <i/>
  </colItems>
  <pageFields count="1">
    <pageField fld="16" hier="-1"/>
  </pageFields>
  <dataFields count="1">
    <dataField name="Delivery time" fld="5" subtotal="average" baseField="1" baseItem="0" numFmtId="165"/>
  </dataFields>
  <pivotTableStyleInfo name="PivotStyleMedium9" showRowHeaders="1" showColHeaders="1" showRowStripes="1" showColStripes="1" showLastColumn="1"/>
  <filters count="1">
    <filter fld="1" type="count" evalOrder="-1" id="2" iMeasureFld="0">
      <autoFilter ref="A1">
        <filterColumn colId="0">
          <top10 top="0"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rowGrandTotals="0" colGrandTotals="0" itemPrintTitles="1" createdVersion="5" indent="0" outline="1" outlineData="1" multipleFieldFilters="0" rowHeaderCaption="Client">
  <location ref="A5:C15" firstHeaderRow="0" firstDataRow="1" firstDataCol="1" rowPageCount="1" colPageCount="1"/>
  <pivotFields count="20">
    <pivotField showAll="0"/>
    <pivotField axis="axisRow" dataField="1" showAll="0" measureFilter="1" sortType="descending">
      <items count="948">
        <item x="337"/>
        <item x="750"/>
        <item x="575"/>
        <item x="695"/>
        <item x="78"/>
        <item x="803"/>
        <item x="854"/>
        <item x="232"/>
        <item x="756"/>
        <item x="720"/>
        <item x="874"/>
        <item x="528"/>
        <item x="644"/>
        <item x="297"/>
        <item x="58"/>
        <item x="26"/>
        <item x="277"/>
        <item x="184"/>
        <item x="176"/>
        <item x="109"/>
        <item x="763"/>
        <item x="258"/>
        <item x="727"/>
        <item x="786"/>
        <item x="611"/>
        <item x="572"/>
        <item x="773"/>
        <item x="213"/>
        <item x="273"/>
        <item x="693"/>
        <item x="862"/>
        <item x="699"/>
        <item x="590"/>
        <item x="87"/>
        <item x="455"/>
        <item x="591"/>
        <item x="427"/>
        <item x="419"/>
        <item x="835"/>
        <item x="6"/>
        <item x="105"/>
        <item x="521"/>
        <item x="362"/>
        <item x="680"/>
        <item x="900"/>
        <item x="307"/>
        <item x="555"/>
        <item x="365"/>
        <item x="287"/>
        <item x="326"/>
        <item x="370"/>
        <item x="806"/>
        <item x="274"/>
        <item x="349"/>
        <item x="694"/>
        <item x="191"/>
        <item x="148"/>
        <item x="669"/>
        <item x="549"/>
        <item x="671"/>
        <item x="921"/>
        <item x="163"/>
        <item x="275"/>
        <item x="604"/>
        <item x="460"/>
        <item x="430"/>
        <item x="659"/>
        <item x="939"/>
        <item x="11"/>
        <item x="613"/>
        <item x="46"/>
        <item x="299"/>
        <item x="857"/>
        <item x="861"/>
        <item x="525"/>
        <item x="424"/>
        <item x="868"/>
        <item x="352"/>
        <item x="760"/>
        <item x="397"/>
        <item x="323"/>
        <item x="165"/>
        <item x="1"/>
        <item x="116"/>
        <item x="341"/>
        <item x="69"/>
        <item x="705"/>
        <item x="834"/>
        <item x="566"/>
        <item x="526"/>
        <item x="838"/>
        <item x="931"/>
        <item x="488"/>
        <item x="238"/>
        <item x="918"/>
        <item x="278"/>
        <item x="866"/>
        <item x="60"/>
        <item x="581"/>
        <item x="62"/>
        <item x="53"/>
        <item x="103"/>
        <item x="251"/>
        <item x="129"/>
        <item x="271"/>
        <item x="472"/>
        <item x="747"/>
        <item x="807"/>
        <item x="409"/>
        <item x="269"/>
        <item x="615"/>
        <item x="361"/>
        <item x="837"/>
        <item x="437"/>
        <item x="327"/>
        <item x="358"/>
        <item x="223"/>
        <item x="471"/>
        <item x="17"/>
        <item x="493"/>
        <item x="826"/>
        <item x="910"/>
        <item x="522"/>
        <item x="246"/>
        <item x="818"/>
        <item x="624"/>
        <item x="536"/>
        <item x="32"/>
        <item x="691"/>
        <item x="157"/>
        <item x="717"/>
        <item x="139"/>
        <item x="503"/>
        <item x="633"/>
        <item x="780"/>
        <item x="545"/>
        <item x="452"/>
        <item x="298"/>
        <item x="595"/>
        <item x="114"/>
        <item x="151"/>
        <item x="33"/>
        <item x="523"/>
        <item x="496"/>
        <item x="491"/>
        <item x="439"/>
        <item x="567"/>
        <item x="49"/>
        <item x="785"/>
        <item x="739"/>
        <item x="778"/>
        <item x="901"/>
        <item x="589"/>
        <item x="161"/>
        <item x="884"/>
        <item x="704"/>
        <item x="227"/>
        <item x="136"/>
        <item x="360"/>
        <item x="126"/>
        <item x="375"/>
        <item x="10"/>
        <item x="294"/>
        <item x="398"/>
        <item x="253"/>
        <item x="171"/>
        <item x="738"/>
        <item x="198"/>
        <item x="122"/>
        <item x="928"/>
        <item x="736"/>
        <item x="881"/>
        <item x="207"/>
        <item x="507"/>
        <item x="284"/>
        <item x="767"/>
        <item x="574"/>
        <item x="309"/>
        <item x="199"/>
        <item x="531"/>
        <item x="155"/>
        <item x="887"/>
        <item x="844"/>
        <item x="667"/>
        <item x="289"/>
        <item x="30"/>
        <item x="657"/>
        <item x="787"/>
        <item x="768"/>
        <item x="186"/>
        <item x="359"/>
        <item x="202"/>
        <item x="823"/>
        <item x="716"/>
        <item x="195"/>
        <item x="911"/>
        <item x="782"/>
        <item x="820"/>
        <item x="149"/>
        <item x="593"/>
        <item x="771"/>
        <item x="82"/>
        <item x="24"/>
        <item x="603"/>
        <item x="215"/>
        <item x="776"/>
        <item x="77"/>
        <item x="938"/>
        <item x="933"/>
        <item x="416"/>
        <item x="529"/>
        <item x="858"/>
        <item x="698"/>
        <item x="808"/>
        <item x="380"/>
        <item x="442"/>
        <item x="473"/>
        <item x="641"/>
        <item x="815"/>
        <item x="817"/>
        <item x="582"/>
        <item x="233"/>
        <item x="836"/>
        <item x="268"/>
        <item x="775"/>
        <item x="841"/>
        <item x="222"/>
        <item x="180"/>
        <item x="839"/>
        <item x="316"/>
        <item x="850"/>
        <item x="205"/>
        <item x="681"/>
        <item x="400"/>
        <item x="13"/>
        <item x="864"/>
        <item x="96"/>
        <item x="733"/>
        <item x="382"/>
        <item x="929"/>
        <item x="391"/>
        <item x="333"/>
        <item x="459"/>
        <item x="434"/>
        <item x="190"/>
        <item x="489"/>
        <item x="757"/>
        <item x="231"/>
        <item x="22"/>
        <item x="793"/>
        <item x="80"/>
        <item x="746"/>
        <item x="682"/>
        <item x="41"/>
        <item x="791"/>
        <item x="842"/>
        <item x="855"/>
        <item x="495"/>
        <item x="133"/>
        <item x="83"/>
        <item x="542"/>
        <item x="892"/>
        <item x="816"/>
        <item x="917"/>
        <item x="934"/>
        <item x="98"/>
        <item x="290"/>
        <item x="27"/>
        <item x="403"/>
        <item x="734"/>
        <item x="378"/>
        <item x="553"/>
        <item x="25"/>
        <item x="565"/>
        <item x="461"/>
        <item x="436"/>
        <item x="117"/>
        <item x="706"/>
        <item x="306"/>
        <item x="192"/>
        <item x="622"/>
        <item x="781"/>
        <item x="648"/>
        <item x="357"/>
        <item x="393"/>
        <item x="388"/>
        <item x="237"/>
        <item x="576"/>
        <item x="886"/>
        <item x="687"/>
        <item x="851"/>
        <item x="801"/>
        <item x="197"/>
        <item x="448"/>
        <item x="509"/>
        <item x="182"/>
        <item x="313"/>
        <item x="234"/>
        <item x="435"/>
        <item x="279"/>
        <item x="201"/>
        <item x="28"/>
        <item x="295"/>
        <item x="885"/>
        <item x="336"/>
        <item x="519"/>
        <item x="52"/>
        <item x="713"/>
        <item x="91"/>
        <item x="94"/>
        <item x="218"/>
        <item x="334"/>
        <item x="504"/>
        <item x="373"/>
        <item x="48"/>
        <item x="131"/>
        <item x="221"/>
        <item x="639"/>
        <item x="849"/>
        <item x="127"/>
        <item x="668"/>
        <item x="423"/>
        <item x="152"/>
        <item x="569"/>
        <item x="281"/>
        <item x="541"/>
        <item x="946"/>
        <item x="368"/>
        <item x="710"/>
        <item x="257"/>
        <item x="879"/>
        <item x="414"/>
        <item x="623"/>
        <item x="537"/>
        <item x="19"/>
        <item x="795"/>
        <item x="282"/>
        <item x="883"/>
        <item x="609"/>
        <item x="272"/>
        <item x="920"/>
        <item x="254"/>
        <item x="445"/>
        <item x="270"/>
        <item x="250"/>
        <item x="646"/>
        <item x="882"/>
        <item x="506"/>
        <item x="783"/>
        <item x="376"/>
        <item x="895"/>
        <item x="175"/>
        <item x="743"/>
        <item x="789"/>
        <item x="869"/>
        <item x="34"/>
        <item x="89"/>
        <item x="913"/>
        <item x="649"/>
        <item x="158"/>
        <item x="539"/>
        <item x="723"/>
        <item x="907"/>
        <item x="134"/>
        <item x="470"/>
        <item x="689"/>
        <item x="366"/>
        <item x="821"/>
        <item x="162"/>
        <item x="923"/>
        <item x="516"/>
        <item x="552"/>
        <item x="744"/>
        <item x="772"/>
        <item x="147"/>
        <item x="852"/>
        <item x="153"/>
        <item x="446"/>
        <item x="325"/>
        <item x="558"/>
        <item x="880"/>
        <item x="737"/>
        <item x="656"/>
        <item x="102"/>
        <item x="54"/>
        <item x="332"/>
        <item x="291"/>
        <item x="872"/>
        <item x="35"/>
        <item x="676"/>
        <item x="408"/>
        <item x="586"/>
        <item x="50"/>
        <item x="422"/>
        <item x="244"/>
        <item x="401"/>
        <item x="293"/>
        <item x="822"/>
        <item x="888"/>
        <item x="819"/>
        <item x="212"/>
        <item x="369"/>
        <item x="438"/>
        <item x="412"/>
        <item x="343"/>
        <item x="688"/>
        <item x="324"/>
        <item x="585"/>
        <item x="651"/>
        <item x="457"/>
        <item x="533"/>
        <item x="599"/>
        <item x="511"/>
        <item x="670"/>
        <item x="229"/>
        <item x="729"/>
        <item x="764"/>
        <item x="897"/>
        <item x="177"/>
        <item x="853"/>
        <item x="805"/>
        <item x="769"/>
        <item x="922"/>
        <item x="374"/>
        <item x="634"/>
        <item x="513"/>
        <item x="189"/>
        <item x="759"/>
        <item x="59"/>
        <item x="654"/>
        <item x="502"/>
        <item x="748"/>
        <item x="482"/>
        <item x="458"/>
        <item x="614"/>
        <item x="411"/>
        <item x="179"/>
        <item x="146"/>
        <item x="927"/>
        <item x="7"/>
        <item x="690"/>
        <item x="236"/>
        <item x="871"/>
        <item x="385"/>
        <item x="348"/>
        <item x="550"/>
        <item x="108"/>
        <item x="466"/>
        <item x="453"/>
        <item x="242"/>
        <item x="319"/>
        <item x="247"/>
        <item x="224"/>
        <item x="935"/>
        <item x="627"/>
        <item x="607"/>
        <item x="217"/>
        <item x="18"/>
        <item x="392"/>
        <item x="843"/>
        <item x="701"/>
        <item x="721"/>
        <item x="128"/>
        <item x="637"/>
        <item x="264"/>
        <item x="29"/>
        <item x="889"/>
        <item x="814"/>
        <item x="626"/>
        <item x="621"/>
        <item x="478"/>
        <item x="248"/>
        <item x="206"/>
        <item x="164"/>
        <item x="514"/>
        <item x="350"/>
        <item x="916"/>
        <item x="331"/>
        <item x="315"/>
        <item x="588"/>
        <item x="573"/>
        <item x="598"/>
        <item x="800"/>
        <item x="557"/>
        <item x="485"/>
        <item x="515"/>
        <item x="638"/>
        <item x="619"/>
        <item x="71"/>
        <item x="340"/>
        <item x="70"/>
        <item x="642"/>
        <item x="259"/>
        <item x="532"/>
        <item x="243"/>
        <item x="944"/>
        <item x="174"/>
        <item x="919"/>
        <item x="462"/>
        <item x="556"/>
        <item x="449"/>
        <item x="909"/>
        <item x="235"/>
        <item x="608"/>
        <item x="464"/>
        <item x="527"/>
        <item x="891"/>
        <item x="15"/>
        <item x="402"/>
        <item x="100"/>
        <item x="546"/>
        <item x="440"/>
        <item x="942"/>
        <item x="276"/>
        <item x="441"/>
        <item x="877"/>
        <item x="636"/>
        <item x="120"/>
        <item x="703"/>
        <item x="580"/>
        <item x="702"/>
        <item x="110"/>
        <item x="813"/>
        <item x="475"/>
        <item x="170"/>
        <item x="353"/>
        <item x="925"/>
        <item x="379"/>
        <item x="3"/>
        <item x="338"/>
        <item x="154"/>
        <item x="364"/>
        <item x="685"/>
        <item x="169"/>
        <item x="790"/>
        <item x="84"/>
        <item x="76"/>
        <item x="777"/>
        <item x="492"/>
        <item x="912"/>
        <item x="510"/>
        <item x="476"/>
        <item x="14"/>
        <item x="339"/>
        <item x="562"/>
        <item x="480"/>
        <item x="749"/>
        <item x="534"/>
        <item x="840"/>
        <item x="405"/>
        <item x="2"/>
        <item x="37"/>
        <item x="735"/>
        <item x="832"/>
        <item x="794"/>
        <item x="216"/>
        <item x="288"/>
        <item x="647"/>
        <item x="135"/>
        <item x="81"/>
        <item x="797"/>
        <item x="44"/>
        <item x="940"/>
        <item x="145"/>
        <item x="211"/>
        <item x="173"/>
        <item x="407"/>
        <item x="228"/>
        <item x="498"/>
        <item x="758"/>
        <item x="606"/>
        <item x="828"/>
        <item x="653"/>
        <item x="144"/>
        <item x="8"/>
        <item x="675"/>
        <item x="468"/>
        <item x="137"/>
        <item x="304"/>
        <item x="261"/>
        <item x="85"/>
        <item x="740"/>
        <item x="312"/>
        <item x="447"/>
        <item x="538"/>
        <item x="57"/>
        <item x="335"/>
        <item x="240"/>
        <item x="570"/>
        <item x="413"/>
        <item x="404"/>
        <item x="4"/>
        <item x="830"/>
        <item x="426"/>
        <item x="715"/>
        <item x="203"/>
        <item x="825"/>
        <item x="859"/>
        <item x="831"/>
        <item x="172"/>
        <item x="943"/>
        <item x="305"/>
        <item x="692"/>
        <item x="285"/>
        <item x="167"/>
        <item x="141"/>
        <item x="708"/>
        <item x="395"/>
        <item x="386"/>
        <item x="88"/>
        <item x="256"/>
        <item x="132"/>
        <item x="450"/>
        <item x="322"/>
        <item x="356"/>
        <item x="796"/>
        <item x="873"/>
        <item x="754"/>
        <item x="650"/>
        <item x="914"/>
        <item x="111"/>
        <item x="812"/>
        <item x="308"/>
        <item x="433"/>
        <item x="594"/>
        <item x="602"/>
        <item x="320"/>
        <item x="245"/>
        <item x="945"/>
        <item x="121"/>
        <item x="876"/>
        <item x="845"/>
        <item x="664"/>
        <item x="774"/>
        <item x="559"/>
        <item x="663"/>
        <item x="280"/>
        <item x="563"/>
        <item x="860"/>
        <item x="724"/>
        <item x="497"/>
        <item x="90"/>
        <item x="535"/>
        <item x="226"/>
        <item x="718"/>
        <item x="766"/>
        <item x="43"/>
        <item x="662"/>
        <item x="629"/>
        <item x="658"/>
        <item x="5"/>
        <item x="655"/>
        <item x="92"/>
        <item x="765"/>
        <item x="187"/>
        <item x="722"/>
        <item x="328"/>
        <item x="225"/>
        <item x="396"/>
        <item x="494"/>
        <item x="530"/>
        <item x="915"/>
        <item x="645"/>
        <item x="72"/>
        <item x="847"/>
        <item x="728"/>
        <item x="124"/>
        <item x="679"/>
        <item x="20"/>
        <item x="799"/>
        <item x="16"/>
        <item x="64"/>
        <item x="896"/>
        <item x="329"/>
        <item x="761"/>
        <item x="383"/>
        <item x="906"/>
        <item x="686"/>
        <item x="707"/>
        <item x="890"/>
        <item x="168"/>
        <item x="520"/>
        <item x="477"/>
        <item x="620"/>
        <item x="194"/>
        <item x="811"/>
        <item x="156"/>
        <item x="508"/>
        <item x="601"/>
        <item x="321"/>
        <item x="210"/>
        <item x="381"/>
        <item x="517"/>
        <item x="941"/>
        <item x="317"/>
        <item x="387"/>
        <item x="130"/>
        <item x="677"/>
        <item x="204"/>
        <item x="926"/>
        <item x="286"/>
        <item x="486"/>
        <item x="86"/>
        <item x="732"/>
        <item x="418"/>
        <item x="741"/>
        <item x="140"/>
        <item x="672"/>
        <item x="908"/>
        <item x="347"/>
        <item x="484"/>
        <item x="443"/>
        <item x="700"/>
        <item x="551"/>
        <item x="399"/>
        <item x="66"/>
        <item x="56"/>
        <item x="628"/>
        <item x="712"/>
        <item x="731"/>
        <item x="125"/>
        <item x="252"/>
        <item x="856"/>
        <item x="390"/>
        <item x="106"/>
        <item x="684"/>
        <item x="107"/>
        <item x="631"/>
        <item x="809"/>
        <item x="241"/>
        <item x="12"/>
        <item x="344"/>
        <item x="587"/>
        <item x="311"/>
        <item x="678"/>
        <item x="742"/>
        <item x="770"/>
        <item x="625"/>
        <item x="632"/>
        <item x="371"/>
        <item x="260"/>
        <item x="571"/>
        <item x="342"/>
        <item x="113"/>
        <item x="42"/>
        <item x="643"/>
        <item x="490"/>
        <item x="345"/>
        <item x="193"/>
        <item x="45"/>
        <item x="560"/>
        <item x="893"/>
        <item x="544"/>
        <item x="185"/>
        <item x="597"/>
        <item x="870"/>
        <item x="219"/>
        <item x="431"/>
        <item x="454"/>
        <item x="596"/>
        <item x="467"/>
        <item x="878"/>
        <item x="303"/>
        <item x="75"/>
        <item x="95"/>
        <item x="610"/>
        <item x="683"/>
        <item x="487"/>
        <item x="600"/>
        <item x="377"/>
        <item x="465"/>
        <item x="0"/>
        <item x="160"/>
        <item x="937"/>
        <item x="561"/>
        <item x="846"/>
        <item x="479"/>
        <item x="267"/>
        <item x="302"/>
        <item x="661"/>
        <item x="444"/>
        <item x="104"/>
        <item x="389"/>
        <item x="138"/>
        <item x="220"/>
        <item x="367"/>
        <item x="118"/>
        <item x="578"/>
        <item x="579"/>
        <item x="505"/>
        <item x="384"/>
        <item x="584"/>
        <item x="292"/>
        <item x="554"/>
        <item x="751"/>
        <item x="501"/>
        <item x="330"/>
        <item x="40"/>
        <item x="142"/>
        <item x="428"/>
        <item x="802"/>
        <item x="159"/>
        <item x="51"/>
        <item x="301"/>
        <item x="725"/>
        <item x="673"/>
        <item x="123"/>
        <item x="548"/>
        <item x="524"/>
        <item x="804"/>
        <item x="429"/>
        <item x="61"/>
        <item x="719"/>
        <item x="635"/>
        <item x="469"/>
        <item x="829"/>
        <item x="425"/>
        <item x="711"/>
        <item x="265"/>
        <item x="263"/>
        <item x="665"/>
        <item x="568"/>
        <item x="112"/>
        <item x="410"/>
        <item x="640"/>
        <item x="31"/>
        <item x="183"/>
        <item x="865"/>
        <item x="867"/>
        <item x="810"/>
        <item x="363"/>
        <item x="296"/>
        <item x="660"/>
        <item x="23"/>
        <item x="115"/>
        <item x="474"/>
        <item x="848"/>
        <item x="63"/>
        <item x="564"/>
        <item x="65"/>
        <item x="618"/>
        <item x="67"/>
        <item x="605"/>
        <item x="652"/>
        <item x="730"/>
        <item x="674"/>
        <item x="898"/>
        <item x="902"/>
        <item x="784"/>
        <item x="346"/>
        <item x="55"/>
        <item x="314"/>
        <item x="150"/>
        <item x="262"/>
        <item x="406"/>
        <item x="181"/>
        <item x="79"/>
        <item x="798"/>
        <item x="483"/>
        <item x="630"/>
        <item x="249"/>
        <item x="540"/>
        <item x="930"/>
        <item x="904"/>
        <item x="456"/>
        <item x="300"/>
        <item x="101"/>
        <item x="209"/>
        <item x="372"/>
        <item x="827"/>
        <item x="697"/>
        <item x="714"/>
        <item x="99"/>
        <item x="208"/>
        <item x="792"/>
        <item x="166"/>
        <item x="709"/>
        <item x="318"/>
        <item x="592"/>
        <item x="753"/>
        <item x="266"/>
        <item x="47"/>
        <item x="726"/>
        <item x="420"/>
        <item x="355"/>
        <item x="351"/>
        <item x="283"/>
        <item x="9"/>
        <item x="463"/>
        <item x="196"/>
        <item x="239"/>
        <item x="824"/>
        <item x="93"/>
        <item x="894"/>
        <item x="583"/>
        <item x="616"/>
        <item x="39"/>
        <item x="745"/>
        <item x="230"/>
        <item x="666"/>
        <item x="936"/>
        <item x="779"/>
        <item x="394"/>
        <item x="68"/>
        <item x="924"/>
        <item x="547"/>
        <item x="863"/>
        <item x="788"/>
        <item x="73"/>
        <item x="903"/>
        <item x="617"/>
        <item x="905"/>
        <item x="518"/>
        <item x="752"/>
        <item x="543"/>
        <item x="21"/>
        <item x="833"/>
        <item x="200"/>
        <item x="74"/>
        <item x="499"/>
        <item x="500"/>
        <item x="310"/>
        <item x="696"/>
        <item x="255"/>
        <item x="119"/>
        <item x="899"/>
        <item x="451"/>
        <item x="38"/>
        <item x="875"/>
        <item x="188"/>
        <item x="421"/>
        <item x="214"/>
        <item x="755"/>
        <item x="36"/>
        <item x="612"/>
        <item x="432"/>
        <item x="143"/>
        <item x="512"/>
        <item x="932"/>
        <item x="762"/>
        <item x="481"/>
        <item x="354"/>
        <item x="415"/>
        <item x="178"/>
        <item x="417"/>
        <item x="577"/>
        <item x="9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4" showAll="0"/>
    <pivotField numFmtId="164" showAll="0"/>
    <pivotField numFmtId="165" showAll="0"/>
    <pivotField dataField="1" numFmtId="167" showAll="0"/>
    <pivotField numFmtId="167" showAll="0"/>
    <pivotField showAll="0"/>
    <pivotField showAll="0"/>
    <pivotField numFmtId="167" showAll="0"/>
    <pivotField numFmtId="167" showAll="0"/>
    <pivotField numFmtId="167" showAll="0"/>
    <pivotField numFmtId="167" showAll="0"/>
    <pivotField numFmtId="167" showAll="0"/>
    <pivotField numFmtId="167" showAll="0"/>
    <pivotField name="Orders_filter" axis="axisPage" showAll="0">
      <items count="4">
        <item x="0"/>
        <item x="2"/>
        <item x="1"/>
        <item t="default"/>
      </items>
    </pivotField>
    <pivotField showAl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10">
    <i>
      <x v="730"/>
    </i>
    <i>
      <x v="282"/>
    </i>
    <i>
      <x v="770"/>
    </i>
    <i>
      <x v="457"/>
    </i>
    <i>
      <x v="406"/>
    </i>
    <i>
      <x v="803"/>
    </i>
    <i>
      <x v="590"/>
    </i>
    <i>
      <x v="395"/>
    </i>
    <i>
      <x v="2"/>
    </i>
    <i>
      <x v="561"/>
    </i>
  </rowItems>
  <colFields count="1">
    <field x="-2"/>
  </colFields>
  <colItems count="2">
    <i>
      <x/>
    </i>
    <i i="1">
      <x v="1"/>
    </i>
  </colItems>
  <pageFields count="1">
    <pageField fld="16" hier="-1"/>
  </pageFields>
  <dataFields count="2">
    <dataField name="Total_bought" fld="6" baseField="1" baseItem="730" numFmtId="167"/>
    <dataField name="Purchases" fld="1" subtotal="count" baseField="1" baseItem="730"/>
  </dataFields>
  <pivotTableStyleInfo name="PivotStyleMedium9" showRowHeaders="1" showColHeaders="1" showRowStripes="1" showColStripes="1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3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5" minRefreshableVersion="3" useAutoFormatting="1" rowGrandTotals="0" colGrandTotals="0" itemPrintTitles="1" createdVersion="5" indent="0" outline="1" outlineData="1" multipleFieldFilters="0" chartFormat="4" rowHeaderCaption="Payment method">
  <location ref="Q3:S6" firstHeaderRow="0" firstDataRow="1" firstDataCol="1"/>
  <pivotFields count="20">
    <pivotField showAll="0"/>
    <pivotField showAll="0"/>
    <pivotField showAll="0"/>
    <pivotField numFmtId="164" showAll="0"/>
    <pivotField numFmtId="164" showAll="0"/>
    <pivotField numFmtId="165" showAll="0"/>
    <pivotField dataField="1" numFmtId="167" showAll="0">
      <items count="770">
        <item x="614"/>
        <item x="388"/>
        <item x="656"/>
        <item x="290"/>
        <item x="178"/>
        <item x="98"/>
        <item x="653"/>
        <item x="681"/>
        <item x="45"/>
        <item x="628"/>
        <item x="288"/>
        <item x="277"/>
        <item x="272"/>
        <item x="328"/>
        <item x="703"/>
        <item x="345"/>
        <item x="250"/>
        <item x="374"/>
        <item x="28"/>
        <item x="519"/>
        <item x="94"/>
        <item x="601"/>
        <item x="385"/>
        <item x="101"/>
        <item x="36"/>
        <item x="528"/>
        <item x="575"/>
        <item x="215"/>
        <item x="176"/>
        <item x="605"/>
        <item x="159"/>
        <item x="292"/>
        <item x="278"/>
        <item x="732"/>
        <item x="35"/>
        <item x="569"/>
        <item x="309"/>
        <item x="479"/>
        <item x="630"/>
        <item x="427"/>
        <item x="264"/>
        <item x="647"/>
        <item x="77"/>
        <item x="372"/>
        <item x="701"/>
        <item x="578"/>
        <item x="725"/>
        <item x="546"/>
        <item x="91"/>
        <item x="483"/>
        <item x="473"/>
        <item x="452"/>
        <item x="706"/>
        <item x="687"/>
        <item x="584"/>
        <item x="562"/>
        <item x="212"/>
        <item x="436"/>
        <item x="728"/>
        <item x="7"/>
        <item x="573"/>
        <item x="666"/>
        <item x="73"/>
        <item x="122"/>
        <item x="727"/>
        <item x="743"/>
        <item x="516"/>
        <item x="219"/>
        <item x="310"/>
        <item x="576"/>
        <item x="311"/>
        <item x="387"/>
        <item x="350"/>
        <item x="360"/>
        <item x="128"/>
        <item x="265"/>
        <item x="152"/>
        <item x="335"/>
        <item x="613"/>
        <item x="6"/>
        <item x="82"/>
        <item x="536"/>
        <item x="105"/>
        <item x="220"/>
        <item x="373"/>
        <item x="352"/>
        <item x="312"/>
        <item x="344"/>
        <item x="37"/>
        <item x="262"/>
        <item x="722"/>
        <item x="299"/>
        <item x="384"/>
        <item x="592"/>
        <item x="530"/>
        <item x="61"/>
        <item x="672"/>
        <item x="362"/>
        <item x="567"/>
        <item x="487"/>
        <item x="232"/>
        <item x="137"/>
        <item x="644"/>
        <item x="405"/>
        <item x="127"/>
        <item x="513"/>
        <item x="589"/>
        <item x="194"/>
        <item x="48"/>
        <item x="402"/>
        <item x="364"/>
        <item x="615"/>
        <item x="432"/>
        <item x="430"/>
        <item x="40"/>
        <item x="420"/>
        <item x="92"/>
        <item x="5"/>
        <item x="496"/>
        <item x="351"/>
        <item x="398"/>
        <item x="745"/>
        <item x="58"/>
        <item x="709"/>
        <item x="263"/>
        <item x="707"/>
        <item x="246"/>
        <item x="56"/>
        <item x="29"/>
        <item x="547"/>
        <item x="577"/>
        <item x="542"/>
        <item x="731"/>
        <item x="166"/>
        <item x="756"/>
        <item x="233"/>
        <item x="705"/>
        <item x="97"/>
        <item x="459"/>
        <item x="648"/>
        <item x="392"/>
        <item x="412"/>
        <item x="495"/>
        <item x="9"/>
        <item x="327"/>
        <item x="714"/>
        <item x="16"/>
        <item x="154"/>
        <item x="680"/>
        <item x="674"/>
        <item x="488"/>
        <item x="461"/>
        <item x="698"/>
        <item x="382"/>
        <item x="739"/>
        <item x="492"/>
        <item x="664"/>
        <item x="160"/>
        <item x="702"/>
        <item x="164"/>
        <item x="200"/>
        <item x="617"/>
        <item x="341"/>
        <item x="587"/>
        <item x="336"/>
        <item x="294"/>
        <item x="766"/>
        <item x="34"/>
        <item x="637"/>
        <item x="54"/>
        <item x="65"/>
        <item x="539"/>
        <item x="75"/>
        <item x="716"/>
        <item x="566"/>
        <item x="223"/>
        <item x="135"/>
        <item x="541"/>
        <item x="457"/>
        <item x="52"/>
        <item x="422"/>
        <item x="257"/>
        <item x="295"/>
        <item x="353"/>
        <item x="499"/>
        <item x="242"/>
        <item x="662"/>
        <item x="445"/>
        <item x="67"/>
        <item x="418"/>
        <item x="71"/>
        <item x="612"/>
        <item x="489"/>
        <item x="69"/>
        <item x="554"/>
        <item x="86"/>
        <item x="205"/>
        <item x="413"/>
        <item x="691"/>
        <item x="658"/>
        <item x="315"/>
        <item x="171"/>
        <item x="13"/>
        <item x="93"/>
        <item x="111"/>
        <item x="642"/>
        <item x="616"/>
        <item x="645"/>
        <item x="694"/>
        <item x="255"/>
        <item x="458"/>
        <item x="269"/>
        <item x="247"/>
        <item x="142"/>
        <item x="740"/>
        <item x="53"/>
        <item x="12"/>
        <item x="730"/>
        <item x="261"/>
        <item x="621"/>
        <item x="663"/>
        <item x="72"/>
        <item x="659"/>
        <item x="448"/>
        <item x="229"/>
        <item x="17"/>
        <item x="538"/>
        <item x="655"/>
        <item x="498"/>
        <item x="484"/>
        <item x="153"/>
        <item x="747"/>
        <item x="755"/>
        <item x="602"/>
        <item x="199"/>
        <item x="555"/>
        <item x="226"/>
        <item x="275"/>
        <item x="415"/>
        <item x="198"/>
        <item x="173"/>
        <item x="463"/>
        <item x="271"/>
        <item x="107"/>
        <item x="161"/>
        <item x="668"/>
        <item x="661"/>
        <item x="737"/>
        <item x="191"/>
        <item x="449"/>
        <item x="744"/>
        <item x="508"/>
        <item x="582"/>
        <item x="641"/>
        <item x="677"/>
        <item x="654"/>
        <item x="323"/>
        <item x="99"/>
        <item x="44"/>
        <item x="24"/>
        <item x="132"/>
        <item x="110"/>
        <item x="639"/>
        <item x="393"/>
        <item x="526"/>
        <item x="657"/>
        <item x="88"/>
        <item x="684"/>
        <item x="383"/>
        <item x="455"/>
        <item x="419"/>
        <item x="380"/>
        <item x="158"/>
        <item x="441"/>
        <item x="407"/>
        <item x="606"/>
        <item x="252"/>
        <item x="636"/>
        <item x="490"/>
        <item x="305"/>
        <item x="379"/>
        <item x="468"/>
        <item x="183"/>
        <item x="550"/>
        <item x="696"/>
        <item x="623"/>
        <item x="686"/>
        <item x="378"/>
        <item x="343"/>
        <item x="408"/>
        <item x="249"/>
        <item x="406"/>
        <item x="10"/>
        <item x="724"/>
        <item x="665"/>
        <item x="313"/>
        <item x="118"/>
        <item x="62"/>
        <item x="256"/>
        <item x="689"/>
        <item x="597"/>
        <item x="286"/>
        <item x="726"/>
        <item x="534"/>
        <item x="734"/>
        <item x="50"/>
        <item x="710"/>
        <item x="551"/>
        <item x="63"/>
        <item x="181"/>
        <item x="718"/>
        <item x="765"/>
        <item x="239"/>
        <item x="760"/>
        <item x="537"/>
        <item x="504"/>
        <item x="627"/>
        <item x="500"/>
        <item x="227"/>
        <item x="713"/>
        <item x="396"/>
        <item x="21"/>
        <item x="203"/>
        <item x="321"/>
        <item x="148"/>
        <item x="757"/>
        <item x="2"/>
        <item x="150"/>
        <item x="631"/>
        <item x="333"/>
        <item x="325"/>
        <item x="574"/>
        <item x="106"/>
        <item x="503"/>
        <item x="144"/>
        <item x="719"/>
        <item x="57"/>
        <item x="268"/>
        <item x="486"/>
        <item x="618"/>
        <item x="444"/>
        <item x="607"/>
        <item x="603"/>
        <item x="188"/>
        <item x="354"/>
        <item x="593"/>
        <item x="715"/>
        <item x="738"/>
        <item x="482"/>
        <item x="588"/>
        <item x="230"/>
        <item x="1"/>
        <item x="134"/>
        <item x="599"/>
        <item x="600"/>
        <item x="633"/>
        <item x="15"/>
        <item x="535"/>
        <item x="543"/>
        <item x="115"/>
        <item x="26"/>
        <item x="693"/>
        <item x="266"/>
        <item x="253"/>
        <item x="423"/>
        <item x="347"/>
        <item x="442"/>
        <item x="129"/>
        <item x="558"/>
        <item x="66"/>
        <item x="146"/>
        <item x="749"/>
        <item x="76"/>
        <item x="545"/>
        <item x="241"/>
        <item x="196"/>
        <item x="254"/>
        <item x="218"/>
        <item x="421"/>
        <item x="318"/>
        <item x="416"/>
        <item x="102"/>
        <item x="138"/>
        <item x="202"/>
        <item x="157"/>
        <item x="211"/>
        <item x="182"/>
        <item x="497"/>
        <item x="594"/>
        <item x="68"/>
        <item x="210"/>
        <item x="476"/>
        <item x="208"/>
        <item x="49"/>
        <item x="763"/>
        <item x="634"/>
        <item x="729"/>
        <item x="540"/>
        <item x="317"/>
        <item x="179"/>
        <item x="475"/>
        <item x="595"/>
        <item x="206"/>
        <item x="523"/>
        <item x="357"/>
        <item x="331"/>
        <item x="678"/>
        <item x="598"/>
        <item x="585"/>
        <item x="195"/>
        <item x="306"/>
        <item x="79"/>
        <item x="109"/>
        <item x="145"/>
        <item x="556"/>
        <item x="697"/>
        <item x="611"/>
        <item x="64"/>
        <item x="676"/>
        <item x="359"/>
        <item x="381"/>
        <item x="466"/>
        <item x="440"/>
        <item x="748"/>
        <item x="563"/>
        <item x="509"/>
        <item x="192"/>
        <item x="560"/>
        <item x="276"/>
        <item x="125"/>
        <item x="346"/>
        <item x="596"/>
        <item x="511"/>
        <item x="193"/>
        <item x="326"/>
        <item x="339"/>
        <item x="481"/>
        <item x="168"/>
        <item x="467"/>
        <item x="207"/>
        <item x="104"/>
        <item x="273"/>
        <item x="708"/>
        <item x="425"/>
        <item x="167"/>
        <item x="270"/>
        <item x="507"/>
        <item x="149"/>
        <item x="303"/>
        <item x="14"/>
        <item x="245"/>
        <item x="367"/>
        <item x="217"/>
        <item x="136"/>
        <item x="394"/>
        <item x="332"/>
        <item x="258"/>
        <item x="280"/>
        <item x="314"/>
        <item x="51"/>
        <item x="267"/>
        <item x="177"/>
        <item x="762"/>
        <item x="244"/>
        <item x="524"/>
        <item x="758"/>
        <item x="434"/>
        <item x="165"/>
        <item x="121"/>
        <item x="506"/>
        <item x="170"/>
        <item x="512"/>
        <item x="22"/>
        <item x="90"/>
        <item x="404"/>
        <item x="298"/>
        <item x="365"/>
        <item x="712"/>
        <item x="591"/>
        <item x="201"/>
        <item x="302"/>
        <item x="751"/>
        <item x="510"/>
        <item x="505"/>
        <item x="190"/>
        <item x="130"/>
        <item x="174"/>
        <item x="568"/>
        <item x="711"/>
        <item x="447"/>
        <item x="395"/>
        <item x="454"/>
        <item x="213"/>
        <item x="41"/>
        <item x="175"/>
        <item x="529"/>
        <item x="370"/>
        <item x="293"/>
        <item x="113"/>
        <item x="723"/>
        <item x="564"/>
        <item x="620"/>
        <item x="453"/>
        <item x="753"/>
        <item x="389"/>
        <item x="228"/>
        <item x="87"/>
        <item x="652"/>
        <item x="340"/>
        <item x="754"/>
        <item x="214"/>
        <item x="27"/>
        <item x="329"/>
        <item x="172"/>
        <item x="225"/>
        <item x="525"/>
        <item x="355"/>
        <item x="736"/>
        <item x="480"/>
        <item x="502"/>
        <item x="222"/>
        <item x="83"/>
        <item x="377"/>
        <item x="209"/>
        <item x="610"/>
        <item x="514"/>
        <item x="675"/>
        <item x="579"/>
        <item x="304"/>
        <item x="690"/>
        <item x="553"/>
        <item x="399"/>
        <item x="216"/>
        <item x="38"/>
        <item x="151"/>
        <item x="39"/>
        <item x="470"/>
        <item x="296"/>
        <item x="237"/>
        <item x="520"/>
        <item x="320"/>
        <item x="439"/>
        <item x="424"/>
        <item x="46"/>
        <item x="428"/>
        <item x="557"/>
        <item x="565"/>
        <item x="720"/>
        <item x="443"/>
        <item x="549"/>
        <item x="522"/>
        <item x="767"/>
        <item x="169"/>
        <item x="517"/>
        <item x="291"/>
        <item x="604"/>
        <item x="70"/>
        <item x="235"/>
        <item x="733"/>
        <item x="114"/>
        <item x="704"/>
        <item x="478"/>
        <item x="342"/>
        <item x="426"/>
        <item x="651"/>
        <item x="699"/>
        <item x="282"/>
        <item x="3"/>
        <item x="140"/>
        <item x="403"/>
        <item x="240"/>
        <item x="85"/>
        <item x="80"/>
        <item x="251"/>
        <item x="559"/>
        <item x="456"/>
        <item x="465"/>
        <item x="316"/>
        <item x="289"/>
        <item x="284"/>
        <item x="583"/>
        <item x="742"/>
        <item x="688"/>
        <item x="356"/>
        <item x="319"/>
        <item x="60"/>
        <item x="761"/>
        <item x="163"/>
        <item x="411"/>
        <item x="493"/>
        <item x="375"/>
        <item x="74"/>
        <item x="274"/>
        <item x="371"/>
        <item x="297"/>
        <item x="141"/>
        <item x="650"/>
        <item x="338"/>
        <item x="78"/>
        <item x="162"/>
        <item x="185"/>
        <item x="308"/>
        <item x="84"/>
        <item x="635"/>
        <item x="301"/>
        <item x="685"/>
        <item x="625"/>
        <item x="100"/>
        <item x="55"/>
        <item x="764"/>
        <item x="735"/>
        <item x="692"/>
        <item x="451"/>
        <item x="123"/>
        <item x="586"/>
        <item x="285"/>
        <item x="437"/>
        <item x="433"/>
        <item x="474"/>
        <item x="410"/>
        <item x="307"/>
        <item x="695"/>
        <item x="544"/>
        <item x="527"/>
        <item x="640"/>
        <item x="435"/>
        <item x="322"/>
        <item x="31"/>
        <item x="670"/>
        <item x="143"/>
        <item x="624"/>
        <item x="281"/>
        <item x="20"/>
        <item x="243"/>
        <item x="324"/>
        <item x="667"/>
        <item x="683"/>
        <item x="768"/>
        <item x="186"/>
        <item x="8"/>
        <item x="96"/>
        <item x="390"/>
        <item x="43"/>
        <item x="366"/>
        <item x="609"/>
        <item x="571"/>
        <item x="414"/>
        <item x="119"/>
        <item x="116"/>
        <item x="643"/>
        <item x="131"/>
        <item x="494"/>
        <item x="521"/>
        <item x="622"/>
        <item x="95"/>
        <item x="581"/>
        <item x="552"/>
        <item x="515"/>
        <item x="187"/>
        <item x="548"/>
        <item x="358"/>
        <item x="19"/>
        <item x="409"/>
        <item x="580"/>
        <item x="632"/>
        <item x="363"/>
        <item x="741"/>
        <item x="391"/>
        <item x="700"/>
        <item x="646"/>
        <item x="750"/>
        <item x="108"/>
        <item x="450"/>
        <item x="417"/>
        <item x="236"/>
        <item x="746"/>
        <item x="259"/>
        <item x="287"/>
        <item x="376"/>
        <item x="139"/>
        <item x="759"/>
        <item x="47"/>
        <item x="660"/>
        <item x="59"/>
        <item x="117"/>
        <item x="608"/>
        <item x="103"/>
        <item x="477"/>
        <item x="369"/>
        <item x="18"/>
        <item x="518"/>
        <item x="11"/>
        <item x="124"/>
        <item x="485"/>
        <item x="429"/>
        <item x="572"/>
        <item x="25"/>
        <item x="460"/>
        <item x="570"/>
        <item x="464"/>
        <item x="81"/>
        <item x="533"/>
        <item x="30"/>
        <item x="626"/>
        <item x="438"/>
        <item x="401"/>
        <item x="349"/>
        <item x="112"/>
        <item x="501"/>
        <item x="126"/>
        <item x="334"/>
        <item x="197"/>
        <item x="133"/>
        <item x="491"/>
        <item x="155"/>
        <item x="330"/>
        <item x="446"/>
        <item x="231"/>
        <item x="638"/>
        <item x="752"/>
        <item x="234"/>
        <item x="32"/>
        <item x="204"/>
        <item x="531"/>
        <item x="224"/>
        <item x="673"/>
        <item x="156"/>
        <item x="120"/>
        <item x="590"/>
        <item x="33"/>
        <item x="42"/>
        <item x="431"/>
        <item x="629"/>
        <item x="472"/>
        <item x="238"/>
        <item x="0"/>
        <item x="368"/>
        <item x="279"/>
        <item x="671"/>
        <item x="397"/>
        <item x="471"/>
        <item x="248"/>
        <item x="184"/>
        <item x="221"/>
        <item x="348"/>
        <item x="260"/>
        <item x="189"/>
        <item x="23"/>
        <item x="682"/>
        <item x="679"/>
        <item x="669"/>
        <item x="462"/>
        <item x="300"/>
        <item x="386"/>
        <item x="649"/>
        <item x="180"/>
        <item x="561"/>
        <item x="717"/>
        <item x="400"/>
        <item x="469"/>
        <item x="337"/>
        <item x="147"/>
        <item x="89"/>
        <item x="283"/>
        <item x="361"/>
        <item x="619"/>
        <item x="721"/>
        <item x="4"/>
        <item x="532"/>
        <item t="default"/>
      </items>
    </pivotField>
    <pivotField numFmtId="167" showAll="0"/>
    <pivotField axis="axisRow" showAll="0" sortType="descending">
      <items count="4"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 sortType="descending">
      <items count="6">
        <item x="1"/>
        <item x="2"/>
        <item x="0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7" showAll="0"/>
    <pivotField numFmtId="167" showAll="0"/>
    <pivotField numFmtId="167" showAll="0"/>
    <pivotField numFmtId="167" showAll="0"/>
    <pivotField numFmtId="167" showAll="0"/>
    <pivotField numFmtId="167" showAll="0"/>
    <pivotField showAll="0"/>
    <pivotField showAll="0"/>
    <pivotField dragToRow="0" dragToCol="0" dragToPage="0" showAll="0" defaultSubtotal="0"/>
    <pivotField dragToRow="0" dragToCol="0" dragToPage="0" showAll="0" defaultSubtotal="0"/>
  </pivotFields>
  <rowFields count="1">
    <field x="8"/>
  </rowFields>
  <rowItems count="3">
    <i>
      <x/>
    </i>
    <i>
      <x v="1"/>
    </i>
    <i>
      <x v="2"/>
    </i>
  </rowItems>
  <colFields count="1">
    <field x="-2"/>
  </colFields>
  <colItems count="2">
    <i>
      <x/>
    </i>
    <i i="1">
      <x v="1"/>
    </i>
  </colItems>
  <dataFields count="2">
    <dataField name="Revenue" fld="6" baseField="9" baseItem="0" numFmtId="167"/>
    <dataField name="Orders" fld="9" subtotal="count" baseField="0" baseItem="0"/>
  </dataFields>
  <chartFormats count="8">
    <chartFormat chart="1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" format="1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13">
      <pivotArea type="data" outline="0" fieldPosition="0">
        <references count="2">
          <reference field="4294967294" count="1" selected="0">
            <x v="1"/>
          </reference>
          <reference field="8" count="1" selected="0">
            <x v="0"/>
          </reference>
        </references>
      </pivotArea>
    </chartFormat>
    <chartFormat chart="1" format="14">
      <pivotArea type="data" outline="0" fieldPosition="0">
        <references count="2">
          <reference field="4294967294" count="1" selected="0">
            <x v="1"/>
          </reference>
          <reference field="8" count="1" selected="0">
            <x v="1"/>
          </reference>
        </references>
      </pivotArea>
    </chartFormat>
    <chartFormat chart="1" format="15">
      <pivotArea type="data" outline="0" fieldPosition="0">
        <references count="2">
          <reference field="4294967294" count="1" selected="0">
            <x v="1"/>
          </reference>
          <reference field="8" count="1" selected="0">
            <x v="2"/>
          </reference>
        </references>
      </pivotArea>
    </chartFormat>
  </chartFormats>
  <pivotTableStyleInfo name="PivotStyleMedium9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4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5" minRefreshableVersion="3" useAutoFormatting="1" rowGrandTotals="0" colGrandTotals="0" itemPrintTitles="1" createdVersion="5" indent="0" outline="1" outlineData="1" multipleFieldFilters="0" rowHeaderCaption="Client">
  <location ref="M3:O13" firstHeaderRow="0" firstDataRow="1" firstDataCol="1"/>
  <pivotFields count="20">
    <pivotField showAll="0"/>
    <pivotField axis="axisRow" dataField="1" showAll="0" measureFilter="1" sortType="descending">
      <items count="948">
        <item x="337"/>
        <item x="750"/>
        <item x="575"/>
        <item x="695"/>
        <item x="78"/>
        <item x="803"/>
        <item x="854"/>
        <item x="232"/>
        <item x="756"/>
        <item x="720"/>
        <item x="874"/>
        <item x="528"/>
        <item x="644"/>
        <item x="297"/>
        <item x="58"/>
        <item x="26"/>
        <item x="277"/>
        <item x="184"/>
        <item x="176"/>
        <item x="109"/>
        <item x="763"/>
        <item x="258"/>
        <item x="727"/>
        <item x="786"/>
        <item x="611"/>
        <item x="572"/>
        <item x="773"/>
        <item x="213"/>
        <item x="273"/>
        <item x="693"/>
        <item x="862"/>
        <item x="699"/>
        <item x="590"/>
        <item x="87"/>
        <item x="455"/>
        <item x="591"/>
        <item x="427"/>
        <item x="419"/>
        <item x="835"/>
        <item x="6"/>
        <item x="105"/>
        <item x="521"/>
        <item x="362"/>
        <item x="680"/>
        <item x="900"/>
        <item x="307"/>
        <item x="555"/>
        <item x="365"/>
        <item x="287"/>
        <item x="326"/>
        <item x="370"/>
        <item x="806"/>
        <item x="274"/>
        <item x="349"/>
        <item x="694"/>
        <item x="191"/>
        <item x="148"/>
        <item x="669"/>
        <item x="549"/>
        <item x="671"/>
        <item x="921"/>
        <item x="163"/>
        <item x="275"/>
        <item x="604"/>
        <item x="460"/>
        <item x="430"/>
        <item x="659"/>
        <item x="939"/>
        <item x="11"/>
        <item x="613"/>
        <item x="46"/>
        <item x="299"/>
        <item x="857"/>
        <item x="861"/>
        <item x="525"/>
        <item x="424"/>
        <item x="868"/>
        <item x="352"/>
        <item x="760"/>
        <item x="397"/>
        <item x="323"/>
        <item x="165"/>
        <item x="1"/>
        <item x="116"/>
        <item x="341"/>
        <item x="69"/>
        <item x="705"/>
        <item x="834"/>
        <item x="566"/>
        <item x="526"/>
        <item x="838"/>
        <item x="931"/>
        <item x="488"/>
        <item x="238"/>
        <item x="918"/>
        <item x="278"/>
        <item x="866"/>
        <item x="60"/>
        <item x="581"/>
        <item x="62"/>
        <item x="53"/>
        <item x="103"/>
        <item x="251"/>
        <item x="129"/>
        <item x="271"/>
        <item x="472"/>
        <item x="747"/>
        <item x="807"/>
        <item x="409"/>
        <item x="269"/>
        <item x="615"/>
        <item x="361"/>
        <item x="837"/>
        <item x="437"/>
        <item x="327"/>
        <item x="358"/>
        <item x="223"/>
        <item x="471"/>
        <item x="17"/>
        <item x="493"/>
        <item x="826"/>
        <item x="910"/>
        <item x="522"/>
        <item x="246"/>
        <item x="818"/>
        <item x="624"/>
        <item x="536"/>
        <item x="32"/>
        <item x="691"/>
        <item x="157"/>
        <item x="717"/>
        <item x="139"/>
        <item x="503"/>
        <item x="633"/>
        <item x="780"/>
        <item x="545"/>
        <item x="452"/>
        <item x="298"/>
        <item x="595"/>
        <item x="114"/>
        <item x="151"/>
        <item x="33"/>
        <item x="523"/>
        <item x="496"/>
        <item x="491"/>
        <item x="439"/>
        <item x="567"/>
        <item x="49"/>
        <item x="785"/>
        <item x="739"/>
        <item x="778"/>
        <item x="901"/>
        <item x="589"/>
        <item x="161"/>
        <item x="884"/>
        <item x="704"/>
        <item x="227"/>
        <item x="136"/>
        <item x="360"/>
        <item x="126"/>
        <item x="375"/>
        <item x="10"/>
        <item x="294"/>
        <item x="398"/>
        <item x="253"/>
        <item x="171"/>
        <item x="738"/>
        <item x="198"/>
        <item x="122"/>
        <item x="928"/>
        <item x="736"/>
        <item x="881"/>
        <item x="207"/>
        <item x="507"/>
        <item x="284"/>
        <item x="767"/>
        <item x="574"/>
        <item x="309"/>
        <item x="199"/>
        <item x="531"/>
        <item x="155"/>
        <item x="887"/>
        <item x="844"/>
        <item x="667"/>
        <item x="289"/>
        <item x="30"/>
        <item x="657"/>
        <item x="787"/>
        <item x="768"/>
        <item x="186"/>
        <item x="359"/>
        <item x="202"/>
        <item x="823"/>
        <item x="716"/>
        <item x="195"/>
        <item x="911"/>
        <item x="782"/>
        <item x="820"/>
        <item x="149"/>
        <item x="593"/>
        <item x="771"/>
        <item x="82"/>
        <item x="24"/>
        <item x="603"/>
        <item x="215"/>
        <item x="776"/>
        <item x="77"/>
        <item x="938"/>
        <item x="933"/>
        <item x="416"/>
        <item x="529"/>
        <item x="858"/>
        <item x="698"/>
        <item x="808"/>
        <item x="380"/>
        <item x="442"/>
        <item x="473"/>
        <item x="641"/>
        <item x="815"/>
        <item x="817"/>
        <item x="582"/>
        <item x="233"/>
        <item x="836"/>
        <item x="268"/>
        <item x="775"/>
        <item x="841"/>
        <item x="222"/>
        <item x="180"/>
        <item x="839"/>
        <item x="316"/>
        <item x="850"/>
        <item x="205"/>
        <item x="681"/>
        <item x="400"/>
        <item x="13"/>
        <item x="864"/>
        <item x="96"/>
        <item x="733"/>
        <item x="382"/>
        <item x="929"/>
        <item x="391"/>
        <item x="333"/>
        <item x="459"/>
        <item x="434"/>
        <item x="190"/>
        <item x="489"/>
        <item x="757"/>
        <item x="231"/>
        <item x="22"/>
        <item x="793"/>
        <item x="80"/>
        <item x="746"/>
        <item x="682"/>
        <item x="41"/>
        <item x="791"/>
        <item x="842"/>
        <item x="855"/>
        <item x="495"/>
        <item x="133"/>
        <item x="83"/>
        <item x="542"/>
        <item x="892"/>
        <item x="816"/>
        <item x="917"/>
        <item x="934"/>
        <item x="98"/>
        <item x="290"/>
        <item x="27"/>
        <item x="403"/>
        <item x="734"/>
        <item x="378"/>
        <item x="553"/>
        <item x="25"/>
        <item x="565"/>
        <item x="461"/>
        <item x="436"/>
        <item x="117"/>
        <item x="706"/>
        <item x="306"/>
        <item x="192"/>
        <item x="622"/>
        <item x="781"/>
        <item x="648"/>
        <item x="357"/>
        <item x="393"/>
        <item x="388"/>
        <item x="237"/>
        <item x="576"/>
        <item x="886"/>
        <item x="687"/>
        <item x="851"/>
        <item x="801"/>
        <item x="197"/>
        <item x="448"/>
        <item x="509"/>
        <item x="182"/>
        <item x="313"/>
        <item x="234"/>
        <item x="435"/>
        <item x="279"/>
        <item x="201"/>
        <item x="28"/>
        <item x="295"/>
        <item x="885"/>
        <item x="336"/>
        <item x="519"/>
        <item x="52"/>
        <item x="713"/>
        <item x="91"/>
        <item x="94"/>
        <item x="218"/>
        <item x="334"/>
        <item x="504"/>
        <item x="373"/>
        <item x="48"/>
        <item x="131"/>
        <item x="221"/>
        <item x="639"/>
        <item x="849"/>
        <item x="127"/>
        <item x="668"/>
        <item x="423"/>
        <item x="152"/>
        <item x="569"/>
        <item x="281"/>
        <item x="541"/>
        <item x="946"/>
        <item x="368"/>
        <item x="710"/>
        <item x="257"/>
        <item x="879"/>
        <item x="414"/>
        <item x="623"/>
        <item x="537"/>
        <item x="19"/>
        <item x="795"/>
        <item x="282"/>
        <item x="883"/>
        <item x="609"/>
        <item x="272"/>
        <item x="920"/>
        <item x="254"/>
        <item x="445"/>
        <item x="270"/>
        <item x="250"/>
        <item x="646"/>
        <item x="882"/>
        <item x="506"/>
        <item x="783"/>
        <item x="376"/>
        <item x="895"/>
        <item x="175"/>
        <item x="743"/>
        <item x="789"/>
        <item x="869"/>
        <item x="34"/>
        <item x="89"/>
        <item x="913"/>
        <item x="649"/>
        <item x="158"/>
        <item x="539"/>
        <item x="723"/>
        <item x="907"/>
        <item x="134"/>
        <item x="470"/>
        <item x="689"/>
        <item x="366"/>
        <item x="821"/>
        <item x="162"/>
        <item x="923"/>
        <item x="516"/>
        <item x="552"/>
        <item x="744"/>
        <item x="772"/>
        <item x="147"/>
        <item x="852"/>
        <item x="153"/>
        <item x="446"/>
        <item x="325"/>
        <item x="558"/>
        <item x="880"/>
        <item x="737"/>
        <item x="656"/>
        <item x="102"/>
        <item x="54"/>
        <item x="332"/>
        <item x="291"/>
        <item x="872"/>
        <item x="35"/>
        <item x="676"/>
        <item x="408"/>
        <item x="586"/>
        <item x="50"/>
        <item x="422"/>
        <item x="244"/>
        <item x="401"/>
        <item x="293"/>
        <item x="822"/>
        <item x="888"/>
        <item x="819"/>
        <item x="212"/>
        <item x="369"/>
        <item x="438"/>
        <item x="412"/>
        <item x="343"/>
        <item x="688"/>
        <item x="324"/>
        <item x="585"/>
        <item x="651"/>
        <item x="457"/>
        <item x="533"/>
        <item x="599"/>
        <item x="511"/>
        <item x="670"/>
        <item x="229"/>
        <item x="729"/>
        <item x="764"/>
        <item x="897"/>
        <item x="177"/>
        <item x="853"/>
        <item x="805"/>
        <item x="769"/>
        <item x="922"/>
        <item x="374"/>
        <item x="634"/>
        <item x="513"/>
        <item x="189"/>
        <item x="759"/>
        <item x="59"/>
        <item x="654"/>
        <item x="502"/>
        <item x="748"/>
        <item x="482"/>
        <item x="458"/>
        <item x="614"/>
        <item x="411"/>
        <item x="179"/>
        <item x="146"/>
        <item x="927"/>
        <item x="7"/>
        <item x="690"/>
        <item x="236"/>
        <item x="871"/>
        <item x="385"/>
        <item x="348"/>
        <item x="550"/>
        <item x="108"/>
        <item x="466"/>
        <item x="453"/>
        <item x="242"/>
        <item x="319"/>
        <item x="247"/>
        <item x="224"/>
        <item x="935"/>
        <item x="627"/>
        <item x="607"/>
        <item x="217"/>
        <item x="18"/>
        <item x="392"/>
        <item x="843"/>
        <item x="701"/>
        <item x="721"/>
        <item x="128"/>
        <item x="637"/>
        <item x="264"/>
        <item x="29"/>
        <item x="889"/>
        <item x="814"/>
        <item x="626"/>
        <item x="621"/>
        <item x="478"/>
        <item x="248"/>
        <item x="206"/>
        <item x="164"/>
        <item x="514"/>
        <item x="350"/>
        <item x="916"/>
        <item x="331"/>
        <item x="315"/>
        <item x="588"/>
        <item x="573"/>
        <item x="598"/>
        <item x="800"/>
        <item x="557"/>
        <item x="485"/>
        <item x="515"/>
        <item x="638"/>
        <item x="619"/>
        <item x="71"/>
        <item x="340"/>
        <item x="70"/>
        <item x="642"/>
        <item x="259"/>
        <item x="532"/>
        <item x="243"/>
        <item x="944"/>
        <item x="174"/>
        <item x="919"/>
        <item x="462"/>
        <item x="556"/>
        <item x="449"/>
        <item x="909"/>
        <item x="235"/>
        <item x="608"/>
        <item x="464"/>
        <item x="527"/>
        <item x="891"/>
        <item x="15"/>
        <item x="402"/>
        <item x="100"/>
        <item x="546"/>
        <item x="440"/>
        <item x="942"/>
        <item x="276"/>
        <item x="441"/>
        <item x="877"/>
        <item x="636"/>
        <item x="120"/>
        <item x="703"/>
        <item x="580"/>
        <item x="702"/>
        <item x="110"/>
        <item x="813"/>
        <item x="475"/>
        <item x="170"/>
        <item x="353"/>
        <item x="925"/>
        <item x="379"/>
        <item x="3"/>
        <item x="338"/>
        <item x="154"/>
        <item x="364"/>
        <item x="685"/>
        <item x="169"/>
        <item x="790"/>
        <item x="84"/>
        <item x="76"/>
        <item x="777"/>
        <item x="492"/>
        <item x="912"/>
        <item x="510"/>
        <item x="476"/>
        <item x="14"/>
        <item x="339"/>
        <item x="562"/>
        <item x="480"/>
        <item x="749"/>
        <item x="534"/>
        <item x="840"/>
        <item x="405"/>
        <item x="2"/>
        <item x="37"/>
        <item x="735"/>
        <item x="832"/>
        <item x="794"/>
        <item x="216"/>
        <item x="288"/>
        <item x="647"/>
        <item x="135"/>
        <item x="81"/>
        <item x="797"/>
        <item x="44"/>
        <item x="940"/>
        <item x="145"/>
        <item x="211"/>
        <item x="173"/>
        <item x="407"/>
        <item x="228"/>
        <item x="498"/>
        <item x="758"/>
        <item x="606"/>
        <item x="828"/>
        <item x="653"/>
        <item x="144"/>
        <item x="8"/>
        <item x="675"/>
        <item x="468"/>
        <item x="137"/>
        <item x="304"/>
        <item x="261"/>
        <item x="85"/>
        <item x="740"/>
        <item x="312"/>
        <item x="447"/>
        <item x="538"/>
        <item x="57"/>
        <item x="335"/>
        <item x="240"/>
        <item x="570"/>
        <item x="413"/>
        <item x="404"/>
        <item x="4"/>
        <item x="830"/>
        <item x="426"/>
        <item x="715"/>
        <item x="203"/>
        <item x="825"/>
        <item x="859"/>
        <item x="831"/>
        <item x="172"/>
        <item x="943"/>
        <item x="305"/>
        <item x="692"/>
        <item x="285"/>
        <item x="167"/>
        <item x="141"/>
        <item x="708"/>
        <item x="395"/>
        <item x="386"/>
        <item x="88"/>
        <item x="256"/>
        <item x="132"/>
        <item x="450"/>
        <item x="322"/>
        <item x="356"/>
        <item x="796"/>
        <item x="873"/>
        <item x="754"/>
        <item x="650"/>
        <item x="914"/>
        <item x="111"/>
        <item x="812"/>
        <item x="308"/>
        <item x="433"/>
        <item x="594"/>
        <item x="602"/>
        <item x="320"/>
        <item x="245"/>
        <item x="945"/>
        <item x="121"/>
        <item x="876"/>
        <item x="845"/>
        <item x="664"/>
        <item x="774"/>
        <item x="559"/>
        <item x="663"/>
        <item x="280"/>
        <item x="563"/>
        <item x="860"/>
        <item x="724"/>
        <item x="497"/>
        <item x="90"/>
        <item x="535"/>
        <item x="226"/>
        <item x="718"/>
        <item x="766"/>
        <item x="43"/>
        <item x="662"/>
        <item x="629"/>
        <item x="658"/>
        <item x="5"/>
        <item x="655"/>
        <item x="92"/>
        <item x="765"/>
        <item x="187"/>
        <item x="722"/>
        <item x="328"/>
        <item x="225"/>
        <item x="396"/>
        <item x="494"/>
        <item x="530"/>
        <item x="915"/>
        <item x="645"/>
        <item x="72"/>
        <item x="847"/>
        <item x="728"/>
        <item x="124"/>
        <item x="679"/>
        <item x="20"/>
        <item x="799"/>
        <item x="16"/>
        <item x="64"/>
        <item x="896"/>
        <item x="329"/>
        <item x="761"/>
        <item x="383"/>
        <item x="906"/>
        <item x="686"/>
        <item x="707"/>
        <item x="890"/>
        <item x="168"/>
        <item x="520"/>
        <item x="477"/>
        <item x="620"/>
        <item x="194"/>
        <item x="811"/>
        <item x="156"/>
        <item x="508"/>
        <item x="601"/>
        <item x="321"/>
        <item x="210"/>
        <item x="381"/>
        <item x="517"/>
        <item x="941"/>
        <item x="317"/>
        <item x="387"/>
        <item x="130"/>
        <item x="677"/>
        <item x="204"/>
        <item x="926"/>
        <item x="286"/>
        <item x="486"/>
        <item x="86"/>
        <item x="732"/>
        <item x="418"/>
        <item x="741"/>
        <item x="140"/>
        <item x="672"/>
        <item x="908"/>
        <item x="347"/>
        <item x="484"/>
        <item x="443"/>
        <item x="700"/>
        <item x="551"/>
        <item x="399"/>
        <item x="66"/>
        <item x="56"/>
        <item x="628"/>
        <item x="712"/>
        <item x="731"/>
        <item x="125"/>
        <item x="252"/>
        <item x="856"/>
        <item x="390"/>
        <item x="106"/>
        <item x="684"/>
        <item x="107"/>
        <item x="631"/>
        <item x="809"/>
        <item x="241"/>
        <item x="12"/>
        <item x="344"/>
        <item x="587"/>
        <item x="311"/>
        <item x="678"/>
        <item x="742"/>
        <item x="770"/>
        <item x="625"/>
        <item x="632"/>
        <item x="371"/>
        <item x="260"/>
        <item x="571"/>
        <item x="342"/>
        <item x="113"/>
        <item x="42"/>
        <item x="643"/>
        <item x="490"/>
        <item x="345"/>
        <item x="193"/>
        <item x="45"/>
        <item x="560"/>
        <item x="893"/>
        <item x="544"/>
        <item x="185"/>
        <item x="597"/>
        <item x="870"/>
        <item x="219"/>
        <item x="431"/>
        <item x="454"/>
        <item x="596"/>
        <item x="467"/>
        <item x="878"/>
        <item x="303"/>
        <item x="75"/>
        <item x="95"/>
        <item x="610"/>
        <item x="683"/>
        <item x="487"/>
        <item x="600"/>
        <item x="377"/>
        <item x="465"/>
        <item x="0"/>
        <item x="160"/>
        <item x="937"/>
        <item x="561"/>
        <item x="846"/>
        <item x="479"/>
        <item x="267"/>
        <item x="302"/>
        <item x="661"/>
        <item x="444"/>
        <item x="104"/>
        <item x="389"/>
        <item x="138"/>
        <item x="220"/>
        <item x="367"/>
        <item x="118"/>
        <item x="578"/>
        <item x="579"/>
        <item x="505"/>
        <item x="384"/>
        <item x="584"/>
        <item x="292"/>
        <item x="554"/>
        <item x="751"/>
        <item x="501"/>
        <item x="330"/>
        <item x="40"/>
        <item x="142"/>
        <item x="428"/>
        <item x="802"/>
        <item x="159"/>
        <item x="51"/>
        <item x="301"/>
        <item x="725"/>
        <item x="673"/>
        <item x="123"/>
        <item x="548"/>
        <item x="524"/>
        <item x="804"/>
        <item x="429"/>
        <item x="61"/>
        <item x="719"/>
        <item x="635"/>
        <item x="469"/>
        <item x="829"/>
        <item x="425"/>
        <item x="711"/>
        <item x="265"/>
        <item x="263"/>
        <item x="665"/>
        <item x="568"/>
        <item x="112"/>
        <item x="410"/>
        <item x="640"/>
        <item x="31"/>
        <item x="183"/>
        <item x="865"/>
        <item x="867"/>
        <item x="810"/>
        <item x="363"/>
        <item x="296"/>
        <item x="660"/>
        <item x="23"/>
        <item x="115"/>
        <item x="474"/>
        <item x="848"/>
        <item x="63"/>
        <item x="564"/>
        <item x="65"/>
        <item x="618"/>
        <item x="67"/>
        <item x="605"/>
        <item x="652"/>
        <item x="730"/>
        <item x="674"/>
        <item x="898"/>
        <item x="902"/>
        <item x="784"/>
        <item x="346"/>
        <item x="55"/>
        <item x="314"/>
        <item x="150"/>
        <item x="262"/>
        <item x="406"/>
        <item x="181"/>
        <item x="79"/>
        <item x="798"/>
        <item x="483"/>
        <item x="630"/>
        <item x="249"/>
        <item x="540"/>
        <item x="930"/>
        <item x="904"/>
        <item x="456"/>
        <item x="300"/>
        <item x="101"/>
        <item x="209"/>
        <item x="372"/>
        <item x="827"/>
        <item x="697"/>
        <item x="714"/>
        <item x="99"/>
        <item x="208"/>
        <item x="792"/>
        <item x="166"/>
        <item x="709"/>
        <item x="318"/>
        <item x="592"/>
        <item x="753"/>
        <item x="266"/>
        <item x="47"/>
        <item x="726"/>
        <item x="420"/>
        <item x="355"/>
        <item x="351"/>
        <item x="283"/>
        <item x="9"/>
        <item x="463"/>
        <item x="196"/>
        <item x="239"/>
        <item x="824"/>
        <item x="93"/>
        <item x="894"/>
        <item x="583"/>
        <item x="616"/>
        <item x="39"/>
        <item x="745"/>
        <item x="230"/>
        <item x="666"/>
        <item x="936"/>
        <item x="779"/>
        <item x="394"/>
        <item x="68"/>
        <item x="924"/>
        <item x="547"/>
        <item x="863"/>
        <item x="788"/>
        <item x="73"/>
        <item x="903"/>
        <item x="617"/>
        <item x="905"/>
        <item x="518"/>
        <item x="752"/>
        <item x="543"/>
        <item x="21"/>
        <item x="833"/>
        <item x="200"/>
        <item x="74"/>
        <item x="499"/>
        <item x="500"/>
        <item x="310"/>
        <item x="696"/>
        <item x="255"/>
        <item x="119"/>
        <item x="899"/>
        <item x="451"/>
        <item x="38"/>
        <item x="875"/>
        <item x="188"/>
        <item x="421"/>
        <item x="214"/>
        <item x="755"/>
        <item x="36"/>
        <item x="612"/>
        <item x="432"/>
        <item x="143"/>
        <item x="512"/>
        <item x="932"/>
        <item x="762"/>
        <item x="481"/>
        <item x="354"/>
        <item x="415"/>
        <item x="178"/>
        <item x="417"/>
        <item x="577"/>
        <item x="9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measureFilter="1" sortType="descending">
      <items count="622">
        <item x="539"/>
        <item x="322"/>
        <item x="121"/>
        <item x="56"/>
        <item x="17"/>
        <item x="557"/>
        <item x="176"/>
        <item x="232"/>
        <item x="570"/>
        <item x="255"/>
        <item x="135"/>
        <item x="362"/>
        <item x="483"/>
        <item x="453"/>
        <item x="598"/>
        <item x="213"/>
        <item x="146"/>
        <item x="124"/>
        <item x="420"/>
        <item x="465"/>
        <item x="134"/>
        <item x="588"/>
        <item x="395"/>
        <item x="389"/>
        <item x="214"/>
        <item x="386"/>
        <item x="133"/>
        <item x="131"/>
        <item x="226"/>
        <item x="433"/>
        <item x="254"/>
        <item x="32"/>
        <item x="90"/>
        <item x="27"/>
        <item x="1"/>
        <item x="101"/>
        <item x="499"/>
        <item x="210"/>
        <item x="342"/>
        <item x="521"/>
        <item x="189"/>
        <item x="523"/>
        <item x="206"/>
        <item x="127"/>
        <item x="40"/>
        <item x="467"/>
        <item x="240"/>
        <item x="69"/>
        <item x="480"/>
        <item x="61"/>
        <item x="258"/>
        <item x="12"/>
        <item x="39"/>
        <item x="248"/>
        <item x="546"/>
        <item x="408"/>
        <item x="590"/>
        <item x="38"/>
        <item x="185"/>
        <item x="361"/>
        <item x="611"/>
        <item x="221"/>
        <item x="544"/>
        <item x="549"/>
        <item x="353"/>
        <item x="217"/>
        <item x="125"/>
        <item x="560"/>
        <item x="179"/>
        <item x="400"/>
        <item x="107"/>
        <item x="543"/>
        <item x="520"/>
        <item x="80"/>
        <item x="42"/>
        <item x="547"/>
        <item x="388"/>
        <item x="568"/>
        <item x="103"/>
        <item x="164"/>
        <item x="215"/>
        <item x="417"/>
        <item x="263"/>
        <item x="338"/>
        <item x="305"/>
        <item x="324"/>
        <item x="548"/>
        <item x="368"/>
        <item x="129"/>
        <item x="62"/>
        <item x="194"/>
        <item x="173"/>
        <item x="60"/>
        <item x="280"/>
        <item x="137"/>
        <item x="203"/>
        <item x="477"/>
        <item x="99"/>
        <item x="279"/>
        <item x="369"/>
        <item x="295"/>
        <item x="9"/>
        <item x="492"/>
        <item x="48"/>
        <item x="529"/>
        <item x="151"/>
        <item x="300"/>
        <item x="284"/>
        <item x="218"/>
        <item x="391"/>
        <item x="14"/>
        <item x="49"/>
        <item x="287"/>
        <item x="605"/>
        <item x="180"/>
        <item x="282"/>
        <item x="414"/>
        <item x="450"/>
        <item x="545"/>
        <item x="382"/>
        <item x="446"/>
        <item x="508"/>
        <item x="245"/>
        <item x="116"/>
        <item x="513"/>
        <item x="593"/>
        <item x="498"/>
        <item x="108"/>
        <item x="455"/>
        <item x="535"/>
        <item x="235"/>
        <item x="209"/>
        <item x="354"/>
        <item x="445"/>
        <item x="270"/>
        <item x="402"/>
        <item x="540"/>
        <item x="89"/>
        <item x="183"/>
        <item x="30"/>
        <item x="619"/>
        <item x="434"/>
        <item x="119"/>
        <item x="514"/>
        <item x="113"/>
        <item x="29"/>
        <item x="449"/>
        <item x="351"/>
        <item x="197"/>
        <item x="310"/>
        <item x="606"/>
        <item x="259"/>
        <item x="303"/>
        <item x="86"/>
        <item x="490"/>
        <item x="427"/>
        <item x="357"/>
        <item x="83"/>
        <item x="406"/>
        <item x="35"/>
        <item x="316"/>
        <item x="374"/>
        <item x="152"/>
        <item x="457"/>
        <item x="474"/>
        <item x="313"/>
        <item x="278"/>
        <item x="306"/>
        <item x="224"/>
        <item x="118"/>
        <item x="96"/>
        <item x="114"/>
        <item x="67"/>
        <item x="148"/>
        <item x="41"/>
        <item x="191"/>
        <item x="170"/>
        <item x="328"/>
        <item x="431"/>
        <item x="175"/>
        <item x="613"/>
        <item x="401"/>
        <item x="341"/>
        <item x="484"/>
        <item x="551"/>
        <item x="456"/>
        <item x="578"/>
        <item x="503"/>
        <item x="184"/>
        <item x="299"/>
        <item x="190"/>
        <item x="19"/>
        <item x="564"/>
        <item x="396"/>
        <item x="554"/>
        <item x="233"/>
        <item x="340"/>
        <item x="525"/>
        <item x="377"/>
        <item x="327"/>
        <item x="439"/>
        <item x="26"/>
        <item x="371"/>
        <item x="57"/>
        <item x="384"/>
        <item x="614"/>
        <item x="261"/>
        <item x="407"/>
        <item x="526"/>
        <item x="236"/>
        <item x="318"/>
        <item x="144"/>
        <item x="336"/>
        <item x="413"/>
        <item x="16"/>
        <item x="584"/>
        <item x="409"/>
        <item x="132"/>
        <item x="373"/>
        <item x="115"/>
        <item x="435"/>
        <item x="166"/>
        <item x="95"/>
        <item x="201"/>
        <item x="352"/>
        <item x="558"/>
        <item x="171"/>
        <item x="272"/>
        <item x="242"/>
        <item x="615"/>
        <item x="325"/>
        <item x="315"/>
        <item x="139"/>
        <item x="10"/>
        <item x="64"/>
        <item x="482"/>
        <item x="561"/>
        <item x="77"/>
        <item x="489"/>
        <item x="319"/>
        <item x="563"/>
        <item x="15"/>
        <item x="534"/>
        <item x="422"/>
        <item x="387"/>
        <item x="81"/>
        <item x="293"/>
        <item x="334"/>
        <item x="158"/>
        <item x="275"/>
        <item x="599"/>
        <item x="188"/>
        <item x="565"/>
        <item x="443"/>
        <item x="302"/>
        <item x="307"/>
        <item x="36"/>
        <item x="365"/>
        <item x="601"/>
        <item x="416"/>
        <item x="533"/>
        <item x="297"/>
        <item x="550"/>
        <item x="323"/>
        <item x="472"/>
        <item x="330"/>
        <item x="219"/>
        <item x="424"/>
        <item x="314"/>
        <item x="123"/>
        <item x="24"/>
        <item x="589"/>
        <item x="436"/>
        <item x="204"/>
        <item x="46"/>
        <item x="488"/>
        <item x="394"/>
        <item x="155"/>
        <item x="6"/>
        <item x="470"/>
        <item x="463"/>
        <item x="385"/>
        <item x="247"/>
        <item x="195"/>
        <item x="50"/>
        <item x="79"/>
        <item x="454"/>
        <item x="13"/>
        <item x="268"/>
        <item x="220"/>
        <item x="202"/>
        <item x="448"/>
        <item x="241"/>
        <item x="251"/>
        <item x="276"/>
        <item x="44"/>
        <item x="497"/>
        <item x="296"/>
        <item x="120"/>
        <item x="527"/>
        <item x="231"/>
        <item x="216"/>
        <item x="47"/>
        <item x="205"/>
        <item x="617"/>
        <item x="618"/>
        <item x="93"/>
        <item x="200"/>
        <item x="177"/>
        <item x="70"/>
        <item x="567"/>
        <item x="290"/>
        <item x="359"/>
        <item x="262"/>
        <item x="504"/>
        <item x="110"/>
        <item x="75"/>
        <item x="223"/>
        <item x="432"/>
        <item x="109"/>
        <item x="288"/>
        <item x="608"/>
        <item x="82"/>
        <item x="421"/>
        <item x="510"/>
        <item x="246"/>
        <item x="253"/>
        <item x="481"/>
        <item x="380"/>
        <item x="530"/>
        <item x="301"/>
        <item x="66"/>
        <item x="583"/>
        <item x="425"/>
        <item x="111"/>
        <item x="537"/>
        <item x="412"/>
        <item x="162"/>
        <item x="507"/>
        <item x="344"/>
        <item x="572"/>
        <item x="404"/>
        <item x="230"/>
        <item x="471"/>
        <item x="250"/>
        <item x="444"/>
        <item x="364"/>
        <item x="349"/>
        <item x="163"/>
        <item x="320"/>
        <item x="602"/>
        <item x="31"/>
        <item x="372"/>
        <item x="346"/>
        <item x="333"/>
        <item x="440"/>
        <item x="140"/>
        <item x="429"/>
        <item x="505"/>
        <item x="234"/>
        <item x="97"/>
        <item x="269"/>
        <item x="141"/>
        <item x="392"/>
        <item x="34"/>
        <item x="502"/>
        <item x="528"/>
        <item x="308"/>
        <item x="33"/>
        <item x="126"/>
        <item x="225"/>
        <item x="277"/>
        <item x="212"/>
        <item x="375"/>
        <item x="281"/>
        <item x="186"/>
        <item x="63"/>
        <item x="142"/>
        <item x="576"/>
        <item x="100"/>
        <item x="161"/>
        <item x="378"/>
        <item x="607"/>
        <item x="208"/>
        <item x="3"/>
        <item x="149"/>
        <item x="381"/>
        <item x="249"/>
        <item x="501"/>
        <item x="486"/>
        <item x="347"/>
        <item x="239"/>
        <item x="582"/>
        <item x="187"/>
        <item x="329"/>
        <item x="122"/>
        <item x="415"/>
        <item x="326"/>
        <item x="423"/>
        <item x="59"/>
        <item x="438"/>
        <item x="178"/>
        <item x="136"/>
        <item x="517"/>
        <item x="411"/>
        <item x="157"/>
        <item x="506"/>
        <item x="459"/>
        <item x="265"/>
        <item x="321"/>
        <item x="366"/>
        <item x="536"/>
        <item x="169"/>
        <item x="577"/>
        <item x="312"/>
        <item x="403"/>
        <item x="68"/>
        <item x="160"/>
        <item x="458"/>
        <item x="167"/>
        <item x="78"/>
        <item x="73"/>
        <item x="244"/>
        <item x="256"/>
        <item x="207"/>
        <item x="98"/>
        <item x="460"/>
        <item x="522"/>
        <item x="428"/>
        <item x="105"/>
        <item x="294"/>
        <item x="581"/>
        <item x="596"/>
        <item x="519"/>
        <item x="102"/>
        <item x="531"/>
        <item x="150"/>
        <item x="600"/>
        <item x="575"/>
        <item x="87"/>
        <item x="52"/>
        <item x="104"/>
        <item x="610"/>
        <item x="383"/>
        <item x="196"/>
        <item x="516"/>
        <item x="620"/>
        <item x="182"/>
        <item x="541"/>
        <item x="76"/>
        <item x="418"/>
        <item x="311"/>
        <item x="153"/>
        <item x="573"/>
        <item x="193"/>
        <item x="612"/>
        <item x="356"/>
        <item x="587"/>
        <item x="117"/>
        <item x="20"/>
        <item x="28"/>
        <item x="192"/>
        <item x="461"/>
        <item x="25"/>
        <item x="345"/>
        <item x="360"/>
        <item x="358"/>
        <item x="58"/>
        <item x="237"/>
        <item x="5"/>
        <item x="174"/>
        <item x="304"/>
        <item x="260"/>
        <item x="496"/>
        <item x="524"/>
        <item x="495"/>
        <item x="494"/>
        <item x="172"/>
        <item x="398"/>
        <item x="476"/>
        <item x="4"/>
        <item x="532"/>
        <item x="37"/>
        <item x="84"/>
        <item x="181"/>
        <item x="569"/>
        <item x="579"/>
        <item x="283"/>
        <item x="43"/>
        <item x="72"/>
        <item x="410"/>
        <item x="228"/>
        <item x="168"/>
        <item x="154"/>
        <item x="165"/>
        <item x="53"/>
        <item x="147"/>
        <item x="419"/>
        <item x="267"/>
        <item x="511"/>
        <item x="442"/>
        <item x="493"/>
        <item x="18"/>
        <item x="21"/>
        <item x="616"/>
        <item x="128"/>
        <item x="266"/>
        <item x="343"/>
        <item x="198"/>
        <item x="367"/>
        <item x="515"/>
        <item x="130"/>
        <item x="94"/>
        <item x="437"/>
        <item x="405"/>
        <item x="559"/>
        <item x="348"/>
        <item x="595"/>
        <item x="447"/>
        <item x="538"/>
        <item x="222"/>
        <item x="92"/>
        <item x="485"/>
        <item x="2"/>
        <item x="552"/>
        <item x="585"/>
        <item x="143"/>
        <item x="252"/>
        <item x="8"/>
        <item x="466"/>
        <item x="106"/>
        <item x="264"/>
        <item x="478"/>
        <item x="350"/>
        <item x="452"/>
        <item x="475"/>
        <item x="289"/>
        <item x="335"/>
        <item x="363"/>
        <item x="309"/>
        <item x="491"/>
        <item x="370"/>
        <item x="298"/>
        <item x="566"/>
        <item x="71"/>
        <item x="512"/>
        <item x="562"/>
        <item x="390"/>
        <item x="556"/>
        <item x="594"/>
        <item x="574"/>
        <item x="88"/>
        <item x="156"/>
        <item x="464"/>
        <item x="571"/>
        <item x="51"/>
        <item x="609"/>
        <item x="45"/>
        <item x="393"/>
        <item x="65"/>
        <item x="74"/>
        <item x="451"/>
        <item x="257"/>
        <item x="292"/>
        <item x="159"/>
        <item x="586"/>
        <item x="0"/>
        <item x="317"/>
        <item x="426"/>
        <item x="468"/>
        <item x="542"/>
        <item x="603"/>
        <item x="85"/>
        <item x="273"/>
        <item x="285"/>
        <item x="355"/>
        <item x="604"/>
        <item x="211"/>
        <item x="91"/>
        <item x="54"/>
        <item x="469"/>
        <item x="462"/>
        <item x="331"/>
        <item x="591"/>
        <item x="376"/>
        <item x="487"/>
        <item x="597"/>
        <item x="227"/>
        <item x="518"/>
        <item x="229"/>
        <item x="199"/>
        <item x="592"/>
        <item x="509"/>
        <item x="112"/>
        <item x="555"/>
        <item x="337"/>
        <item x="399"/>
        <item x="580"/>
        <item x="553"/>
        <item x="397"/>
        <item x="479"/>
        <item x="332"/>
        <item x="243"/>
        <item x="473"/>
        <item x="55"/>
        <item x="7"/>
        <item x="145"/>
        <item x="291"/>
        <item x="23"/>
        <item x="22"/>
        <item x="500"/>
        <item x="286"/>
        <item x="379"/>
        <item x="430"/>
        <item x="271"/>
        <item x="238"/>
        <item x="11"/>
        <item x="441"/>
        <item x="274"/>
        <item x="339"/>
        <item x="13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/>
    <pivotField numFmtId="164" showAll="0"/>
    <pivotField numFmtId="165" showAll="0"/>
    <pivotField numFmtId="167" showAll="0">
      <items count="770">
        <item x="614"/>
        <item x="388"/>
        <item x="656"/>
        <item x="290"/>
        <item x="178"/>
        <item x="98"/>
        <item x="653"/>
        <item x="681"/>
        <item x="45"/>
        <item x="628"/>
        <item x="288"/>
        <item x="277"/>
        <item x="272"/>
        <item x="328"/>
        <item x="703"/>
        <item x="345"/>
        <item x="250"/>
        <item x="374"/>
        <item x="28"/>
        <item x="519"/>
        <item x="94"/>
        <item x="601"/>
        <item x="385"/>
        <item x="101"/>
        <item x="36"/>
        <item x="528"/>
        <item x="575"/>
        <item x="215"/>
        <item x="176"/>
        <item x="605"/>
        <item x="159"/>
        <item x="292"/>
        <item x="278"/>
        <item x="732"/>
        <item x="35"/>
        <item x="569"/>
        <item x="309"/>
        <item x="479"/>
        <item x="630"/>
        <item x="427"/>
        <item x="264"/>
        <item x="647"/>
        <item x="77"/>
        <item x="372"/>
        <item x="701"/>
        <item x="578"/>
        <item x="725"/>
        <item x="546"/>
        <item x="91"/>
        <item x="483"/>
        <item x="473"/>
        <item x="452"/>
        <item x="706"/>
        <item x="687"/>
        <item x="584"/>
        <item x="562"/>
        <item x="212"/>
        <item x="436"/>
        <item x="728"/>
        <item x="7"/>
        <item x="573"/>
        <item x="666"/>
        <item x="73"/>
        <item x="122"/>
        <item x="727"/>
        <item x="743"/>
        <item x="516"/>
        <item x="219"/>
        <item x="310"/>
        <item x="576"/>
        <item x="311"/>
        <item x="387"/>
        <item x="350"/>
        <item x="360"/>
        <item x="128"/>
        <item x="265"/>
        <item x="152"/>
        <item x="335"/>
        <item x="613"/>
        <item x="6"/>
        <item x="82"/>
        <item x="536"/>
        <item x="105"/>
        <item x="220"/>
        <item x="373"/>
        <item x="352"/>
        <item x="312"/>
        <item x="344"/>
        <item x="37"/>
        <item x="262"/>
        <item x="722"/>
        <item x="299"/>
        <item x="384"/>
        <item x="592"/>
        <item x="530"/>
        <item x="61"/>
        <item x="672"/>
        <item x="362"/>
        <item x="567"/>
        <item x="487"/>
        <item x="232"/>
        <item x="137"/>
        <item x="644"/>
        <item x="405"/>
        <item x="127"/>
        <item x="513"/>
        <item x="589"/>
        <item x="194"/>
        <item x="48"/>
        <item x="402"/>
        <item x="364"/>
        <item x="615"/>
        <item x="432"/>
        <item x="430"/>
        <item x="40"/>
        <item x="420"/>
        <item x="92"/>
        <item x="5"/>
        <item x="496"/>
        <item x="351"/>
        <item x="398"/>
        <item x="745"/>
        <item x="58"/>
        <item x="709"/>
        <item x="263"/>
        <item x="707"/>
        <item x="246"/>
        <item x="56"/>
        <item x="29"/>
        <item x="547"/>
        <item x="577"/>
        <item x="542"/>
        <item x="731"/>
        <item x="166"/>
        <item x="756"/>
        <item x="233"/>
        <item x="705"/>
        <item x="97"/>
        <item x="459"/>
        <item x="648"/>
        <item x="392"/>
        <item x="412"/>
        <item x="495"/>
        <item x="9"/>
        <item x="327"/>
        <item x="714"/>
        <item x="16"/>
        <item x="154"/>
        <item x="680"/>
        <item x="674"/>
        <item x="488"/>
        <item x="461"/>
        <item x="698"/>
        <item x="382"/>
        <item x="739"/>
        <item x="492"/>
        <item x="664"/>
        <item x="160"/>
        <item x="702"/>
        <item x="164"/>
        <item x="200"/>
        <item x="617"/>
        <item x="341"/>
        <item x="587"/>
        <item x="336"/>
        <item x="294"/>
        <item x="766"/>
        <item x="34"/>
        <item x="637"/>
        <item x="54"/>
        <item x="65"/>
        <item x="539"/>
        <item x="75"/>
        <item x="716"/>
        <item x="566"/>
        <item x="223"/>
        <item x="135"/>
        <item x="541"/>
        <item x="457"/>
        <item x="52"/>
        <item x="422"/>
        <item x="257"/>
        <item x="295"/>
        <item x="353"/>
        <item x="499"/>
        <item x="242"/>
        <item x="662"/>
        <item x="445"/>
        <item x="67"/>
        <item x="418"/>
        <item x="71"/>
        <item x="612"/>
        <item x="489"/>
        <item x="69"/>
        <item x="554"/>
        <item x="86"/>
        <item x="205"/>
        <item x="413"/>
        <item x="691"/>
        <item x="658"/>
        <item x="315"/>
        <item x="171"/>
        <item x="13"/>
        <item x="93"/>
        <item x="111"/>
        <item x="642"/>
        <item x="616"/>
        <item x="645"/>
        <item x="694"/>
        <item x="255"/>
        <item x="458"/>
        <item x="269"/>
        <item x="247"/>
        <item x="142"/>
        <item x="740"/>
        <item x="53"/>
        <item x="12"/>
        <item x="730"/>
        <item x="261"/>
        <item x="621"/>
        <item x="663"/>
        <item x="72"/>
        <item x="659"/>
        <item x="448"/>
        <item x="229"/>
        <item x="17"/>
        <item x="538"/>
        <item x="655"/>
        <item x="498"/>
        <item x="484"/>
        <item x="153"/>
        <item x="747"/>
        <item x="755"/>
        <item x="602"/>
        <item x="199"/>
        <item x="555"/>
        <item x="226"/>
        <item x="275"/>
        <item x="415"/>
        <item x="198"/>
        <item x="173"/>
        <item x="463"/>
        <item x="271"/>
        <item x="107"/>
        <item x="161"/>
        <item x="668"/>
        <item x="661"/>
        <item x="737"/>
        <item x="191"/>
        <item x="449"/>
        <item x="744"/>
        <item x="508"/>
        <item x="582"/>
        <item x="641"/>
        <item x="677"/>
        <item x="654"/>
        <item x="323"/>
        <item x="99"/>
        <item x="44"/>
        <item x="24"/>
        <item x="132"/>
        <item x="110"/>
        <item x="639"/>
        <item x="393"/>
        <item x="526"/>
        <item x="657"/>
        <item x="88"/>
        <item x="684"/>
        <item x="383"/>
        <item x="455"/>
        <item x="419"/>
        <item x="380"/>
        <item x="158"/>
        <item x="441"/>
        <item x="407"/>
        <item x="606"/>
        <item x="252"/>
        <item x="636"/>
        <item x="490"/>
        <item x="305"/>
        <item x="379"/>
        <item x="468"/>
        <item x="183"/>
        <item x="550"/>
        <item x="696"/>
        <item x="623"/>
        <item x="686"/>
        <item x="378"/>
        <item x="343"/>
        <item x="408"/>
        <item x="249"/>
        <item x="406"/>
        <item x="10"/>
        <item x="724"/>
        <item x="665"/>
        <item x="313"/>
        <item x="118"/>
        <item x="62"/>
        <item x="256"/>
        <item x="689"/>
        <item x="597"/>
        <item x="286"/>
        <item x="726"/>
        <item x="534"/>
        <item x="734"/>
        <item x="50"/>
        <item x="710"/>
        <item x="551"/>
        <item x="63"/>
        <item x="181"/>
        <item x="718"/>
        <item x="765"/>
        <item x="239"/>
        <item x="760"/>
        <item x="537"/>
        <item x="504"/>
        <item x="627"/>
        <item x="500"/>
        <item x="227"/>
        <item x="713"/>
        <item x="396"/>
        <item x="21"/>
        <item x="203"/>
        <item x="321"/>
        <item x="148"/>
        <item x="757"/>
        <item x="2"/>
        <item x="150"/>
        <item x="631"/>
        <item x="333"/>
        <item x="325"/>
        <item x="574"/>
        <item x="106"/>
        <item x="503"/>
        <item x="144"/>
        <item x="719"/>
        <item x="57"/>
        <item x="268"/>
        <item x="486"/>
        <item x="618"/>
        <item x="444"/>
        <item x="607"/>
        <item x="603"/>
        <item x="188"/>
        <item x="354"/>
        <item x="593"/>
        <item x="715"/>
        <item x="738"/>
        <item x="482"/>
        <item x="588"/>
        <item x="230"/>
        <item x="1"/>
        <item x="134"/>
        <item x="599"/>
        <item x="600"/>
        <item x="633"/>
        <item x="15"/>
        <item x="535"/>
        <item x="543"/>
        <item x="115"/>
        <item x="26"/>
        <item x="693"/>
        <item x="266"/>
        <item x="253"/>
        <item x="423"/>
        <item x="347"/>
        <item x="442"/>
        <item x="129"/>
        <item x="558"/>
        <item x="66"/>
        <item x="146"/>
        <item x="749"/>
        <item x="76"/>
        <item x="545"/>
        <item x="241"/>
        <item x="196"/>
        <item x="254"/>
        <item x="218"/>
        <item x="421"/>
        <item x="318"/>
        <item x="416"/>
        <item x="102"/>
        <item x="138"/>
        <item x="202"/>
        <item x="157"/>
        <item x="211"/>
        <item x="182"/>
        <item x="497"/>
        <item x="594"/>
        <item x="68"/>
        <item x="210"/>
        <item x="476"/>
        <item x="208"/>
        <item x="49"/>
        <item x="763"/>
        <item x="634"/>
        <item x="729"/>
        <item x="540"/>
        <item x="317"/>
        <item x="179"/>
        <item x="475"/>
        <item x="595"/>
        <item x="206"/>
        <item x="523"/>
        <item x="357"/>
        <item x="331"/>
        <item x="678"/>
        <item x="598"/>
        <item x="585"/>
        <item x="195"/>
        <item x="306"/>
        <item x="79"/>
        <item x="109"/>
        <item x="145"/>
        <item x="556"/>
        <item x="697"/>
        <item x="611"/>
        <item x="64"/>
        <item x="676"/>
        <item x="359"/>
        <item x="381"/>
        <item x="466"/>
        <item x="440"/>
        <item x="748"/>
        <item x="563"/>
        <item x="509"/>
        <item x="192"/>
        <item x="560"/>
        <item x="276"/>
        <item x="125"/>
        <item x="346"/>
        <item x="596"/>
        <item x="511"/>
        <item x="193"/>
        <item x="326"/>
        <item x="339"/>
        <item x="481"/>
        <item x="168"/>
        <item x="467"/>
        <item x="207"/>
        <item x="104"/>
        <item x="273"/>
        <item x="708"/>
        <item x="425"/>
        <item x="167"/>
        <item x="270"/>
        <item x="507"/>
        <item x="149"/>
        <item x="303"/>
        <item x="14"/>
        <item x="245"/>
        <item x="367"/>
        <item x="217"/>
        <item x="136"/>
        <item x="394"/>
        <item x="332"/>
        <item x="258"/>
        <item x="280"/>
        <item x="314"/>
        <item x="51"/>
        <item x="267"/>
        <item x="177"/>
        <item x="762"/>
        <item x="244"/>
        <item x="524"/>
        <item x="758"/>
        <item x="434"/>
        <item x="165"/>
        <item x="121"/>
        <item x="506"/>
        <item x="170"/>
        <item x="512"/>
        <item x="22"/>
        <item x="90"/>
        <item x="404"/>
        <item x="298"/>
        <item x="365"/>
        <item x="712"/>
        <item x="591"/>
        <item x="201"/>
        <item x="302"/>
        <item x="751"/>
        <item x="510"/>
        <item x="505"/>
        <item x="190"/>
        <item x="130"/>
        <item x="174"/>
        <item x="568"/>
        <item x="711"/>
        <item x="447"/>
        <item x="395"/>
        <item x="454"/>
        <item x="213"/>
        <item x="41"/>
        <item x="175"/>
        <item x="529"/>
        <item x="370"/>
        <item x="293"/>
        <item x="113"/>
        <item x="723"/>
        <item x="564"/>
        <item x="620"/>
        <item x="453"/>
        <item x="753"/>
        <item x="389"/>
        <item x="228"/>
        <item x="87"/>
        <item x="652"/>
        <item x="340"/>
        <item x="754"/>
        <item x="214"/>
        <item x="27"/>
        <item x="329"/>
        <item x="172"/>
        <item x="225"/>
        <item x="525"/>
        <item x="355"/>
        <item x="736"/>
        <item x="480"/>
        <item x="502"/>
        <item x="222"/>
        <item x="83"/>
        <item x="377"/>
        <item x="209"/>
        <item x="610"/>
        <item x="514"/>
        <item x="675"/>
        <item x="579"/>
        <item x="304"/>
        <item x="690"/>
        <item x="553"/>
        <item x="399"/>
        <item x="216"/>
        <item x="38"/>
        <item x="151"/>
        <item x="39"/>
        <item x="470"/>
        <item x="296"/>
        <item x="237"/>
        <item x="520"/>
        <item x="320"/>
        <item x="439"/>
        <item x="424"/>
        <item x="46"/>
        <item x="428"/>
        <item x="557"/>
        <item x="565"/>
        <item x="720"/>
        <item x="443"/>
        <item x="549"/>
        <item x="522"/>
        <item x="767"/>
        <item x="169"/>
        <item x="517"/>
        <item x="291"/>
        <item x="604"/>
        <item x="70"/>
        <item x="235"/>
        <item x="733"/>
        <item x="114"/>
        <item x="704"/>
        <item x="478"/>
        <item x="342"/>
        <item x="426"/>
        <item x="651"/>
        <item x="699"/>
        <item x="282"/>
        <item x="3"/>
        <item x="140"/>
        <item x="403"/>
        <item x="240"/>
        <item x="85"/>
        <item x="80"/>
        <item x="251"/>
        <item x="559"/>
        <item x="456"/>
        <item x="465"/>
        <item x="316"/>
        <item x="289"/>
        <item x="284"/>
        <item x="583"/>
        <item x="742"/>
        <item x="688"/>
        <item x="356"/>
        <item x="319"/>
        <item x="60"/>
        <item x="761"/>
        <item x="163"/>
        <item x="411"/>
        <item x="493"/>
        <item x="375"/>
        <item x="74"/>
        <item x="274"/>
        <item x="371"/>
        <item x="297"/>
        <item x="141"/>
        <item x="650"/>
        <item x="338"/>
        <item x="78"/>
        <item x="162"/>
        <item x="185"/>
        <item x="308"/>
        <item x="84"/>
        <item x="635"/>
        <item x="301"/>
        <item x="685"/>
        <item x="625"/>
        <item x="100"/>
        <item x="55"/>
        <item x="764"/>
        <item x="735"/>
        <item x="692"/>
        <item x="451"/>
        <item x="123"/>
        <item x="586"/>
        <item x="285"/>
        <item x="437"/>
        <item x="433"/>
        <item x="474"/>
        <item x="410"/>
        <item x="307"/>
        <item x="695"/>
        <item x="544"/>
        <item x="527"/>
        <item x="640"/>
        <item x="435"/>
        <item x="322"/>
        <item x="31"/>
        <item x="670"/>
        <item x="143"/>
        <item x="624"/>
        <item x="281"/>
        <item x="20"/>
        <item x="243"/>
        <item x="324"/>
        <item x="667"/>
        <item x="683"/>
        <item x="768"/>
        <item x="186"/>
        <item x="8"/>
        <item x="96"/>
        <item x="390"/>
        <item x="43"/>
        <item x="366"/>
        <item x="609"/>
        <item x="571"/>
        <item x="414"/>
        <item x="119"/>
        <item x="116"/>
        <item x="643"/>
        <item x="131"/>
        <item x="494"/>
        <item x="521"/>
        <item x="622"/>
        <item x="95"/>
        <item x="581"/>
        <item x="552"/>
        <item x="515"/>
        <item x="187"/>
        <item x="548"/>
        <item x="358"/>
        <item x="19"/>
        <item x="409"/>
        <item x="580"/>
        <item x="632"/>
        <item x="363"/>
        <item x="741"/>
        <item x="391"/>
        <item x="700"/>
        <item x="646"/>
        <item x="750"/>
        <item x="108"/>
        <item x="450"/>
        <item x="417"/>
        <item x="236"/>
        <item x="746"/>
        <item x="259"/>
        <item x="287"/>
        <item x="376"/>
        <item x="139"/>
        <item x="759"/>
        <item x="47"/>
        <item x="660"/>
        <item x="59"/>
        <item x="117"/>
        <item x="608"/>
        <item x="103"/>
        <item x="477"/>
        <item x="369"/>
        <item x="18"/>
        <item x="518"/>
        <item x="11"/>
        <item x="124"/>
        <item x="485"/>
        <item x="429"/>
        <item x="572"/>
        <item x="25"/>
        <item x="460"/>
        <item x="570"/>
        <item x="464"/>
        <item x="81"/>
        <item x="533"/>
        <item x="30"/>
        <item x="626"/>
        <item x="438"/>
        <item x="401"/>
        <item x="349"/>
        <item x="112"/>
        <item x="501"/>
        <item x="126"/>
        <item x="334"/>
        <item x="197"/>
        <item x="133"/>
        <item x="491"/>
        <item x="155"/>
        <item x="330"/>
        <item x="446"/>
        <item x="231"/>
        <item x="638"/>
        <item x="752"/>
        <item x="234"/>
        <item x="32"/>
        <item x="204"/>
        <item x="531"/>
        <item x="224"/>
        <item x="673"/>
        <item x="156"/>
        <item x="120"/>
        <item x="590"/>
        <item x="33"/>
        <item x="42"/>
        <item x="431"/>
        <item x="629"/>
        <item x="472"/>
        <item x="238"/>
        <item x="0"/>
        <item x="368"/>
        <item x="279"/>
        <item x="671"/>
        <item x="397"/>
        <item x="471"/>
        <item x="248"/>
        <item x="184"/>
        <item x="221"/>
        <item x="348"/>
        <item x="260"/>
        <item x="189"/>
        <item x="23"/>
        <item x="682"/>
        <item x="679"/>
        <item x="669"/>
        <item x="462"/>
        <item x="300"/>
        <item x="386"/>
        <item x="649"/>
        <item x="180"/>
        <item x="561"/>
        <item x="717"/>
        <item x="400"/>
        <item x="469"/>
        <item x="337"/>
        <item x="147"/>
        <item x="89"/>
        <item x="283"/>
        <item x="361"/>
        <item x="619"/>
        <item x="721"/>
        <item x="4"/>
        <item x="532"/>
        <item t="default"/>
      </items>
    </pivotField>
    <pivotField numFmtId="167" showAll="0">
      <items count="6">
        <item x="0"/>
        <item x="4"/>
        <item x="2"/>
        <item x="1"/>
        <item x="3"/>
        <item t="default"/>
      </items>
    </pivotField>
    <pivotField showAll="0"/>
    <pivotField showAll="0">
      <items count="6">
        <item x="1"/>
        <item x="2"/>
        <item x="0"/>
        <item x="4"/>
        <item x="3"/>
        <item t="default"/>
      </items>
    </pivotField>
    <pivotField numFmtId="167" showAll="0"/>
    <pivotField numFmtId="167" showAll="0"/>
    <pivotField numFmtId="167" showAll="0"/>
    <pivotField numFmtId="167" showAll="0"/>
    <pivotField dataField="1" numFmtId="167" showAll="0"/>
    <pivotField numFmtId="167" showAll="0"/>
    <pivotField showAll="0"/>
    <pivotField showAl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10">
    <i>
      <x v="730"/>
    </i>
    <i>
      <x v="654"/>
    </i>
    <i>
      <x v="726"/>
    </i>
    <i>
      <x v="590"/>
    </i>
    <i>
      <x v="758"/>
    </i>
    <i>
      <x v="457"/>
    </i>
    <i>
      <x v="577"/>
    </i>
    <i>
      <x v="784"/>
    </i>
    <i>
      <x v="118"/>
    </i>
    <i>
      <x v="642"/>
    </i>
  </rowItems>
  <colFields count="1">
    <field x="-2"/>
  </colFields>
  <colItems count="2">
    <i>
      <x/>
    </i>
    <i i="1">
      <x v="1"/>
    </i>
  </colItems>
  <dataFields count="2">
    <dataField name="Profit" fld="14" baseField="2" baseItem="0" numFmtId="167"/>
    <dataField name="Orders" fld="1" subtotal="count" baseField="0" baseItem="0"/>
  </dataFields>
  <pivotTableStyleInfo name="PivotStyleMedium9" showRowHeaders="1" showColHeaders="1" showRowStripes="1" showColStripes="1" showLastColumn="1"/>
  <filters count="2">
    <filter fld="2" type="count" evalOrder="-1" id="1" iMeasureFld="0">
      <autoFilter ref="A1">
        <filterColumn colId="0">
          <top10 val="10" filterVal="10"/>
        </filterColumn>
      </autoFilter>
    </filter>
    <filter fld="1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5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5" minRefreshableVersion="3" useAutoFormatting="1" rowGrandTotals="0" colGrandTotals="0" itemPrintTitles="1" createdVersion="5" indent="0" outline="1" outlineData="1" multipleFieldFilters="0" rowHeaderCaption="Restaurant">
  <location ref="I3:K13" firstHeaderRow="0" firstDataRow="1" firstDataCol="1"/>
  <pivotFields count="20">
    <pivotField showAll="0"/>
    <pivotField showAll="0"/>
    <pivotField axis="axisRow" dataField="1" showAll="0" measureFilter="1" sortType="descending">
      <items count="622">
        <item x="539"/>
        <item x="322"/>
        <item x="121"/>
        <item x="56"/>
        <item x="17"/>
        <item x="557"/>
        <item x="176"/>
        <item x="232"/>
        <item x="570"/>
        <item x="255"/>
        <item x="135"/>
        <item x="362"/>
        <item x="483"/>
        <item x="453"/>
        <item x="598"/>
        <item x="213"/>
        <item x="146"/>
        <item x="124"/>
        <item x="420"/>
        <item x="465"/>
        <item x="134"/>
        <item x="588"/>
        <item x="395"/>
        <item x="389"/>
        <item x="214"/>
        <item x="386"/>
        <item x="133"/>
        <item x="131"/>
        <item x="226"/>
        <item x="433"/>
        <item x="254"/>
        <item x="32"/>
        <item x="90"/>
        <item x="27"/>
        <item x="1"/>
        <item x="101"/>
        <item x="499"/>
        <item x="210"/>
        <item x="342"/>
        <item x="521"/>
        <item x="189"/>
        <item x="523"/>
        <item x="206"/>
        <item x="127"/>
        <item x="40"/>
        <item x="467"/>
        <item x="240"/>
        <item x="69"/>
        <item x="480"/>
        <item x="61"/>
        <item x="258"/>
        <item x="12"/>
        <item x="39"/>
        <item x="248"/>
        <item x="546"/>
        <item x="408"/>
        <item x="590"/>
        <item x="38"/>
        <item x="185"/>
        <item x="361"/>
        <item x="611"/>
        <item x="221"/>
        <item x="544"/>
        <item x="549"/>
        <item x="353"/>
        <item x="217"/>
        <item x="125"/>
        <item x="560"/>
        <item x="179"/>
        <item x="400"/>
        <item x="107"/>
        <item x="543"/>
        <item x="520"/>
        <item x="80"/>
        <item x="42"/>
        <item x="547"/>
        <item x="388"/>
        <item x="568"/>
        <item x="103"/>
        <item x="164"/>
        <item x="215"/>
        <item x="417"/>
        <item x="263"/>
        <item x="338"/>
        <item x="305"/>
        <item x="324"/>
        <item x="548"/>
        <item x="368"/>
        <item x="129"/>
        <item x="62"/>
        <item x="194"/>
        <item x="173"/>
        <item x="60"/>
        <item x="280"/>
        <item x="137"/>
        <item x="203"/>
        <item x="477"/>
        <item x="99"/>
        <item x="279"/>
        <item x="369"/>
        <item x="295"/>
        <item x="9"/>
        <item x="492"/>
        <item x="48"/>
        <item x="529"/>
        <item x="151"/>
        <item x="300"/>
        <item x="284"/>
        <item x="218"/>
        <item x="391"/>
        <item x="14"/>
        <item x="49"/>
        <item x="287"/>
        <item x="605"/>
        <item x="180"/>
        <item x="282"/>
        <item x="414"/>
        <item x="450"/>
        <item x="545"/>
        <item x="382"/>
        <item x="446"/>
        <item x="508"/>
        <item x="245"/>
        <item x="116"/>
        <item x="513"/>
        <item x="593"/>
        <item x="498"/>
        <item x="108"/>
        <item x="455"/>
        <item x="535"/>
        <item x="235"/>
        <item x="209"/>
        <item x="354"/>
        <item x="445"/>
        <item x="270"/>
        <item x="402"/>
        <item x="540"/>
        <item x="89"/>
        <item x="183"/>
        <item x="30"/>
        <item x="619"/>
        <item x="434"/>
        <item x="119"/>
        <item x="514"/>
        <item x="113"/>
        <item x="29"/>
        <item x="449"/>
        <item x="351"/>
        <item x="197"/>
        <item x="310"/>
        <item x="606"/>
        <item x="259"/>
        <item x="303"/>
        <item x="86"/>
        <item x="490"/>
        <item x="427"/>
        <item x="357"/>
        <item x="83"/>
        <item x="406"/>
        <item x="35"/>
        <item x="316"/>
        <item x="374"/>
        <item x="152"/>
        <item x="457"/>
        <item x="474"/>
        <item x="313"/>
        <item x="278"/>
        <item x="306"/>
        <item x="224"/>
        <item x="118"/>
        <item x="96"/>
        <item x="114"/>
        <item x="67"/>
        <item x="148"/>
        <item x="41"/>
        <item x="191"/>
        <item x="170"/>
        <item x="328"/>
        <item x="431"/>
        <item x="175"/>
        <item x="613"/>
        <item x="401"/>
        <item x="341"/>
        <item x="484"/>
        <item x="551"/>
        <item x="456"/>
        <item x="578"/>
        <item x="503"/>
        <item x="184"/>
        <item x="299"/>
        <item x="190"/>
        <item x="19"/>
        <item x="564"/>
        <item x="396"/>
        <item x="554"/>
        <item x="233"/>
        <item x="340"/>
        <item x="525"/>
        <item x="377"/>
        <item x="327"/>
        <item x="439"/>
        <item x="26"/>
        <item x="371"/>
        <item x="57"/>
        <item x="384"/>
        <item x="614"/>
        <item x="261"/>
        <item x="407"/>
        <item x="526"/>
        <item x="236"/>
        <item x="318"/>
        <item x="144"/>
        <item x="336"/>
        <item x="413"/>
        <item x="16"/>
        <item x="584"/>
        <item x="409"/>
        <item x="132"/>
        <item x="373"/>
        <item x="115"/>
        <item x="435"/>
        <item x="166"/>
        <item x="95"/>
        <item x="201"/>
        <item x="352"/>
        <item x="558"/>
        <item x="171"/>
        <item x="272"/>
        <item x="242"/>
        <item x="615"/>
        <item x="325"/>
        <item x="315"/>
        <item x="139"/>
        <item x="10"/>
        <item x="64"/>
        <item x="482"/>
        <item x="561"/>
        <item x="77"/>
        <item x="489"/>
        <item x="319"/>
        <item x="563"/>
        <item x="15"/>
        <item x="534"/>
        <item x="422"/>
        <item x="387"/>
        <item x="81"/>
        <item x="293"/>
        <item x="334"/>
        <item x="158"/>
        <item x="275"/>
        <item x="599"/>
        <item x="188"/>
        <item x="565"/>
        <item x="443"/>
        <item x="302"/>
        <item x="307"/>
        <item x="36"/>
        <item x="365"/>
        <item x="601"/>
        <item x="416"/>
        <item x="533"/>
        <item x="297"/>
        <item x="550"/>
        <item x="323"/>
        <item x="472"/>
        <item x="330"/>
        <item x="219"/>
        <item x="424"/>
        <item x="314"/>
        <item x="123"/>
        <item x="24"/>
        <item x="589"/>
        <item x="436"/>
        <item x="204"/>
        <item x="46"/>
        <item x="488"/>
        <item x="394"/>
        <item x="155"/>
        <item x="6"/>
        <item x="470"/>
        <item x="463"/>
        <item x="385"/>
        <item x="247"/>
        <item x="195"/>
        <item x="50"/>
        <item x="79"/>
        <item x="454"/>
        <item x="13"/>
        <item x="268"/>
        <item x="220"/>
        <item x="202"/>
        <item x="448"/>
        <item x="241"/>
        <item x="251"/>
        <item x="276"/>
        <item x="44"/>
        <item x="497"/>
        <item x="296"/>
        <item x="120"/>
        <item x="527"/>
        <item x="231"/>
        <item x="216"/>
        <item x="47"/>
        <item x="205"/>
        <item x="617"/>
        <item x="618"/>
        <item x="93"/>
        <item x="200"/>
        <item x="177"/>
        <item x="70"/>
        <item x="567"/>
        <item x="290"/>
        <item x="359"/>
        <item x="262"/>
        <item x="504"/>
        <item x="110"/>
        <item x="75"/>
        <item x="223"/>
        <item x="432"/>
        <item x="109"/>
        <item x="288"/>
        <item x="608"/>
        <item x="82"/>
        <item x="421"/>
        <item x="510"/>
        <item x="246"/>
        <item x="253"/>
        <item x="481"/>
        <item x="380"/>
        <item x="530"/>
        <item x="301"/>
        <item x="66"/>
        <item x="583"/>
        <item x="425"/>
        <item x="111"/>
        <item x="537"/>
        <item x="412"/>
        <item x="162"/>
        <item x="507"/>
        <item x="344"/>
        <item x="572"/>
        <item x="404"/>
        <item x="230"/>
        <item x="471"/>
        <item x="250"/>
        <item x="444"/>
        <item x="364"/>
        <item x="349"/>
        <item x="163"/>
        <item x="320"/>
        <item x="602"/>
        <item x="31"/>
        <item x="372"/>
        <item x="346"/>
        <item x="333"/>
        <item x="440"/>
        <item x="140"/>
        <item x="429"/>
        <item x="505"/>
        <item x="234"/>
        <item x="97"/>
        <item x="269"/>
        <item x="141"/>
        <item x="392"/>
        <item x="34"/>
        <item x="502"/>
        <item x="528"/>
        <item x="308"/>
        <item x="33"/>
        <item x="126"/>
        <item x="225"/>
        <item x="277"/>
        <item x="212"/>
        <item x="375"/>
        <item x="281"/>
        <item x="186"/>
        <item x="63"/>
        <item x="142"/>
        <item x="576"/>
        <item x="100"/>
        <item x="161"/>
        <item x="378"/>
        <item x="607"/>
        <item x="208"/>
        <item x="3"/>
        <item x="149"/>
        <item x="381"/>
        <item x="249"/>
        <item x="501"/>
        <item x="486"/>
        <item x="347"/>
        <item x="239"/>
        <item x="582"/>
        <item x="187"/>
        <item x="329"/>
        <item x="122"/>
        <item x="415"/>
        <item x="326"/>
        <item x="423"/>
        <item x="59"/>
        <item x="438"/>
        <item x="178"/>
        <item x="136"/>
        <item x="517"/>
        <item x="411"/>
        <item x="157"/>
        <item x="506"/>
        <item x="459"/>
        <item x="265"/>
        <item x="321"/>
        <item x="366"/>
        <item x="536"/>
        <item x="169"/>
        <item x="577"/>
        <item x="312"/>
        <item x="403"/>
        <item x="68"/>
        <item x="160"/>
        <item x="458"/>
        <item x="167"/>
        <item x="78"/>
        <item x="73"/>
        <item x="244"/>
        <item x="256"/>
        <item x="207"/>
        <item x="98"/>
        <item x="460"/>
        <item x="522"/>
        <item x="428"/>
        <item x="105"/>
        <item x="294"/>
        <item x="581"/>
        <item x="596"/>
        <item x="519"/>
        <item x="102"/>
        <item x="531"/>
        <item x="150"/>
        <item x="600"/>
        <item x="575"/>
        <item x="87"/>
        <item x="52"/>
        <item x="104"/>
        <item x="610"/>
        <item x="383"/>
        <item x="196"/>
        <item x="516"/>
        <item x="620"/>
        <item x="182"/>
        <item x="541"/>
        <item x="76"/>
        <item x="418"/>
        <item x="311"/>
        <item x="153"/>
        <item x="573"/>
        <item x="193"/>
        <item x="612"/>
        <item x="356"/>
        <item x="587"/>
        <item x="117"/>
        <item x="20"/>
        <item x="28"/>
        <item x="192"/>
        <item x="461"/>
        <item x="25"/>
        <item x="345"/>
        <item x="360"/>
        <item x="358"/>
        <item x="58"/>
        <item x="237"/>
        <item x="5"/>
        <item x="174"/>
        <item x="304"/>
        <item x="260"/>
        <item x="496"/>
        <item x="524"/>
        <item x="495"/>
        <item x="494"/>
        <item x="172"/>
        <item x="398"/>
        <item x="476"/>
        <item x="4"/>
        <item x="532"/>
        <item x="37"/>
        <item x="84"/>
        <item x="181"/>
        <item x="569"/>
        <item x="579"/>
        <item x="283"/>
        <item x="43"/>
        <item x="72"/>
        <item x="410"/>
        <item x="228"/>
        <item x="168"/>
        <item x="154"/>
        <item x="165"/>
        <item x="53"/>
        <item x="147"/>
        <item x="419"/>
        <item x="267"/>
        <item x="511"/>
        <item x="442"/>
        <item x="493"/>
        <item x="18"/>
        <item x="21"/>
        <item x="616"/>
        <item x="128"/>
        <item x="266"/>
        <item x="343"/>
        <item x="198"/>
        <item x="367"/>
        <item x="515"/>
        <item x="130"/>
        <item x="94"/>
        <item x="437"/>
        <item x="405"/>
        <item x="559"/>
        <item x="348"/>
        <item x="595"/>
        <item x="447"/>
        <item x="538"/>
        <item x="222"/>
        <item x="92"/>
        <item x="485"/>
        <item x="2"/>
        <item x="552"/>
        <item x="585"/>
        <item x="143"/>
        <item x="252"/>
        <item x="8"/>
        <item x="466"/>
        <item x="106"/>
        <item x="264"/>
        <item x="478"/>
        <item x="350"/>
        <item x="452"/>
        <item x="475"/>
        <item x="289"/>
        <item x="335"/>
        <item x="363"/>
        <item x="309"/>
        <item x="491"/>
        <item x="370"/>
        <item x="298"/>
        <item x="566"/>
        <item x="71"/>
        <item x="512"/>
        <item x="562"/>
        <item x="390"/>
        <item x="556"/>
        <item x="594"/>
        <item x="574"/>
        <item x="88"/>
        <item x="156"/>
        <item x="464"/>
        <item x="571"/>
        <item x="51"/>
        <item x="609"/>
        <item x="45"/>
        <item x="393"/>
        <item x="65"/>
        <item x="74"/>
        <item x="451"/>
        <item x="257"/>
        <item x="292"/>
        <item x="159"/>
        <item x="586"/>
        <item x="0"/>
        <item x="317"/>
        <item x="426"/>
        <item x="468"/>
        <item x="542"/>
        <item x="603"/>
        <item x="85"/>
        <item x="273"/>
        <item x="285"/>
        <item x="355"/>
        <item x="604"/>
        <item x="211"/>
        <item x="91"/>
        <item x="54"/>
        <item x="469"/>
        <item x="462"/>
        <item x="331"/>
        <item x="591"/>
        <item x="376"/>
        <item x="487"/>
        <item x="597"/>
        <item x="227"/>
        <item x="518"/>
        <item x="229"/>
        <item x="199"/>
        <item x="592"/>
        <item x="509"/>
        <item x="112"/>
        <item x="555"/>
        <item x="337"/>
        <item x="399"/>
        <item x="580"/>
        <item x="553"/>
        <item x="397"/>
        <item x="479"/>
        <item x="332"/>
        <item x="243"/>
        <item x="473"/>
        <item x="55"/>
        <item x="7"/>
        <item x="145"/>
        <item x="291"/>
        <item x="23"/>
        <item x="22"/>
        <item x="500"/>
        <item x="286"/>
        <item x="379"/>
        <item x="430"/>
        <item x="271"/>
        <item x="238"/>
        <item x="11"/>
        <item x="441"/>
        <item x="274"/>
        <item x="339"/>
        <item x="13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/>
    <pivotField numFmtId="164" showAll="0"/>
    <pivotField numFmtId="165" showAll="0"/>
    <pivotField numFmtId="167" showAll="0">
      <items count="770">
        <item x="614"/>
        <item x="388"/>
        <item x="656"/>
        <item x="290"/>
        <item x="178"/>
        <item x="98"/>
        <item x="653"/>
        <item x="681"/>
        <item x="45"/>
        <item x="628"/>
        <item x="288"/>
        <item x="277"/>
        <item x="272"/>
        <item x="328"/>
        <item x="703"/>
        <item x="345"/>
        <item x="250"/>
        <item x="374"/>
        <item x="28"/>
        <item x="519"/>
        <item x="94"/>
        <item x="601"/>
        <item x="385"/>
        <item x="101"/>
        <item x="36"/>
        <item x="528"/>
        <item x="575"/>
        <item x="215"/>
        <item x="176"/>
        <item x="605"/>
        <item x="159"/>
        <item x="292"/>
        <item x="278"/>
        <item x="732"/>
        <item x="35"/>
        <item x="569"/>
        <item x="309"/>
        <item x="479"/>
        <item x="630"/>
        <item x="427"/>
        <item x="264"/>
        <item x="647"/>
        <item x="77"/>
        <item x="372"/>
        <item x="701"/>
        <item x="578"/>
        <item x="725"/>
        <item x="546"/>
        <item x="91"/>
        <item x="483"/>
        <item x="473"/>
        <item x="452"/>
        <item x="706"/>
        <item x="687"/>
        <item x="584"/>
        <item x="562"/>
        <item x="212"/>
        <item x="436"/>
        <item x="728"/>
        <item x="7"/>
        <item x="573"/>
        <item x="666"/>
        <item x="73"/>
        <item x="122"/>
        <item x="727"/>
        <item x="743"/>
        <item x="516"/>
        <item x="219"/>
        <item x="310"/>
        <item x="576"/>
        <item x="311"/>
        <item x="387"/>
        <item x="350"/>
        <item x="360"/>
        <item x="128"/>
        <item x="265"/>
        <item x="152"/>
        <item x="335"/>
        <item x="613"/>
        <item x="6"/>
        <item x="82"/>
        <item x="536"/>
        <item x="105"/>
        <item x="220"/>
        <item x="373"/>
        <item x="352"/>
        <item x="312"/>
        <item x="344"/>
        <item x="37"/>
        <item x="262"/>
        <item x="722"/>
        <item x="299"/>
        <item x="384"/>
        <item x="592"/>
        <item x="530"/>
        <item x="61"/>
        <item x="672"/>
        <item x="362"/>
        <item x="567"/>
        <item x="487"/>
        <item x="232"/>
        <item x="137"/>
        <item x="644"/>
        <item x="405"/>
        <item x="127"/>
        <item x="513"/>
        <item x="589"/>
        <item x="194"/>
        <item x="48"/>
        <item x="402"/>
        <item x="364"/>
        <item x="615"/>
        <item x="432"/>
        <item x="430"/>
        <item x="40"/>
        <item x="420"/>
        <item x="92"/>
        <item x="5"/>
        <item x="496"/>
        <item x="351"/>
        <item x="398"/>
        <item x="745"/>
        <item x="58"/>
        <item x="709"/>
        <item x="263"/>
        <item x="707"/>
        <item x="246"/>
        <item x="56"/>
        <item x="29"/>
        <item x="547"/>
        <item x="577"/>
        <item x="542"/>
        <item x="731"/>
        <item x="166"/>
        <item x="756"/>
        <item x="233"/>
        <item x="705"/>
        <item x="97"/>
        <item x="459"/>
        <item x="648"/>
        <item x="392"/>
        <item x="412"/>
        <item x="495"/>
        <item x="9"/>
        <item x="327"/>
        <item x="714"/>
        <item x="16"/>
        <item x="154"/>
        <item x="680"/>
        <item x="674"/>
        <item x="488"/>
        <item x="461"/>
        <item x="698"/>
        <item x="382"/>
        <item x="739"/>
        <item x="492"/>
        <item x="664"/>
        <item x="160"/>
        <item x="702"/>
        <item x="164"/>
        <item x="200"/>
        <item x="617"/>
        <item x="341"/>
        <item x="587"/>
        <item x="336"/>
        <item x="294"/>
        <item x="766"/>
        <item x="34"/>
        <item x="637"/>
        <item x="54"/>
        <item x="65"/>
        <item x="539"/>
        <item x="75"/>
        <item x="716"/>
        <item x="566"/>
        <item x="223"/>
        <item x="135"/>
        <item x="541"/>
        <item x="457"/>
        <item x="52"/>
        <item x="422"/>
        <item x="257"/>
        <item x="295"/>
        <item x="353"/>
        <item x="499"/>
        <item x="242"/>
        <item x="662"/>
        <item x="445"/>
        <item x="67"/>
        <item x="418"/>
        <item x="71"/>
        <item x="612"/>
        <item x="489"/>
        <item x="69"/>
        <item x="554"/>
        <item x="86"/>
        <item x="205"/>
        <item x="413"/>
        <item x="691"/>
        <item x="658"/>
        <item x="315"/>
        <item x="171"/>
        <item x="13"/>
        <item x="93"/>
        <item x="111"/>
        <item x="642"/>
        <item x="616"/>
        <item x="645"/>
        <item x="694"/>
        <item x="255"/>
        <item x="458"/>
        <item x="269"/>
        <item x="247"/>
        <item x="142"/>
        <item x="740"/>
        <item x="53"/>
        <item x="12"/>
        <item x="730"/>
        <item x="261"/>
        <item x="621"/>
        <item x="663"/>
        <item x="72"/>
        <item x="659"/>
        <item x="448"/>
        <item x="229"/>
        <item x="17"/>
        <item x="538"/>
        <item x="655"/>
        <item x="498"/>
        <item x="484"/>
        <item x="153"/>
        <item x="747"/>
        <item x="755"/>
        <item x="602"/>
        <item x="199"/>
        <item x="555"/>
        <item x="226"/>
        <item x="275"/>
        <item x="415"/>
        <item x="198"/>
        <item x="173"/>
        <item x="463"/>
        <item x="271"/>
        <item x="107"/>
        <item x="161"/>
        <item x="668"/>
        <item x="661"/>
        <item x="737"/>
        <item x="191"/>
        <item x="449"/>
        <item x="744"/>
        <item x="508"/>
        <item x="582"/>
        <item x="641"/>
        <item x="677"/>
        <item x="654"/>
        <item x="323"/>
        <item x="99"/>
        <item x="44"/>
        <item x="24"/>
        <item x="132"/>
        <item x="110"/>
        <item x="639"/>
        <item x="393"/>
        <item x="526"/>
        <item x="657"/>
        <item x="88"/>
        <item x="684"/>
        <item x="383"/>
        <item x="455"/>
        <item x="419"/>
        <item x="380"/>
        <item x="158"/>
        <item x="441"/>
        <item x="407"/>
        <item x="606"/>
        <item x="252"/>
        <item x="636"/>
        <item x="490"/>
        <item x="305"/>
        <item x="379"/>
        <item x="468"/>
        <item x="183"/>
        <item x="550"/>
        <item x="696"/>
        <item x="623"/>
        <item x="686"/>
        <item x="378"/>
        <item x="343"/>
        <item x="408"/>
        <item x="249"/>
        <item x="406"/>
        <item x="10"/>
        <item x="724"/>
        <item x="665"/>
        <item x="313"/>
        <item x="118"/>
        <item x="62"/>
        <item x="256"/>
        <item x="689"/>
        <item x="597"/>
        <item x="286"/>
        <item x="726"/>
        <item x="534"/>
        <item x="734"/>
        <item x="50"/>
        <item x="710"/>
        <item x="551"/>
        <item x="63"/>
        <item x="181"/>
        <item x="718"/>
        <item x="765"/>
        <item x="239"/>
        <item x="760"/>
        <item x="537"/>
        <item x="504"/>
        <item x="627"/>
        <item x="500"/>
        <item x="227"/>
        <item x="713"/>
        <item x="396"/>
        <item x="21"/>
        <item x="203"/>
        <item x="321"/>
        <item x="148"/>
        <item x="757"/>
        <item x="2"/>
        <item x="150"/>
        <item x="631"/>
        <item x="333"/>
        <item x="325"/>
        <item x="574"/>
        <item x="106"/>
        <item x="503"/>
        <item x="144"/>
        <item x="719"/>
        <item x="57"/>
        <item x="268"/>
        <item x="486"/>
        <item x="618"/>
        <item x="444"/>
        <item x="607"/>
        <item x="603"/>
        <item x="188"/>
        <item x="354"/>
        <item x="593"/>
        <item x="715"/>
        <item x="738"/>
        <item x="482"/>
        <item x="588"/>
        <item x="230"/>
        <item x="1"/>
        <item x="134"/>
        <item x="599"/>
        <item x="600"/>
        <item x="633"/>
        <item x="15"/>
        <item x="535"/>
        <item x="543"/>
        <item x="115"/>
        <item x="26"/>
        <item x="693"/>
        <item x="266"/>
        <item x="253"/>
        <item x="423"/>
        <item x="347"/>
        <item x="442"/>
        <item x="129"/>
        <item x="558"/>
        <item x="66"/>
        <item x="146"/>
        <item x="749"/>
        <item x="76"/>
        <item x="545"/>
        <item x="241"/>
        <item x="196"/>
        <item x="254"/>
        <item x="218"/>
        <item x="421"/>
        <item x="318"/>
        <item x="416"/>
        <item x="102"/>
        <item x="138"/>
        <item x="202"/>
        <item x="157"/>
        <item x="211"/>
        <item x="182"/>
        <item x="497"/>
        <item x="594"/>
        <item x="68"/>
        <item x="210"/>
        <item x="476"/>
        <item x="208"/>
        <item x="49"/>
        <item x="763"/>
        <item x="634"/>
        <item x="729"/>
        <item x="540"/>
        <item x="317"/>
        <item x="179"/>
        <item x="475"/>
        <item x="595"/>
        <item x="206"/>
        <item x="523"/>
        <item x="357"/>
        <item x="331"/>
        <item x="678"/>
        <item x="598"/>
        <item x="585"/>
        <item x="195"/>
        <item x="306"/>
        <item x="79"/>
        <item x="109"/>
        <item x="145"/>
        <item x="556"/>
        <item x="697"/>
        <item x="611"/>
        <item x="64"/>
        <item x="676"/>
        <item x="359"/>
        <item x="381"/>
        <item x="466"/>
        <item x="440"/>
        <item x="748"/>
        <item x="563"/>
        <item x="509"/>
        <item x="192"/>
        <item x="560"/>
        <item x="276"/>
        <item x="125"/>
        <item x="346"/>
        <item x="596"/>
        <item x="511"/>
        <item x="193"/>
        <item x="326"/>
        <item x="339"/>
        <item x="481"/>
        <item x="168"/>
        <item x="467"/>
        <item x="207"/>
        <item x="104"/>
        <item x="273"/>
        <item x="708"/>
        <item x="425"/>
        <item x="167"/>
        <item x="270"/>
        <item x="507"/>
        <item x="149"/>
        <item x="303"/>
        <item x="14"/>
        <item x="245"/>
        <item x="367"/>
        <item x="217"/>
        <item x="136"/>
        <item x="394"/>
        <item x="332"/>
        <item x="258"/>
        <item x="280"/>
        <item x="314"/>
        <item x="51"/>
        <item x="267"/>
        <item x="177"/>
        <item x="762"/>
        <item x="244"/>
        <item x="524"/>
        <item x="758"/>
        <item x="434"/>
        <item x="165"/>
        <item x="121"/>
        <item x="506"/>
        <item x="170"/>
        <item x="512"/>
        <item x="22"/>
        <item x="90"/>
        <item x="404"/>
        <item x="298"/>
        <item x="365"/>
        <item x="712"/>
        <item x="591"/>
        <item x="201"/>
        <item x="302"/>
        <item x="751"/>
        <item x="510"/>
        <item x="505"/>
        <item x="190"/>
        <item x="130"/>
        <item x="174"/>
        <item x="568"/>
        <item x="711"/>
        <item x="447"/>
        <item x="395"/>
        <item x="454"/>
        <item x="213"/>
        <item x="41"/>
        <item x="175"/>
        <item x="529"/>
        <item x="370"/>
        <item x="293"/>
        <item x="113"/>
        <item x="723"/>
        <item x="564"/>
        <item x="620"/>
        <item x="453"/>
        <item x="753"/>
        <item x="389"/>
        <item x="228"/>
        <item x="87"/>
        <item x="652"/>
        <item x="340"/>
        <item x="754"/>
        <item x="214"/>
        <item x="27"/>
        <item x="329"/>
        <item x="172"/>
        <item x="225"/>
        <item x="525"/>
        <item x="355"/>
        <item x="736"/>
        <item x="480"/>
        <item x="502"/>
        <item x="222"/>
        <item x="83"/>
        <item x="377"/>
        <item x="209"/>
        <item x="610"/>
        <item x="514"/>
        <item x="675"/>
        <item x="579"/>
        <item x="304"/>
        <item x="690"/>
        <item x="553"/>
        <item x="399"/>
        <item x="216"/>
        <item x="38"/>
        <item x="151"/>
        <item x="39"/>
        <item x="470"/>
        <item x="296"/>
        <item x="237"/>
        <item x="520"/>
        <item x="320"/>
        <item x="439"/>
        <item x="424"/>
        <item x="46"/>
        <item x="428"/>
        <item x="557"/>
        <item x="565"/>
        <item x="720"/>
        <item x="443"/>
        <item x="549"/>
        <item x="522"/>
        <item x="767"/>
        <item x="169"/>
        <item x="517"/>
        <item x="291"/>
        <item x="604"/>
        <item x="70"/>
        <item x="235"/>
        <item x="733"/>
        <item x="114"/>
        <item x="704"/>
        <item x="478"/>
        <item x="342"/>
        <item x="426"/>
        <item x="651"/>
        <item x="699"/>
        <item x="282"/>
        <item x="3"/>
        <item x="140"/>
        <item x="403"/>
        <item x="240"/>
        <item x="85"/>
        <item x="80"/>
        <item x="251"/>
        <item x="559"/>
        <item x="456"/>
        <item x="465"/>
        <item x="316"/>
        <item x="289"/>
        <item x="284"/>
        <item x="583"/>
        <item x="742"/>
        <item x="688"/>
        <item x="356"/>
        <item x="319"/>
        <item x="60"/>
        <item x="761"/>
        <item x="163"/>
        <item x="411"/>
        <item x="493"/>
        <item x="375"/>
        <item x="74"/>
        <item x="274"/>
        <item x="371"/>
        <item x="297"/>
        <item x="141"/>
        <item x="650"/>
        <item x="338"/>
        <item x="78"/>
        <item x="162"/>
        <item x="185"/>
        <item x="308"/>
        <item x="84"/>
        <item x="635"/>
        <item x="301"/>
        <item x="685"/>
        <item x="625"/>
        <item x="100"/>
        <item x="55"/>
        <item x="764"/>
        <item x="735"/>
        <item x="692"/>
        <item x="451"/>
        <item x="123"/>
        <item x="586"/>
        <item x="285"/>
        <item x="437"/>
        <item x="433"/>
        <item x="474"/>
        <item x="410"/>
        <item x="307"/>
        <item x="695"/>
        <item x="544"/>
        <item x="527"/>
        <item x="640"/>
        <item x="435"/>
        <item x="322"/>
        <item x="31"/>
        <item x="670"/>
        <item x="143"/>
        <item x="624"/>
        <item x="281"/>
        <item x="20"/>
        <item x="243"/>
        <item x="324"/>
        <item x="667"/>
        <item x="683"/>
        <item x="768"/>
        <item x="186"/>
        <item x="8"/>
        <item x="96"/>
        <item x="390"/>
        <item x="43"/>
        <item x="366"/>
        <item x="609"/>
        <item x="571"/>
        <item x="414"/>
        <item x="119"/>
        <item x="116"/>
        <item x="643"/>
        <item x="131"/>
        <item x="494"/>
        <item x="521"/>
        <item x="622"/>
        <item x="95"/>
        <item x="581"/>
        <item x="552"/>
        <item x="515"/>
        <item x="187"/>
        <item x="548"/>
        <item x="358"/>
        <item x="19"/>
        <item x="409"/>
        <item x="580"/>
        <item x="632"/>
        <item x="363"/>
        <item x="741"/>
        <item x="391"/>
        <item x="700"/>
        <item x="646"/>
        <item x="750"/>
        <item x="108"/>
        <item x="450"/>
        <item x="417"/>
        <item x="236"/>
        <item x="746"/>
        <item x="259"/>
        <item x="287"/>
        <item x="376"/>
        <item x="139"/>
        <item x="759"/>
        <item x="47"/>
        <item x="660"/>
        <item x="59"/>
        <item x="117"/>
        <item x="608"/>
        <item x="103"/>
        <item x="477"/>
        <item x="369"/>
        <item x="18"/>
        <item x="518"/>
        <item x="11"/>
        <item x="124"/>
        <item x="485"/>
        <item x="429"/>
        <item x="572"/>
        <item x="25"/>
        <item x="460"/>
        <item x="570"/>
        <item x="464"/>
        <item x="81"/>
        <item x="533"/>
        <item x="30"/>
        <item x="626"/>
        <item x="438"/>
        <item x="401"/>
        <item x="349"/>
        <item x="112"/>
        <item x="501"/>
        <item x="126"/>
        <item x="334"/>
        <item x="197"/>
        <item x="133"/>
        <item x="491"/>
        <item x="155"/>
        <item x="330"/>
        <item x="446"/>
        <item x="231"/>
        <item x="638"/>
        <item x="752"/>
        <item x="234"/>
        <item x="32"/>
        <item x="204"/>
        <item x="531"/>
        <item x="224"/>
        <item x="673"/>
        <item x="156"/>
        <item x="120"/>
        <item x="590"/>
        <item x="33"/>
        <item x="42"/>
        <item x="431"/>
        <item x="629"/>
        <item x="472"/>
        <item x="238"/>
        <item x="0"/>
        <item x="368"/>
        <item x="279"/>
        <item x="671"/>
        <item x="397"/>
        <item x="471"/>
        <item x="248"/>
        <item x="184"/>
        <item x="221"/>
        <item x="348"/>
        <item x="260"/>
        <item x="189"/>
        <item x="23"/>
        <item x="682"/>
        <item x="679"/>
        <item x="669"/>
        <item x="462"/>
        <item x="300"/>
        <item x="386"/>
        <item x="649"/>
        <item x="180"/>
        <item x="561"/>
        <item x="717"/>
        <item x="400"/>
        <item x="469"/>
        <item x="337"/>
        <item x="147"/>
        <item x="89"/>
        <item x="283"/>
        <item x="361"/>
        <item x="619"/>
        <item x="721"/>
        <item x="4"/>
        <item x="532"/>
        <item t="default"/>
      </items>
    </pivotField>
    <pivotField numFmtId="167" showAll="0">
      <items count="6">
        <item x="0"/>
        <item x="4"/>
        <item x="2"/>
        <item x="1"/>
        <item x="3"/>
        <item t="default"/>
      </items>
    </pivotField>
    <pivotField showAll="0"/>
    <pivotField showAll="0">
      <items count="6">
        <item x="1"/>
        <item x="2"/>
        <item x="0"/>
        <item x="4"/>
        <item x="3"/>
        <item t="default"/>
      </items>
    </pivotField>
    <pivotField numFmtId="167" showAll="0"/>
    <pivotField numFmtId="167" showAll="0"/>
    <pivotField numFmtId="167" showAll="0"/>
    <pivotField numFmtId="167" showAll="0"/>
    <pivotField dataField="1" numFmtId="167" showAll="0"/>
    <pivotField numFmtId="167" showAll="0"/>
    <pivotField showAll="0"/>
    <pivotField showAll="0"/>
    <pivotField dragToRow="0" dragToCol="0" dragToPage="0" showAll="0" defaultSubtotal="0"/>
    <pivotField dragToRow="0" dragToCol="0" dragToPage="0" showAll="0" defaultSubtotal="0"/>
  </pivotFields>
  <rowFields count="1">
    <field x="2"/>
  </rowFields>
  <rowItems count="10">
    <i>
      <x v="317"/>
    </i>
    <i>
      <x v="434"/>
    </i>
    <i>
      <x v="3"/>
    </i>
    <i>
      <x v="48"/>
    </i>
    <i>
      <x v="25"/>
    </i>
    <i>
      <x v="134"/>
    </i>
    <i>
      <x v="217"/>
    </i>
    <i>
      <x v="480"/>
    </i>
    <i>
      <x v="24"/>
    </i>
    <i>
      <x v="444"/>
    </i>
  </rowItems>
  <colFields count="1">
    <field x="-2"/>
  </colFields>
  <colItems count="2">
    <i>
      <x/>
    </i>
    <i i="1">
      <x v="1"/>
    </i>
  </colItems>
  <dataFields count="2">
    <dataField name="Profit" fld="14" baseField="2" baseItem="0" numFmtId="167"/>
    <dataField name="Orders" fld="2" subtotal="count" baseField="0" baseItem="0"/>
  </dataFields>
  <pivotTableStyleInfo name="PivotStyleMedium9" showRowHeaders="1" showColHeaders="1" showRowStripes="1" showColStripes="1" showLastColumn="1"/>
  <filters count="1">
    <filter fld="2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6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rowGrandTotals="0" colGrandTotals="0" itemPrintTitles="1" createdVersion="5" indent="0" outline="1" outlineData="1" multipleFieldFilters="0" chartFormat="12" rowHeaderCaption="Delivery fee">
  <location ref="E3:G8" firstHeaderRow="0" firstDataRow="1" firstDataCol="1"/>
  <pivotFields count="20">
    <pivotField showAll="0"/>
    <pivotField showAll="0"/>
    <pivotField showAll="0"/>
    <pivotField numFmtId="164" showAll="0"/>
    <pivotField numFmtId="164" showAll="0"/>
    <pivotField numFmtId="165" showAll="0"/>
    <pivotField dataField="1" numFmtId="167" showAll="0">
      <items count="770">
        <item x="614"/>
        <item x="388"/>
        <item x="656"/>
        <item x="290"/>
        <item x="178"/>
        <item x="98"/>
        <item x="653"/>
        <item x="681"/>
        <item x="45"/>
        <item x="628"/>
        <item x="288"/>
        <item x="277"/>
        <item x="272"/>
        <item x="328"/>
        <item x="703"/>
        <item x="345"/>
        <item x="250"/>
        <item x="374"/>
        <item x="28"/>
        <item x="519"/>
        <item x="94"/>
        <item x="601"/>
        <item x="385"/>
        <item x="101"/>
        <item x="36"/>
        <item x="528"/>
        <item x="575"/>
        <item x="215"/>
        <item x="176"/>
        <item x="605"/>
        <item x="159"/>
        <item x="292"/>
        <item x="278"/>
        <item x="732"/>
        <item x="35"/>
        <item x="569"/>
        <item x="309"/>
        <item x="479"/>
        <item x="630"/>
        <item x="427"/>
        <item x="264"/>
        <item x="647"/>
        <item x="77"/>
        <item x="372"/>
        <item x="701"/>
        <item x="578"/>
        <item x="725"/>
        <item x="546"/>
        <item x="91"/>
        <item x="483"/>
        <item x="473"/>
        <item x="452"/>
        <item x="706"/>
        <item x="687"/>
        <item x="584"/>
        <item x="562"/>
        <item x="212"/>
        <item x="436"/>
        <item x="728"/>
        <item x="7"/>
        <item x="573"/>
        <item x="666"/>
        <item x="73"/>
        <item x="122"/>
        <item x="727"/>
        <item x="743"/>
        <item x="516"/>
        <item x="219"/>
        <item x="310"/>
        <item x="576"/>
        <item x="311"/>
        <item x="387"/>
        <item x="350"/>
        <item x="360"/>
        <item x="128"/>
        <item x="265"/>
        <item x="152"/>
        <item x="335"/>
        <item x="613"/>
        <item x="6"/>
        <item x="82"/>
        <item x="536"/>
        <item x="105"/>
        <item x="220"/>
        <item x="373"/>
        <item x="352"/>
        <item x="312"/>
        <item x="344"/>
        <item x="37"/>
        <item x="262"/>
        <item x="722"/>
        <item x="299"/>
        <item x="384"/>
        <item x="592"/>
        <item x="530"/>
        <item x="61"/>
        <item x="672"/>
        <item x="362"/>
        <item x="567"/>
        <item x="487"/>
        <item x="232"/>
        <item x="137"/>
        <item x="644"/>
        <item x="405"/>
        <item x="127"/>
        <item x="513"/>
        <item x="589"/>
        <item x="194"/>
        <item x="48"/>
        <item x="402"/>
        <item x="364"/>
        <item x="615"/>
        <item x="432"/>
        <item x="430"/>
        <item x="40"/>
        <item x="420"/>
        <item x="92"/>
        <item x="5"/>
        <item x="496"/>
        <item x="351"/>
        <item x="398"/>
        <item x="745"/>
        <item x="58"/>
        <item x="709"/>
        <item x="263"/>
        <item x="707"/>
        <item x="246"/>
        <item x="56"/>
        <item x="29"/>
        <item x="547"/>
        <item x="577"/>
        <item x="542"/>
        <item x="731"/>
        <item x="166"/>
        <item x="756"/>
        <item x="233"/>
        <item x="705"/>
        <item x="97"/>
        <item x="459"/>
        <item x="648"/>
        <item x="392"/>
        <item x="412"/>
        <item x="495"/>
        <item x="9"/>
        <item x="327"/>
        <item x="714"/>
        <item x="16"/>
        <item x="154"/>
        <item x="680"/>
        <item x="674"/>
        <item x="488"/>
        <item x="461"/>
        <item x="698"/>
        <item x="382"/>
        <item x="739"/>
        <item x="492"/>
        <item x="664"/>
        <item x="160"/>
        <item x="702"/>
        <item x="164"/>
        <item x="200"/>
        <item x="617"/>
        <item x="341"/>
        <item x="587"/>
        <item x="336"/>
        <item x="294"/>
        <item x="766"/>
        <item x="34"/>
        <item x="637"/>
        <item x="54"/>
        <item x="65"/>
        <item x="539"/>
        <item x="75"/>
        <item x="716"/>
        <item x="566"/>
        <item x="223"/>
        <item x="135"/>
        <item x="541"/>
        <item x="457"/>
        <item x="52"/>
        <item x="422"/>
        <item x="257"/>
        <item x="295"/>
        <item x="353"/>
        <item x="499"/>
        <item x="242"/>
        <item x="662"/>
        <item x="445"/>
        <item x="67"/>
        <item x="418"/>
        <item x="71"/>
        <item x="612"/>
        <item x="489"/>
        <item x="69"/>
        <item x="554"/>
        <item x="86"/>
        <item x="205"/>
        <item x="413"/>
        <item x="691"/>
        <item x="658"/>
        <item x="315"/>
        <item x="171"/>
        <item x="13"/>
        <item x="93"/>
        <item x="111"/>
        <item x="642"/>
        <item x="616"/>
        <item x="645"/>
        <item x="694"/>
        <item x="255"/>
        <item x="458"/>
        <item x="269"/>
        <item x="247"/>
        <item x="142"/>
        <item x="740"/>
        <item x="53"/>
        <item x="12"/>
        <item x="730"/>
        <item x="261"/>
        <item x="621"/>
        <item x="663"/>
        <item x="72"/>
        <item x="659"/>
        <item x="448"/>
        <item x="229"/>
        <item x="17"/>
        <item x="538"/>
        <item x="655"/>
        <item x="498"/>
        <item x="484"/>
        <item x="153"/>
        <item x="747"/>
        <item x="755"/>
        <item x="602"/>
        <item x="199"/>
        <item x="555"/>
        <item x="226"/>
        <item x="275"/>
        <item x="415"/>
        <item x="198"/>
        <item x="173"/>
        <item x="463"/>
        <item x="271"/>
        <item x="107"/>
        <item x="161"/>
        <item x="668"/>
        <item x="661"/>
        <item x="737"/>
        <item x="191"/>
        <item x="449"/>
        <item x="744"/>
        <item x="508"/>
        <item x="582"/>
        <item x="641"/>
        <item x="677"/>
        <item x="654"/>
        <item x="323"/>
        <item x="99"/>
        <item x="44"/>
        <item x="24"/>
        <item x="132"/>
        <item x="110"/>
        <item x="639"/>
        <item x="393"/>
        <item x="526"/>
        <item x="657"/>
        <item x="88"/>
        <item x="684"/>
        <item x="383"/>
        <item x="455"/>
        <item x="419"/>
        <item x="380"/>
        <item x="158"/>
        <item x="441"/>
        <item x="407"/>
        <item x="606"/>
        <item x="252"/>
        <item x="636"/>
        <item x="490"/>
        <item x="305"/>
        <item x="379"/>
        <item x="468"/>
        <item x="183"/>
        <item x="550"/>
        <item x="696"/>
        <item x="623"/>
        <item x="686"/>
        <item x="378"/>
        <item x="343"/>
        <item x="408"/>
        <item x="249"/>
        <item x="406"/>
        <item x="10"/>
        <item x="724"/>
        <item x="665"/>
        <item x="313"/>
        <item x="118"/>
        <item x="62"/>
        <item x="256"/>
        <item x="689"/>
        <item x="597"/>
        <item x="286"/>
        <item x="726"/>
        <item x="534"/>
        <item x="734"/>
        <item x="50"/>
        <item x="710"/>
        <item x="551"/>
        <item x="63"/>
        <item x="181"/>
        <item x="718"/>
        <item x="765"/>
        <item x="239"/>
        <item x="760"/>
        <item x="537"/>
        <item x="504"/>
        <item x="627"/>
        <item x="500"/>
        <item x="227"/>
        <item x="713"/>
        <item x="396"/>
        <item x="21"/>
        <item x="203"/>
        <item x="321"/>
        <item x="148"/>
        <item x="757"/>
        <item x="2"/>
        <item x="150"/>
        <item x="631"/>
        <item x="333"/>
        <item x="325"/>
        <item x="574"/>
        <item x="106"/>
        <item x="503"/>
        <item x="144"/>
        <item x="719"/>
        <item x="57"/>
        <item x="268"/>
        <item x="486"/>
        <item x="618"/>
        <item x="444"/>
        <item x="607"/>
        <item x="603"/>
        <item x="188"/>
        <item x="354"/>
        <item x="593"/>
        <item x="715"/>
        <item x="738"/>
        <item x="482"/>
        <item x="588"/>
        <item x="230"/>
        <item x="1"/>
        <item x="134"/>
        <item x="599"/>
        <item x="600"/>
        <item x="633"/>
        <item x="15"/>
        <item x="535"/>
        <item x="543"/>
        <item x="115"/>
        <item x="26"/>
        <item x="693"/>
        <item x="266"/>
        <item x="253"/>
        <item x="423"/>
        <item x="347"/>
        <item x="442"/>
        <item x="129"/>
        <item x="558"/>
        <item x="66"/>
        <item x="146"/>
        <item x="749"/>
        <item x="76"/>
        <item x="545"/>
        <item x="241"/>
        <item x="196"/>
        <item x="254"/>
        <item x="218"/>
        <item x="421"/>
        <item x="318"/>
        <item x="416"/>
        <item x="102"/>
        <item x="138"/>
        <item x="202"/>
        <item x="157"/>
        <item x="211"/>
        <item x="182"/>
        <item x="497"/>
        <item x="594"/>
        <item x="68"/>
        <item x="210"/>
        <item x="476"/>
        <item x="208"/>
        <item x="49"/>
        <item x="763"/>
        <item x="634"/>
        <item x="729"/>
        <item x="540"/>
        <item x="317"/>
        <item x="179"/>
        <item x="475"/>
        <item x="595"/>
        <item x="206"/>
        <item x="523"/>
        <item x="357"/>
        <item x="331"/>
        <item x="678"/>
        <item x="598"/>
        <item x="585"/>
        <item x="195"/>
        <item x="306"/>
        <item x="79"/>
        <item x="109"/>
        <item x="145"/>
        <item x="556"/>
        <item x="697"/>
        <item x="611"/>
        <item x="64"/>
        <item x="676"/>
        <item x="359"/>
        <item x="381"/>
        <item x="466"/>
        <item x="440"/>
        <item x="748"/>
        <item x="563"/>
        <item x="509"/>
        <item x="192"/>
        <item x="560"/>
        <item x="276"/>
        <item x="125"/>
        <item x="346"/>
        <item x="596"/>
        <item x="511"/>
        <item x="193"/>
        <item x="326"/>
        <item x="339"/>
        <item x="481"/>
        <item x="168"/>
        <item x="467"/>
        <item x="207"/>
        <item x="104"/>
        <item x="273"/>
        <item x="708"/>
        <item x="425"/>
        <item x="167"/>
        <item x="270"/>
        <item x="507"/>
        <item x="149"/>
        <item x="303"/>
        <item x="14"/>
        <item x="245"/>
        <item x="367"/>
        <item x="217"/>
        <item x="136"/>
        <item x="394"/>
        <item x="332"/>
        <item x="258"/>
        <item x="280"/>
        <item x="314"/>
        <item x="51"/>
        <item x="267"/>
        <item x="177"/>
        <item x="762"/>
        <item x="244"/>
        <item x="524"/>
        <item x="758"/>
        <item x="434"/>
        <item x="165"/>
        <item x="121"/>
        <item x="506"/>
        <item x="170"/>
        <item x="512"/>
        <item x="22"/>
        <item x="90"/>
        <item x="404"/>
        <item x="298"/>
        <item x="365"/>
        <item x="712"/>
        <item x="591"/>
        <item x="201"/>
        <item x="302"/>
        <item x="751"/>
        <item x="510"/>
        <item x="505"/>
        <item x="190"/>
        <item x="130"/>
        <item x="174"/>
        <item x="568"/>
        <item x="711"/>
        <item x="447"/>
        <item x="395"/>
        <item x="454"/>
        <item x="213"/>
        <item x="41"/>
        <item x="175"/>
        <item x="529"/>
        <item x="370"/>
        <item x="293"/>
        <item x="113"/>
        <item x="723"/>
        <item x="564"/>
        <item x="620"/>
        <item x="453"/>
        <item x="753"/>
        <item x="389"/>
        <item x="228"/>
        <item x="87"/>
        <item x="652"/>
        <item x="340"/>
        <item x="754"/>
        <item x="214"/>
        <item x="27"/>
        <item x="329"/>
        <item x="172"/>
        <item x="225"/>
        <item x="525"/>
        <item x="355"/>
        <item x="736"/>
        <item x="480"/>
        <item x="502"/>
        <item x="222"/>
        <item x="83"/>
        <item x="377"/>
        <item x="209"/>
        <item x="610"/>
        <item x="514"/>
        <item x="675"/>
        <item x="579"/>
        <item x="304"/>
        <item x="690"/>
        <item x="553"/>
        <item x="399"/>
        <item x="216"/>
        <item x="38"/>
        <item x="151"/>
        <item x="39"/>
        <item x="470"/>
        <item x="296"/>
        <item x="237"/>
        <item x="520"/>
        <item x="320"/>
        <item x="439"/>
        <item x="424"/>
        <item x="46"/>
        <item x="428"/>
        <item x="557"/>
        <item x="565"/>
        <item x="720"/>
        <item x="443"/>
        <item x="549"/>
        <item x="522"/>
        <item x="767"/>
        <item x="169"/>
        <item x="517"/>
        <item x="291"/>
        <item x="604"/>
        <item x="70"/>
        <item x="235"/>
        <item x="733"/>
        <item x="114"/>
        <item x="704"/>
        <item x="478"/>
        <item x="342"/>
        <item x="426"/>
        <item x="651"/>
        <item x="699"/>
        <item x="282"/>
        <item x="3"/>
        <item x="140"/>
        <item x="403"/>
        <item x="240"/>
        <item x="85"/>
        <item x="80"/>
        <item x="251"/>
        <item x="559"/>
        <item x="456"/>
        <item x="465"/>
        <item x="316"/>
        <item x="289"/>
        <item x="284"/>
        <item x="583"/>
        <item x="742"/>
        <item x="688"/>
        <item x="356"/>
        <item x="319"/>
        <item x="60"/>
        <item x="761"/>
        <item x="163"/>
        <item x="411"/>
        <item x="493"/>
        <item x="375"/>
        <item x="74"/>
        <item x="274"/>
        <item x="371"/>
        <item x="297"/>
        <item x="141"/>
        <item x="650"/>
        <item x="338"/>
        <item x="78"/>
        <item x="162"/>
        <item x="185"/>
        <item x="308"/>
        <item x="84"/>
        <item x="635"/>
        <item x="301"/>
        <item x="685"/>
        <item x="625"/>
        <item x="100"/>
        <item x="55"/>
        <item x="764"/>
        <item x="735"/>
        <item x="692"/>
        <item x="451"/>
        <item x="123"/>
        <item x="586"/>
        <item x="285"/>
        <item x="437"/>
        <item x="433"/>
        <item x="474"/>
        <item x="410"/>
        <item x="307"/>
        <item x="695"/>
        <item x="544"/>
        <item x="527"/>
        <item x="640"/>
        <item x="435"/>
        <item x="322"/>
        <item x="31"/>
        <item x="670"/>
        <item x="143"/>
        <item x="624"/>
        <item x="281"/>
        <item x="20"/>
        <item x="243"/>
        <item x="324"/>
        <item x="667"/>
        <item x="683"/>
        <item x="768"/>
        <item x="186"/>
        <item x="8"/>
        <item x="96"/>
        <item x="390"/>
        <item x="43"/>
        <item x="366"/>
        <item x="609"/>
        <item x="571"/>
        <item x="414"/>
        <item x="119"/>
        <item x="116"/>
        <item x="643"/>
        <item x="131"/>
        <item x="494"/>
        <item x="521"/>
        <item x="622"/>
        <item x="95"/>
        <item x="581"/>
        <item x="552"/>
        <item x="515"/>
        <item x="187"/>
        <item x="548"/>
        <item x="358"/>
        <item x="19"/>
        <item x="409"/>
        <item x="580"/>
        <item x="632"/>
        <item x="363"/>
        <item x="741"/>
        <item x="391"/>
        <item x="700"/>
        <item x="646"/>
        <item x="750"/>
        <item x="108"/>
        <item x="450"/>
        <item x="417"/>
        <item x="236"/>
        <item x="746"/>
        <item x="259"/>
        <item x="287"/>
        <item x="376"/>
        <item x="139"/>
        <item x="759"/>
        <item x="47"/>
        <item x="660"/>
        <item x="59"/>
        <item x="117"/>
        <item x="608"/>
        <item x="103"/>
        <item x="477"/>
        <item x="369"/>
        <item x="18"/>
        <item x="518"/>
        <item x="11"/>
        <item x="124"/>
        <item x="485"/>
        <item x="429"/>
        <item x="572"/>
        <item x="25"/>
        <item x="460"/>
        <item x="570"/>
        <item x="464"/>
        <item x="81"/>
        <item x="533"/>
        <item x="30"/>
        <item x="626"/>
        <item x="438"/>
        <item x="401"/>
        <item x="349"/>
        <item x="112"/>
        <item x="501"/>
        <item x="126"/>
        <item x="334"/>
        <item x="197"/>
        <item x="133"/>
        <item x="491"/>
        <item x="155"/>
        <item x="330"/>
        <item x="446"/>
        <item x="231"/>
        <item x="638"/>
        <item x="752"/>
        <item x="234"/>
        <item x="32"/>
        <item x="204"/>
        <item x="531"/>
        <item x="224"/>
        <item x="673"/>
        <item x="156"/>
        <item x="120"/>
        <item x="590"/>
        <item x="33"/>
        <item x="42"/>
        <item x="431"/>
        <item x="629"/>
        <item x="472"/>
        <item x="238"/>
        <item x="0"/>
        <item x="368"/>
        <item x="279"/>
        <item x="671"/>
        <item x="397"/>
        <item x="471"/>
        <item x="248"/>
        <item x="184"/>
        <item x="221"/>
        <item x="348"/>
        <item x="260"/>
        <item x="189"/>
        <item x="23"/>
        <item x="682"/>
        <item x="679"/>
        <item x="669"/>
        <item x="462"/>
        <item x="300"/>
        <item x="386"/>
        <item x="649"/>
        <item x="180"/>
        <item x="561"/>
        <item x="717"/>
        <item x="400"/>
        <item x="469"/>
        <item x="337"/>
        <item x="147"/>
        <item x="89"/>
        <item x="283"/>
        <item x="361"/>
        <item x="619"/>
        <item x="721"/>
        <item x="4"/>
        <item x="532"/>
        <item t="default"/>
      </items>
    </pivotField>
    <pivotField axis="axisRow" numFmtId="167" showAll="0" sortType="descending">
      <items count="6">
        <item x="0"/>
        <item x="4"/>
        <item x="2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 sortType="descending">
      <items count="6">
        <item x="1"/>
        <item x="2"/>
        <item x="0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7" showAll="0"/>
    <pivotField numFmtId="167" showAll="0"/>
    <pivotField numFmtId="167" showAll="0"/>
    <pivotField numFmtId="167" showAll="0"/>
    <pivotField numFmtId="167" showAll="0"/>
    <pivotField numFmtId="167" showAll="0"/>
    <pivotField showAll="0"/>
    <pivotField showAll="0"/>
    <pivotField dragToRow="0" dragToCol="0" dragToPage="0" showAll="0" defaultSubtotal="0"/>
    <pivotField dragToRow="0" dragToCol="0" dragToPage="0" showAll="0" defaultSubtotal="0"/>
  </pivotFields>
  <rowFields count="1">
    <field x="7"/>
  </rowFields>
  <rowItems count="5">
    <i>
      <x v="2"/>
    </i>
    <i>
      <x v="3"/>
    </i>
    <i>
      <x v="1"/>
    </i>
    <i>
      <x v="4"/>
    </i>
    <i>
      <x/>
    </i>
  </rowItems>
  <colFields count="1">
    <field x="-2"/>
  </colFields>
  <colItems count="2">
    <i>
      <x/>
    </i>
    <i i="1">
      <x v="1"/>
    </i>
  </colItems>
  <dataFields count="2">
    <dataField name="Revenue" fld="6" baseField="9" baseItem="0" numFmtId="167"/>
    <dataField name="Orders" fld="9" subtotal="count" baseField="0" baseItem="0"/>
  </dataFields>
  <chartFormats count="12">
    <chartFormat chart="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1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19">
      <pivotArea type="data" outline="0" fieldPosition="0">
        <references count="2">
          <reference field="4294967294" count="1" selected="0">
            <x v="1"/>
          </reference>
          <reference field="7" count="1" selected="0">
            <x v="2"/>
          </reference>
        </references>
      </pivotArea>
    </chartFormat>
    <chartFormat chart="2" format="20">
      <pivotArea type="data" outline="0" fieldPosition="0">
        <references count="2">
          <reference field="4294967294" count="1" selected="0">
            <x v="1"/>
          </reference>
          <reference field="7" count="1" selected="0">
            <x v="3"/>
          </reference>
        </references>
      </pivotArea>
    </chartFormat>
    <chartFormat chart="2" format="21">
      <pivotArea type="data" outline="0" fieldPosition="0">
        <references count="2">
          <reference field="4294967294" count="1" selected="0">
            <x v="1"/>
          </reference>
          <reference field="7" count="1" selected="0">
            <x v="1"/>
          </reference>
        </references>
      </pivotArea>
    </chartFormat>
    <chartFormat chart="2" format="22">
      <pivotArea type="data" outline="0" fieldPosition="0">
        <references count="2">
          <reference field="4294967294" count="1" selected="0">
            <x v="1"/>
          </reference>
          <reference field="7" count="1" selected="0">
            <x v="4"/>
          </reference>
        </references>
      </pivotArea>
    </chartFormat>
    <chartFormat chart="2" format="23">
      <pivotArea type="data" outline="0" fieldPosition="0">
        <references count="2">
          <reference field="4294967294" count="1" selected="0">
            <x v="1"/>
          </reference>
          <reference field="7" count="1" selected="0">
            <x v="0"/>
          </reference>
        </references>
      </pivotArea>
    </chartFormat>
  </chartFormats>
  <pivotTableStyleInfo name="PivotStyleMedium9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7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5" minRefreshableVersion="3" useAutoFormatting="1" rowGrandTotals="0" colGrandTotals="0" itemPrintTitles="1" createdVersion="5" indent="0" outline="1" outlineData="1" multipleFieldFilters="0" chartFormat="26" rowHeaderCaption="Offer">
  <location ref="A3:C8" firstHeaderRow="0" firstDataRow="1" firstDataCol="1"/>
  <pivotFields count="20">
    <pivotField showAll="0"/>
    <pivotField showAll="0"/>
    <pivotField showAll="0"/>
    <pivotField numFmtId="164" showAll="0"/>
    <pivotField numFmtId="164" showAll="0"/>
    <pivotField numFmtId="165" showAll="0"/>
    <pivotField dataField="1" numFmtId="167" showAll="0">
      <items count="770">
        <item x="614"/>
        <item x="388"/>
        <item x="656"/>
        <item x="290"/>
        <item x="178"/>
        <item x="98"/>
        <item x="653"/>
        <item x="681"/>
        <item x="45"/>
        <item x="628"/>
        <item x="288"/>
        <item x="277"/>
        <item x="272"/>
        <item x="328"/>
        <item x="703"/>
        <item x="345"/>
        <item x="250"/>
        <item x="374"/>
        <item x="28"/>
        <item x="519"/>
        <item x="94"/>
        <item x="601"/>
        <item x="385"/>
        <item x="101"/>
        <item x="36"/>
        <item x="528"/>
        <item x="575"/>
        <item x="215"/>
        <item x="176"/>
        <item x="605"/>
        <item x="159"/>
        <item x="292"/>
        <item x="278"/>
        <item x="732"/>
        <item x="35"/>
        <item x="569"/>
        <item x="309"/>
        <item x="479"/>
        <item x="630"/>
        <item x="427"/>
        <item x="264"/>
        <item x="647"/>
        <item x="77"/>
        <item x="372"/>
        <item x="701"/>
        <item x="578"/>
        <item x="725"/>
        <item x="546"/>
        <item x="91"/>
        <item x="483"/>
        <item x="473"/>
        <item x="452"/>
        <item x="706"/>
        <item x="687"/>
        <item x="584"/>
        <item x="562"/>
        <item x="212"/>
        <item x="436"/>
        <item x="728"/>
        <item x="7"/>
        <item x="573"/>
        <item x="666"/>
        <item x="73"/>
        <item x="122"/>
        <item x="727"/>
        <item x="743"/>
        <item x="516"/>
        <item x="219"/>
        <item x="310"/>
        <item x="576"/>
        <item x="311"/>
        <item x="387"/>
        <item x="350"/>
        <item x="360"/>
        <item x="128"/>
        <item x="265"/>
        <item x="152"/>
        <item x="335"/>
        <item x="613"/>
        <item x="6"/>
        <item x="82"/>
        <item x="536"/>
        <item x="105"/>
        <item x="220"/>
        <item x="373"/>
        <item x="352"/>
        <item x="312"/>
        <item x="344"/>
        <item x="37"/>
        <item x="262"/>
        <item x="722"/>
        <item x="299"/>
        <item x="384"/>
        <item x="592"/>
        <item x="530"/>
        <item x="61"/>
        <item x="672"/>
        <item x="362"/>
        <item x="567"/>
        <item x="487"/>
        <item x="232"/>
        <item x="137"/>
        <item x="644"/>
        <item x="405"/>
        <item x="127"/>
        <item x="513"/>
        <item x="589"/>
        <item x="194"/>
        <item x="48"/>
        <item x="402"/>
        <item x="364"/>
        <item x="615"/>
        <item x="432"/>
        <item x="430"/>
        <item x="40"/>
        <item x="420"/>
        <item x="92"/>
        <item x="5"/>
        <item x="496"/>
        <item x="351"/>
        <item x="398"/>
        <item x="745"/>
        <item x="58"/>
        <item x="709"/>
        <item x="263"/>
        <item x="707"/>
        <item x="246"/>
        <item x="56"/>
        <item x="29"/>
        <item x="547"/>
        <item x="577"/>
        <item x="542"/>
        <item x="731"/>
        <item x="166"/>
        <item x="756"/>
        <item x="233"/>
        <item x="705"/>
        <item x="97"/>
        <item x="459"/>
        <item x="648"/>
        <item x="392"/>
        <item x="412"/>
        <item x="495"/>
        <item x="9"/>
        <item x="327"/>
        <item x="714"/>
        <item x="16"/>
        <item x="154"/>
        <item x="680"/>
        <item x="674"/>
        <item x="488"/>
        <item x="461"/>
        <item x="698"/>
        <item x="382"/>
        <item x="739"/>
        <item x="492"/>
        <item x="664"/>
        <item x="160"/>
        <item x="702"/>
        <item x="164"/>
        <item x="200"/>
        <item x="617"/>
        <item x="341"/>
        <item x="587"/>
        <item x="336"/>
        <item x="294"/>
        <item x="766"/>
        <item x="34"/>
        <item x="637"/>
        <item x="54"/>
        <item x="65"/>
        <item x="539"/>
        <item x="75"/>
        <item x="716"/>
        <item x="566"/>
        <item x="223"/>
        <item x="135"/>
        <item x="541"/>
        <item x="457"/>
        <item x="52"/>
        <item x="422"/>
        <item x="257"/>
        <item x="295"/>
        <item x="353"/>
        <item x="499"/>
        <item x="242"/>
        <item x="662"/>
        <item x="445"/>
        <item x="67"/>
        <item x="418"/>
        <item x="71"/>
        <item x="612"/>
        <item x="489"/>
        <item x="69"/>
        <item x="554"/>
        <item x="86"/>
        <item x="205"/>
        <item x="413"/>
        <item x="691"/>
        <item x="658"/>
        <item x="315"/>
        <item x="171"/>
        <item x="13"/>
        <item x="93"/>
        <item x="111"/>
        <item x="642"/>
        <item x="616"/>
        <item x="645"/>
        <item x="694"/>
        <item x="255"/>
        <item x="458"/>
        <item x="269"/>
        <item x="247"/>
        <item x="142"/>
        <item x="740"/>
        <item x="53"/>
        <item x="12"/>
        <item x="730"/>
        <item x="261"/>
        <item x="621"/>
        <item x="663"/>
        <item x="72"/>
        <item x="659"/>
        <item x="448"/>
        <item x="229"/>
        <item x="17"/>
        <item x="538"/>
        <item x="655"/>
        <item x="498"/>
        <item x="484"/>
        <item x="153"/>
        <item x="747"/>
        <item x="755"/>
        <item x="602"/>
        <item x="199"/>
        <item x="555"/>
        <item x="226"/>
        <item x="275"/>
        <item x="415"/>
        <item x="198"/>
        <item x="173"/>
        <item x="463"/>
        <item x="271"/>
        <item x="107"/>
        <item x="161"/>
        <item x="668"/>
        <item x="661"/>
        <item x="737"/>
        <item x="191"/>
        <item x="449"/>
        <item x="744"/>
        <item x="508"/>
        <item x="582"/>
        <item x="641"/>
        <item x="677"/>
        <item x="654"/>
        <item x="323"/>
        <item x="99"/>
        <item x="44"/>
        <item x="24"/>
        <item x="132"/>
        <item x="110"/>
        <item x="639"/>
        <item x="393"/>
        <item x="526"/>
        <item x="657"/>
        <item x="88"/>
        <item x="684"/>
        <item x="383"/>
        <item x="455"/>
        <item x="419"/>
        <item x="380"/>
        <item x="158"/>
        <item x="441"/>
        <item x="407"/>
        <item x="606"/>
        <item x="252"/>
        <item x="636"/>
        <item x="490"/>
        <item x="305"/>
        <item x="379"/>
        <item x="468"/>
        <item x="183"/>
        <item x="550"/>
        <item x="696"/>
        <item x="623"/>
        <item x="686"/>
        <item x="378"/>
        <item x="343"/>
        <item x="408"/>
        <item x="249"/>
        <item x="406"/>
        <item x="10"/>
        <item x="724"/>
        <item x="665"/>
        <item x="313"/>
        <item x="118"/>
        <item x="62"/>
        <item x="256"/>
        <item x="689"/>
        <item x="597"/>
        <item x="286"/>
        <item x="726"/>
        <item x="534"/>
        <item x="734"/>
        <item x="50"/>
        <item x="710"/>
        <item x="551"/>
        <item x="63"/>
        <item x="181"/>
        <item x="718"/>
        <item x="765"/>
        <item x="239"/>
        <item x="760"/>
        <item x="537"/>
        <item x="504"/>
        <item x="627"/>
        <item x="500"/>
        <item x="227"/>
        <item x="713"/>
        <item x="396"/>
        <item x="21"/>
        <item x="203"/>
        <item x="321"/>
        <item x="148"/>
        <item x="757"/>
        <item x="2"/>
        <item x="150"/>
        <item x="631"/>
        <item x="333"/>
        <item x="325"/>
        <item x="574"/>
        <item x="106"/>
        <item x="503"/>
        <item x="144"/>
        <item x="719"/>
        <item x="57"/>
        <item x="268"/>
        <item x="486"/>
        <item x="618"/>
        <item x="444"/>
        <item x="607"/>
        <item x="603"/>
        <item x="188"/>
        <item x="354"/>
        <item x="593"/>
        <item x="715"/>
        <item x="738"/>
        <item x="482"/>
        <item x="588"/>
        <item x="230"/>
        <item x="1"/>
        <item x="134"/>
        <item x="599"/>
        <item x="600"/>
        <item x="633"/>
        <item x="15"/>
        <item x="535"/>
        <item x="543"/>
        <item x="115"/>
        <item x="26"/>
        <item x="693"/>
        <item x="266"/>
        <item x="253"/>
        <item x="423"/>
        <item x="347"/>
        <item x="442"/>
        <item x="129"/>
        <item x="558"/>
        <item x="66"/>
        <item x="146"/>
        <item x="749"/>
        <item x="76"/>
        <item x="545"/>
        <item x="241"/>
        <item x="196"/>
        <item x="254"/>
        <item x="218"/>
        <item x="421"/>
        <item x="318"/>
        <item x="416"/>
        <item x="102"/>
        <item x="138"/>
        <item x="202"/>
        <item x="157"/>
        <item x="211"/>
        <item x="182"/>
        <item x="497"/>
        <item x="594"/>
        <item x="68"/>
        <item x="210"/>
        <item x="476"/>
        <item x="208"/>
        <item x="49"/>
        <item x="763"/>
        <item x="634"/>
        <item x="729"/>
        <item x="540"/>
        <item x="317"/>
        <item x="179"/>
        <item x="475"/>
        <item x="595"/>
        <item x="206"/>
        <item x="523"/>
        <item x="357"/>
        <item x="331"/>
        <item x="678"/>
        <item x="598"/>
        <item x="585"/>
        <item x="195"/>
        <item x="306"/>
        <item x="79"/>
        <item x="109"/>
        <item x="145"/>
        <item x="556"/>
        <item x="697"/>
        <item x="611"/>
        <item x="64"/>
        <item x="676"/>
        <item x="359"/>
        <item x="381"/>
        <item x="466"/>
        <item x="440"/>
        <item x="748"/>
        <item x="563"/>
        <item x="509"/>
        <item x="192"/>
        <item x="560"/>
        <item x="276"/>
        <item x="125"/>
        <item x="346"/>
        <item x="596"/>
        <item x="511"/>
        <item x="193"/>
        <item x="326"/>
        <item x="339"/>
        <item x="481"/>
        <item x="168"/>
        <item x="467"/>
        <item x="207"/>
        <item x="104"/>
        <item x="273"/>
        <item x="708"/>
        <item x="425"/>
        <item x="167"/>
        <item x="270"/>
        <item x="507"/>
        <item x="149"/>
        <item x="303"/>
        <item x="14"/>
        <item x="245"/>
        <item x="367"/>
        <item x="217"/>
        <item x="136"/>
        <item x="394"/>
        <item x="332"/>
        <item x="258"/>
        <item x="280"/>
        <item x="314"/>
        <item x="51"/>
        <item x="267"/>
        <item x="177"/>
        <item x="762"/>
        <item x="244"/>
        <item x="524"/>
        <item x="758"/>
        <item x="434"/>
        <item x="165"/>
        <item x="121"/>
        <item x="506"/>
        <item x="170"/>
        <item x="512"/>
        <item x="22"/>
        <item x="90"/>
        <item x="404"/>
        <item x="298"/>
        <item x="365"/>
        <item x="712"/>
        <item x="591"/>
        <item x="201"/>
        <item x="302"/>
        <item x="751"/>
        <item x="510"/>
        <item x="505"/>
        <item x="190"/>
        <item x="130"/>
        <item x="174"/>
        <item x="568"/>
        <item x="711"/>
        <item x="447"/>
        <item x="395"/>
        <item x="454"/>
        <item x="213"/>
        <item x="41"/>
        <item x="175"/>
        <item x="529"/>
        <item x="370"/>
        <item x="293"/>
        <item x="113"/>
        <item x="723"/>
        <item x="564"/>
        <item x="620"/>
        <item x="453"/>
        <item x="753"/>
        <item x="389"/>
        <item x="228"/>
        <item x="87"/>
        <item x="652"/>
        <item x="340"/>
        <item x="754"/>
        <item x="214"/>
        <item x="27"/>
        <item x="329"/>
        <item x="172"/>
        <item x="225"/>
        <item x="525"/>
        <item x="355"/>
        <item x="736"/>
        <item x="480"/>
        <item x="502"/>
        <item x="222"/>
        <item x="83"/>
        <item x="377"/>
        <item x="209"/>
        <item x="610"/>
        <item x="514"/>
        <item x="675"/>
        <item x="579"/>
        <item x="304"/>
        <item x="690"/>
        <item x="553"/>
        <item x="399"/>
        <item x="216"/>
        <item x="38"/>
        <item x="151"/>
        <item x="39"/>
        <item x="470"/>
        <item x="296"/>
        <item x="237"/>
        <item x="520"/>
        <item x="320"/>
        <item x="439"/>
        <item x="424"/>
        <item x="46"/>
        <item x="428"/>
        <item x="557"/>
        <item x="565"/>
        <item x="720"/>
        <item x="443"/>
        <item x="549"/>
        <item x="522"/>
        <item x="767"/>
        <item x="169"/>
        <item x="517"/>
        <item x="291"/>
        <item x="604"/>
        <item x="70"/>
        <item x="235"/>
        <item x="733"/>
        <item x="114"/>
        <item x="704"/>
        <item x="478"/>
        <item x="342"/>
        <item x="426"/>
        <item x="651"/>
        <item x="699"/>
        <item x="282"/>
        <item x="3"/>
        <item x="140"/>
        <item x="403"/>
        <item x="240"/>
        <item x="85"/>
        <item x="80"/>
        <item x="251"/>
        <item x="559"/>
        <item x="456"/>
        <item x="465"/>
        <item x="316"/>
        <item x="289"/>
        <item x="284"/>
        <item x="583"/>
        <item x="742"/>
        <item x="688"/>
        <item x="356"/>
        <item x="319"/>
        <item x="60"/>
        <item x="761"/>
        <item x="163"/>
        <item x="411"/>
        <item x="493"/>
        <item x="375"/>
        <item x="74"/>
        <item x="274"/>
        <item x="371"/>
        <item x="297"/>
        <item x="141"/>
        <item x="650"/>
        <item x="338"/>
        <item x="78"/>
        <item x="162"/>
        <item x="185"/>
        <item x="308"/>
        <item x="84"/>
        <item x="635"/>
        <item x="301"/>
        <item x="685"/>
        <item x="625"/>
        <item x="100"/>
        <item x="55"/>
        <item x="764"/>
        <item x="735"/>
        <item x="692"/>
        <item x="451"/>
        <item x="123"/>
        <item x="586"/>
        <item x="285"/>
        <item x="437"/>
        <item x="433"/>
        <item x="474"/>
        <item x="410"/>
        <item x="307"/>
        <item x="695"/>
        <item x="544"/>
        <item x="527"/>
        <item x="640"/>
        <item x="435"/>
        <item x="322"/>
        <item x="31"/>
        <item x="670"/>
        <item x="143"/>
        <item x="624"/>
        <item x="281"/>
        <item x="20"/>
        <item x="243"/>
        <item x="324"/>
        <item x="667"/>
        <item x="683"/>
        <item x="768"/>
        <item x="186"/>
        <item x="8"/>
        <item x="96"/>
        <item x="390"/>
        <item x="43"/>
        <item x="366"/>
        <item x="609"/>
        <item x="571"/>
        <item x="414"/>
        <item x="119"/>
        <item x="116"/>
        <item x="643"/>
        <item x="131"/>
        <item x="494"/>
        <item x="521"/>
        <item x="622"/>
        <item x="95"/>
        <item x="581"/>
        <item x="552"/>
        <item x="515"/>
        <item x="187"/>
        <item x="548"/>
        <item x="358"/>
        <item x="19"/>
        <item x="409"/>
        <item x="580"/>
        <item x="632"/>
        <item x="363"/>
        <item x="741"/>
        <item x="391"/>
        <item x="700"/>
        <item x="646"/>
        <item x="750"/>
        <item x="108"/>
        <item x="450"/>
        <item x="417"/>
        <item x="236"/>
        <item x="746"/>
        <item x="259"/>
        <item x="287"/>
        <item x="376"/>
        <item x="139"/>
        <item x="759"/>
        <item x="47"/>
        <item x="660"/>
        <item x="59"/>
        <item x="117"/>
        <item x="608"/>
        <item x="103"/>
        <item x="477"/>
        <item x="369"/>
        <item x="18"/>
        <item x="518"/>
        <item x="11"/>
        <item x="124"/>
        <item x="485"/>
        <item x="429"/>
        <item x="572"/>
        <item x="25"/>
        <item x="460"/>
        <item x="570"/>
        <item x="464"/>
        <item x="81"/>
        <item x="533"/>
        <item x="30"/>
        <item x="626"/>
        <item x="438"/>
        <item x="401"/>
        <item x="349"/>
        <item x="112"/>
        <item x="501"/>
        <item x="126"/>
        <item x="334"/>
        <item x="197"/>
        <item x="133"/>
        <item x="491"/>
        <item x="155"/>
        <item x="330"/>
        <item x="446"/>
        <item x="231"/>
        <item x="638"/>
        <item x="752"/>
        <item x="234"/>
        <item x="32"/>
        <item x="204"/>
        <item x="531"/>
        <item x="224"/>
        <item x="673"/>
        <item x="156"/>
        <item x="120"/>
        <item x="590"/>
        <item x="33"/>
        <item x="42"/>
        <item x="431"/>
        <item x="629"/>
        <item x="472"/>
        <item x="238"/>
        <item x="0"/>
        <item x="368"/>
        <item x="279"/>
        <item x="671"/>
        <item x="397"/>
        <item x="471"/>
        <item x="248"/>
        <item x="184"/>
        <item x="221"/>
        <item x="348"/>
        <item x="260"/>
        <item x="189"/>
        <item x="23"/>
        <item x="682"/>
        <item x="679"/>
        <item x="669"/>
        <item x="462"/>
        <item x="300"/>
        <item x="386"/>
        <item x="649"/>
        <item x="180"/>
        <item x="561"/>
        <item x="717"/>
        <item x="400"/>
        <item x="469"/>
        <item x="337"/>
        <item x="147"/>
        <item x="89"/>
        <item x="283"/>
        <item x="361"/>
        <item x="619"/>
        <item x="721"/>
        <item x="4"/>
        <item x="532"/>
        <item t="default"/>
      </items>
    </pivotField>
    <pivotField numFmtId="167" showAll="0"/>
    <pivotField showAll="0"/>
    <pivotField axis="axisRow" dataField="1" showAll="0" sortType="descending">
      <items count="6">
        <item x="1"/>
        <item x="2"/>
        <item x="0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7" showAll="0"/>
    <pivotField numFmtId="167" showAll="0"/>
    <pivotField numFmtId="167" showAll="0"/>
    <pivotField numFmtId="167" showAll="0"/>
    <pivotField numFmtId="167" showAll="0"/>
    <pivotField numFmtId="167" showAll="0"/>
    <pivotField showAll="0"/>
    <pivotField showAll="0"/>
    <pivotField dragToRow="0" dragToCol="0" dragToPage="0" showAll="0" defaultSubtotal="0"/>
    <pivotField dragToRow="0" dragToCol="0" dragToPage="0" showAll="0" defaultSubtotal="0"/>
  </pivotFields>
  <rowFields count="1">
    <field x="9"/>
  </rowFields>
  <rowItems count="5">
    <i>
      <x/>
    </i>
    <i>
      <x v="3"/>
    </i>
    <i>
      <x v="1"/>
    </i>
    <i>
      <x v="2"/>
    </i>
    <i>
      <x v="4"/>
    </i>
  </rowItems>
  <colFields count="1">
    <field x="-2"/>
  </colFields>
  <colItems count="2">
    <i>
      <x/>
    </i>
    <i i="1">
      <x v="1"/>
    </i>
  </colItems>
  <dataFields count="2">
    <dataField name="Revenue" fld="6" baseField="9" baseItem="0" numFmtId="167"/>
    <dataField name="Orders" fld="9" subtotal="count" baseField="0" baseItem="0"/>
  </dataFields>
  <chartFormats count="12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0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10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0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0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10" format="7">
      <pivotArea type="data" outline="0" fieldPosition="0">
        <references count="2">
          <reference field="4294967294" count="1" selected="0">
            <x v="1"/>
          </reference>
          <reference field="9" count="1" selected="0">
            <x v="0"/>
          </reference>
        </references>
      </pivotArea>
    </chartFormat>
    <chartFormat chart="10" format="8">
      <pivotArea type="data" outline="0" fieldPosition="0">
        <references count="2">
          <reference field="4294967294" count="1" selected="0">
            <x v="1"/>
          </reference>
          <reference field="9" count="1" selected="0">
            <x v="3"/>
          </reference>
        </references>
      </pivotArea>
    </chartFormat>
    <chartFormat chart="10" format="9">
      <pivotArea type="data" outline="0" fieldPosition="0">
        <references count="2">
          <reference field="4294967294" count="1" selected="0">
            <x v="1"/>
          </reference>
          <reference field="9" count="1" selected="0">
            <x v="1"/>
          </reference>
        </references>
      </pivotArea>
    </chartFormat>
    <chartFormat chart="10" format="10">
      <pivotArea type="data" outline="0" fieldPosition="0">
        <references count="2">
          <reference field="4294967294" count="1" selected="0">
            <x v="1"/>
          </reference>
          <reference field="9" count="1" selected="0">
            <x v="2"/>
          </reference>
        </references>
      </pivotArea>
    </chartFormat>
    <chartFormat chart="10" format="11">
      <pivotArea type="data" outline="0" fieldPosition="0">
        <references count="2">
          <reference field="4294967294" count="1" selected="0">
            <x v="1"/>
          </reference>
          <reference field="9" count="1" selected="0">
            <x v="4"/>
          </reference>
        </references>
      </pivotArea>
    </chartFormat>
  </chartFormats>
  <pivotTableStyleInfo name="PivotStyleMedium9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Raw_data_table" displayName="Raw_data_table" ref="A1:L1001" totalsRowShown="0">
  <autoFilter ref="A1:L1001"/>
  <tableColumns count="12">
    <tableColumn id="1" name="Order ID"/>
    <tableColumn id="2" name="Customer ID"/>
    <tableColumn id="3" name="Restaurant ID"/>
    <tableColumn id="4" name="Order Date and Time" dataDxfId="13"/>
    <tableColumn id="5" name="Delivery Date and Time" dataDxfId="12"/>
    <tableColumn id="6" name="Order Value"/>
    <tableColumn id="7" name="Delivery Fee"/>
    <tableColumn id="8" name="Payment Method"/>
    <tableColumn id="9" name="Discounts and Offers"/>
    <tableColumn id="10" name="Commission Fee"/>
    <tableColumn id="11" name="Payment Processing Fee"/>
    <tableColumn id="12" name="Refunds/Chargeback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ata_prep_table" displayName="Data_prep_table" ref="A1:R1001" totalsRowShown="0">
  <autoFilter ref="A1:R1001"/>
  <tableColumns count="18">
    <tableColumn id="1" name="Order_ID">
      <calculatedColumnFormula>Raw_data!A2</calculatedColumnFormula>
    </tableColumn>
    <tableColumn id="2" name="Customer_ID">
      <calculatedColumnFormula>Raw_data!B2</calculatedColumnFormula>
    </tableColumn>
    <tableColumn id="3" name="Restaurant_ID">
      <calculatedColumnFormula>Raw_data!C2</calculatedColumnFormula>
    </tableColumn>
    <tableColumn id="4" name="Order_date" dataDxfId="11">
      <calculatedColumnFormula>Raw_data!D2</calculatedColumnFormula>
    </tableColumn>
    <tableColumn id="5" name="Delivery_date" dataDxfId="10">
      <calculatedColumnFormula>Raw_data!E2</calculatedColumnFormula>
    </tableColumn>
    <tableColumn id="6" name="Delivery_time" dataDxfId="9">
      <calculatedColumnFormula>E2-D2</calculatedColumnFormula>
    </tableColumn>
    <tableColumn id="7" name="Order_value" dataDxfId="8">
      <calculatedColumnFormula>Raw_data!F2</calculatedColumnFormula>
    </tableColumn>
    <tableColumn id="8" name="Delivery_fee" dataDxfId="7">
      <calculatedColumnFormula>Raw_data!G2</calculatedColumnFormula>
    </tableColumn>
    <tableColumn id="9" name="Payment_method">
      <calculatedColumnFormula>Raw_data!H2</calculatedColumnFormula>
    </tableColumn>
    <tableColumn id="10" name="Discounts_and_offers" dataDxfId="6">
      <calculatedColumnFormula>IF(Raw_data!I2=0.1,"10%",Raw_data!I2)</calculatedColumnFormula>
    </tableColumn>
    <tableColumn id="11" name="Commission_fee" dataDxfId="5">
      <calculatedColumnFormula>Raw_data!J2</calculatedColumnFormula>
    </tableColumn>
    <tableColumn id="12" name="Payment_processing_fee" dataDxfId="4">
      <calculatedColumnFormula>Raw_data!K2</calculatedColumnFormula>
    </tableColumn>
    <tableColumn id="13" name="Refunds/chargebacks" dataDxfId="3">
      <calculatedColumnFormula>Raw_data!L2</calculatedColumnFormula>
    </tableColumn>
    <tableColumn id="14" name="Restaurant_profit" dataDxfId="2">
      <calculatedColumnFormula>G2-K2-L2</calculatedColumnFormula>
    </tableColumn>
    <tableColumn id="15" name="Platform_profit" dataDxfId="1">
      <calculatedColumnFormula>K2+L2-M2</calculatedColumnFormula>
    </tableColumn>
    <tableColumn id="16" name="Customer_cost" dataDxfId="0">
      <calculatedColumnFormula>G2+H2</calculatedColumnFormula>
    </tableColumn>
    <tableColumn id="17" name="Orders_count_customer">
      <calculatedColumnFormula>COUNTIF(B$2:B$1001,B2)</calculatedColumnFormula>
    </tableColumn>
    <tableColumn id="18" name="Orders_count_restaurant">
      <calculatedColumnFormula>COUNTIF(C$2:C$1001,C2)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1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4" Type="http://schemas.openxmlformats.org/officeDocument/2006/relationships/pivotTable" Target="../pivotTables/pivotTable1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5.xml"/><Relationship Id="rId2" Type="http://schemas.openxmlformats.org/officeDocument/2006/relationships/pivotTable" Target="../pivotTables/pivotTable14.xml"/><Relationship Id="rId1" Type="http://schemas.openxmlformats.org/officeDocument/2006/relationships/pivotTable" Target="../pivotTables/pivotTable13.xml"/><Relationship Id="rId5" Type="http://schemas.openxmlformats.org/officeDocument/2006/relationships/pivotTable" Target="../pivotTables/pivotTable17.xml"/><Relationship Id="rId4" Type="http://schemas.openxmlformats.org/officeDocument/2006/relationships/pivotTable" Target="../pivotTables/pivotTable16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1"/>
  <sheetViews>
    <sheetView showGridLines="0" workbookViewId="0"/>
  </sheetViews>
  <sheetFormatPr defaultRowHeight="15" x14ac:dyDescent="0.25"/>
  <cols>
    <col min="1" max="1" width="10.5703125" customWidth="1"/>
    <col min="2" max="2" width="14" customWidth="1"/>
    <col min="3" max="3" width="15" customWidth="1"/>
    <col min="4" max="4" width="21.42578125" customWidth="1"/>
    <col min="5" max="5" width="23.7109375" customWidth="1"/>
    <col min="6" max="6" width="13.85546875" customWidth="1"/>
    <col min="7" max="7" width="14.28515625" customWidth="1"/>
    <col min="8" max="8" width="18.5703125" customWidth="1"/>
    <col min="9" max="9" width="21.42578125" customWidth="1"/>
    <col min="10" max="10" width="17.7109375" customWidth="1"/>
    <col min="11" max="11" width="24.5703125" customWidth="1"/>
    <col min="12" max="12" width="22.28515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 t="s">
        <v>12</v>
      </c>
      <c r="C2" t="s">
        <v>13</v>
      </c>
      <c r="D2" s="1">
        <v>45323.049907407411</v>
      </c>
      <c r="E2" s="1">
        <v>45323.111018518517</v>
      </c>
      <c r="F2">
        <v>1914</v>
      </c>
      <c r="G2">
        <v>0</v>
      </c>
      <c r="H2" t="s">
        <v>14</v>
      </c>
      <c r="I2" t="s">
        <v>15</v>
      </c>
      <c r="J2">
        <v>150</v>
      </c>
      <c r="K2">
        <v>47</v>
      </c>
      <c r="L2">
        <v>0</v>
      </c>
    </row>
    <row r="3" spans="1:12" x14ac:dyDescent="0.25">
      <c r="A3">
        <v>2</v>
      </c>
      <c r="B3" t="s">
        <v>16</v>
      </c>
      <c r="C3" t="s">
        <v>17</v>
      </c>
      <c r="D3" s="1">
        <v>45324.924351851849</v>
      </c>
      <c r="E3" s="1">
        <v>45324.948657407411</v>
      </c>
      <c r="F3">
        <v>986</v>
      </c>
      <c r="G3">
        <v>40</v>
      </c>
      <c r="H3" t="s">
        <v>18</v>
      </c>
      <c r="I3" s="2">
        <v>0.1</v>
      </c>
      <c r="J3">
        <v>198</v>
      </c>
      <c r="K3">
        <v>23</v>
      </c>
      <c r="L3">
        <v>0</v>
      </c>
    </row>
    <row r="4" spans="1:12" x14ac:dyDescent="0.25">
      <c r="A4">
        <v>3</v>
      </c>
      <c r="B4" t="s">
        <v>19</v>
      </c>
      <c r="C4" t="s">
        <v>20</v>
      </c>
      <c r="D4" s="1">
        <v>45322.246238425927</v>
      </c>
      <c r="E4" s="1">
        <v>45322.286516203705</v>
      </c>
      <c r="F4">
        <v>937</v>
      </c>
      <c r="G4">
        <v>30</v>
      </c>
      <c r="H4" t="s">
        <v>21</v>
      </c>
      <c r="I4" t="s">
        <v>22</v>
      </c>
      <c r="J4">
        <v>195</v>
      </c>
      <c r="K4">
        <v>45</v>
      </c>
      <c r="L4">
        <v>0</v>
      </c>
    </row>
    <row r="5" spans="1:12" x14ac:dyDescent="0.25">
      <c r="A5">
        <v>4</v>
      </c>
      <c r="B5" t="s">
        <v>23</v>
      </c>
      <c r="C5" t="s">
        <v>24</v>
      </c>
      <c r="D5" s="1">
        <v>45307.953344907408</v>
      </c>
      <c r="E5" s="1">
        <v>45307.985289351855</v>
      </c>
      <c r="F5">
        <v>1463</v>
      </c>
      <c r="G5">
        <v>50</v>
      </c>
      <c r="H5" t="s">
        <v>21</v>
      </c>
      <c r="I5" t="s">
        <v>25</v>
      </c>
      <c r="J5">
        <v>146</v>
      </c>
      <c r="K5">
        <v>27</v>
      </c>
      <c r="L5">
        <v>0</v>
      </c>
    </row>
    <row r="6" spans="1:12" x14ac:dyDescent="0.25">
      <c r="A6">
        <v>5</v>
      </c>
      <c r="B6" t="s">
        <v>26</v>
      </c>
      <c r="C6" t="s">
        <v>27</v>
      </c>
      <c r="D6" s="1">
        <v>45320.055208333331</v>
      </c>
      <c r="E6" s="1">
        <v>45320.117013888892</v>
      </c>
      <c r="F6">
        <v>1992</v>
      </c>
      <c r="G6">
        <v>30</v>
      </c>
      <c r="H6" t="s">
        <v>21</v>
      </c>
      <c r="I6" t="s">
        <v>28</v>
      </c>
      <c r="J6">
        <v>130</v>
      </c>
      <c r="K6">
        <v>50</v>
      </c>
      <c r="L6">
        <v>0</v>
      </c>
    </row>
    <row r="7" spans="1:12" x14ac:dyDescent="0.25">
      <c r="A7">
        <v>6</v>
      </c>
      <c r="B7" t="s">
        <v>29</v>
      </c>
      <c r="C7" t="s">
        <v>30</v>
      </c>
      <c r="D7" s="1">
        <v>45316.19226851852</v>
      </c>
      <c r="E7" s="1">
        <v>45316.227685185186</v>
      </c>
      <c r="F7">
        <v>439</v>
      </c>
      <c r="G7">
        <v>20</v>
      </c>
      <c r="H7" t="s">
        <v>21</v>
      </c>
      <c r="I7" s="2">
        <v>0.1</v>
      </c>
      <c r="J7">
        <v>92</v>
      </c>
      <c r="K7">
        <v>27</v>
      </c>
      <c r="L7">
        <v>150</v>
      </c>
    </row>
    <row r="8" spans="1:12" x14ac:dyDescent="0.25">
      <c r="A8">
        <v>7</v>
      </c>
      <c r="B8" t="s">
        <v>31</v>
      </c>
      <c r="C8" t="s">
        <v>32</v>
      </c>
      <c r="D8" s="1">
        <v>45303.997083333335</v>
      </c>
      <c r="E8" s="1">
        <v>45304.033888888887</v>
      </c>
      <c r="F8">
        <v>303</v>
      </c>
      <c r="G8">
        <v>30</v>
      </c>
      <c r="H8" t="s">
        <v>18</v>
      </c>
      <c r="I8" t="s">
        <v>15</v>
      </c>
      <c r="J8">
        <v>144</v>
      </c>
      <c r="K8">
        <v>12</v>
      </c>
      <c r="L8">
        <v>50</v>
      </c>
    </row>
    <row r="9" spans="1:12" x14ac:dyDescent="0.25">
      <c r="A9">
        <v>8</v>
      </c>
      <c r="B9" t="s">
        <v>33</v>
      </c>
      <c r="C9" t="s">
        <v>34</v>
      </c>
      <c r="D9" s="1">
        <v>45317.948888888888</v>
      </c>
      <c r="E9" s="1">
        <v>45318.025277777779</v>
      </c>
      <c r="F9">
        <v>260</v>
      </c>
      <c r="G9">
        <v>0</v>
      </c>
      <c r="H9" t="s">
        <v>14</v>
      </c>
      <c r="I9" s="2">
        <v>0.1</v>
      </c>
      <c r="J9">
        <v>55</v>
      </c>
      <c r="K9">
        <v>19</v>
      </c>
      <c r="L9">
        <v>0</v>
      </c>
    </row>
    <row r="10" spans="1:12" x14ac:dyDescent="0.25">
      <c r="A10">
        <v>9</v>
      </c>
      <c r="B10" t="s">
        <v>35</v>
      </c>
      <c r="C10" t="s">
        <v>36</v>
      </c>
      <c r="D10" s="1">
        <v>45293.770821759259</v>
      </c>
      <c r="E10" s="1">
        <v>45293.849988425929</v>
      </c>
      <c r="F10">
        <v>1663</v>
      </c>
      <c r="G10">
        <v>40</v>
      </c>
      <c r="H10" t="s">
        <v>21</v>
      </c>
      <c r="I10" t="s">
        <v>15</v>
      </c>
      <c r="J10">
        <v>116</v>
      </c>
      <c r="K10">
        <v>48</v>
      </c>
      <c r="L10">
        <v>0</v>
      </c>
    </row>
    <row r="11" spans="1:12" x14ac:dyDescent="0.25">
      <c r="A11">
        <v>10</v>
      </c>
      <c r="B11" t="s">
        <v>37</v>
      </c>
      <c r="C11" t="s">
        <v>38</v>
      </c>
      <c r="D11" s="1">
        <v>45296.034942129627</v>
      </c>
      <c r="E11" s="1">
        <v>45296.090497685182</v>
      </c>
      <c r="F11">
        <v>491</v>
      </c>
      <c r="G11">
        <v>40</v>
      </c>
      <c r="H11" t="s">
        <v>18</v>
      </c>
      <c r="I11" s="2">
        <v>0.1</v>
      </c>
      <c r="J11">
        <v>189</v>
      </c>
      <c r="K11">
        <v>10</v>
      </c>
      <c r="L11">
        <v>0</v>
      </c>
    </row>
    <row r="12" spans="1:12" x14ac:dyDescent="0.25">
      <c r="A12">
        <v>11</v>
      </c>
      <c r="B12" t="s">
        <v>39</v>
      </c>
      <c r="C12" t="s">
        <v>40</v>
      </c>
      <c r="D12" s="1">
        <v>45292.710266203707</v>
      </c>
      <c r="E12" s="1">
        <v>45292.765127314815</v>
      </c>
      <c r="F12">
        <v>868</v>
      </c>
      <c r="G12">
        <v>0</v>
      </c>
      <c r="H12" t="s">
        <v>21</v>
      </c>
      <c r="I12" t="s">
        <v>15</v>
      </c>
      <c r="J12">
        <v>149</v>
      </c>
      <c r="K12">
        <v>36</v>
      </c>
      <c r="L12">
        <v>0</v>
      </c>
    </row>
    <row r="13" spans="1:12" x14ac:dyDescent="0.25">
      <c r="A13">
        <v>12</v>
      </c>
      <c r="B13" t="s">
        <v>41</v>
      </c>
      <c r="C13" t="s">
        <v>42</v>
      </c>
      <c r="D13" s="1">
        <v>45300.718923611108</v>
      </c>
      <c r="E13" s="1">
        <v>45300.746701388889</v>
      </c>
      <c r="F13">
        <v>1800</v>
      </c>
      <c r="G13">
        <v>20</v>
      </c>
      <c r="H13" t="s">
        <v>14</v>
      </c>
      <c r="I13" t="s">
        <v>22</v>
      </c>
      <c r="J13">
        <v>61</v>
      </c>
      <c r="K13">
        <v>36</v>
      </c>
      <c r="L13">
        <v>0</v>
      </c>
    </row>
    <row r="14" spans="1:12" x14ac:dyDescent="0.25">
      <c r="A14">
        <v>13</v>
      </c>
      <c r="B14" t="s">
        <v>43</v>
      </c>
      <c r="C14" t="s">
        <v>44</v>
      </c>
      <c r="D14" s="1">
        <v>45296.696805555555</v>
      </c>
      <c r="E14" s="1">
        <v>45296.755833333336</v>
      </c>
      <c r="F14">
        <v>674</v>
      </c>
      <c r="G14">
        <v>0</v>
      </c>
      <c r="H14" t="s">
        <v>21</v>
      </c>
      <c r="I14" t="s">
        <v>25</v>
      </c>
      <c r="J14">
        <v>115</v>
      </c>
      <c r="K14">
        <v>20</v>
      </c>
      <c r="L14">
        <v>0</v>
      </c>
    </row>
    <row r="15" spans="1:12" x14ac:dyDescent="0.25">
      <c r="A15">
        <v>14</v>
      </c>
      <c r="B15" t="s">
        <v>45</v>
      </c>
      <c r="C15" t="s">
        <v>17</v>
      </c>
      <c r="D15" s="1">
        <v>45326.783958333333</v>
      </c>
      <c r="E15" s="1">
        <v>45326.853402777779</v>
      </c>
      <c r="F15">
        <v>633</v>
      </c>
      <c r="G15">
        <v>30</v>
      </c>
      <c r="H15" t="s">
        <v>18</v>
      </c>
      <c r="I15" t="s">
        <v>22</v>
      </c>
      <c r="J15">
        <v>51</v>
      </c>
      <c r="K15">
        <v>14</v>
      </c>
      <c r="L15">
        <v>50</v>
      </c>
    </row>
    <row r="16" spans="1:12" x14ac:dyDescent="0.25">
      <c r="A16">
        <v>15</v>
      </c>
      <c r="B16" t="s">
        <v>46</v>
      </c>
      <c r="C16" t="s">
        <v>47</v>
      </c>
      <c r="D16" s="1">
        <v>45325.03460648148</v>
      </c>
      <c r="E16" s="1">
        <v>45325.083912037036</v>
      </c>
      <c r="F16">
        <v>1193</v>
      </c>
      <c r="G16">
        <v>0</v>
      </c>
      <c r="H16" t="s">
        <v>14</v>
      </c>
      <c r="I16" t="s">
        <v>25</v>
      </c>
      <c r="J16">
        <v>192</v>
      </c>
      <c r="K16">
        <v>16</v>
      </c>
      <c r="L16">
        <v>0</v>
      </c>
    </row>
    <row r="17" spans="1:12" x14ac:dyDescent="0.25">
      <c r="A17">
        <v>16</v>
      </c>
      <c r="B17" t="s">
        <v>48</v>
      </c>
      <c r="C17" t="s">
        <v>27</v>
      </c>
      <c r="D17" s="1">
        <v>45306.865532407406</v>
      </c>
      <c r="E17" s="1">
        <v>45306.912754629629</v>
      </c>
      <c r="F17">
        <v>992</v>
      </c>
      <c r="G17">
        <v>0</v>
      </c>
      <c r="H17" t="s">
        <v>18</v>
      </c>
      <c r="I17" t="s">
        <v>22</v>
      </c>
      <c r="J17">
        <v>200</v>
      </c>
      <c r="K17">
        <v>28</v>
      </c>
      <c r="L17">
        <v>0</v>
      </c>
    </row>
    <row r="18" spans="1:12" x14ac:dyDescent="0.25">
      <c r="A18">
        <v>17</v>
      </c>
      <c r="B18" t="s">
        <v>49</v>
      </c>
      <c r="C18" t="s">
        <v>50</v>
      </c>
      <c r="D18" s="1">
        <v>45326.742337962962</v>
      </c>
      <c r="E18" s="1">
        <v>45326.810393518521</v>
      </c>
      <c r="F18">
        <v>504</v>
      </c>
      <c r="G18">
        <v>20</v>
      </c>
      <c r="H18" t="s">
        <v>14</v>
      </c>
      <c r="I18" t="s">
        <v>22</v>
      </c>
      <c r="J18">
        <v>130</v>
      </c>
      <c r="K18">
        <v>38</v>
      </c>
      <c r="L18">
        <v>0</v>
      </c>
    </row>
    <row r="19" spans="1:12" x14ac:dyDescent="0.25">
      <c r="A19">
        <v>18</v>
      </c>
      <c r="B19" t="s">
        <v>51</v>
      </c>
      <c r="C19" t="s">
        <v>52</v>
      </c>
      <c r="D19" s="1">
        <v>45304.654097222221</v>
      </c>
      <c r="E19" s="1">
        <v>45304.707569444443</v>
      </c>
      <c r="F19">
        <v>707</v>
      </c>
      <c r="G19">
        <v>30</v>
      </c>
      <c r="H19" t="s">
        <v>14</v>
      </c>
      <c r="I19" s="2">
        <v>0.1</v>
      </c>
      <c r="J19">
        <v>184</v>
      </c>
      <c r="K19">
        <v>24</v>
      </c>
      <c r="L19">
        <v>0</v>
      </c>
    </row>
    <row r="20" spans="1:12" x14ac:dyDescent="0.25">
      <c r="A20">
        <v>19</v>
      </c>
      <c r="B20" t="s">
        <v>53</v>
      </c>
      <c r="C20" t="s">
        <v>54</v>
      </c>
      <c r="D20" s="1">
        <v>45322.727280092593</v>
      </c>
      <c r="E20" s="1">
        <v>45322.787002314813</v>
      </c>
      <c r="F20">
        <v>1798</v>
      </c>
      <c r="G20">
        <v>50</v>
      </c>
      <c r="H20" t="s">
        <v>14</v>
      </c>
      <c r="I20" t="s">
        <v>28</v>
      </c>
      <c r="J20">
        <v>191</v>
      </c>
      <c r="K20">
        <v>44</v>
      </c>
      <c r="L20">
        <v>0</v>
      </c>
    </row>
    <row r="21" spans="1:12" x14ac:dyDescent="0.25">
      <c r="A21">
        <v>20</v>
      </c>
      <c r="B21" t="s">
        <v>55</v>
      </c>
      <c r="C21" t="s">
        <v>56</v>
      </c>
      <c r="D21" s="1">
        <v>45304.06454861111</v>
      </c>
      <c r="E21" s="1">
        <v>45304.099270833336</v>
      </c>
      <c r="F21">
        <v>1714</v>
      </c>
      <c r="G21">
        <v>50</v>
      </c>
      <c r="H21" t="s">
        <v>21</v>
      </c>
      <c r="I21" t="s">
        <v>15</v>
      </c>
      <c r="J21">
        <v>119</v>
      </c>
      <c r="K21">
        <v>46</v>
      </c>
      <c r="L21">
        <v>100</v>
      </c>
    </row>
    <row r="22" spans="1:12" x14ac:dyDescent="0.25">
      <c r="A22">
        <v>21</v>
      </c>
      <c r="B22" t="s">
        <v>57</v>
      </c>
      <c r="C22" t="s">
        <v>58</v>
      </c>
      <c r="D22" s="1">
        <v>45318.614398148151</v>
      </c>
      <c r="E22" s="1">
        <v>45318.691481481481</v>
      </c>
      <c r="F22">
        <v>1640</v>
      </c>
      <c r="G22">
        <v>40</v>
      </c>
      <c r="H22" t="s">
        <v>18</v>
      </c>
      <c r="I22" t="s">
        <v>15</v>
      </c>
      <c r="J22">
        <v>164</v>
      </c>
      <c r="K22">
        <v>21</v>
      </c>
      <c r="L22">
        <v>0</v>
      </c>
    </row>
    <row r="23" spans="1:12" x14ac:dyDescent="0.25">
      <c r="A23">
        <v>22</v>
      </c>
      <c r="B23" t="s">
        <v>59</v>
      </c>
      <c r="C23" t="s">
        <v>60</v>
      </c>
      <c r="D23" s="1">
        <v>45296.4297337963</v>
      </c>
      <c r="E23" s="1">
        <v>45296.463761574072</v>
      </c>
      <c r="F23">
        <v>927</v>
      </c>
      <c r="G23">
        <v>0</v>
      </c>
      <c r="H23" t="s">
        <v>18</v>
      </c>
      <c r="I23" t="s">
        <v>15</v>
      </c>
      <c r="J23">
        <v>137</v>
      </c>
      <c r="K23">
        <v>39</v>
      </c>
      <c r="L23">
        <v>0</v>
      </c>
    </row>
    <row r="24" spans="1:12" x14ac:dyDescent="0.25">
      <c r="A24">
        <v>23</v>
      </c>
      <c r="B24" t="s">
        <v>61</v>
      </c>
      <c r="C24" t="s">
        <v>62</v>
      </c>
      <c r="D24" s="1">
        <v>45314.1253125</v>
      </c>
      <c r="E24" s="1">
        <v>45314.155868055554</v>
      </c>
      <c r="F24">
        <v>1243</v>
      </c>
      <c r="G24">
        <v>40</v>
      </c>
      <c r="H24" t="s">
        <v>18</v>
      </c>
      <c r="I24" t="s">
        <v>25</v>
      </c>
      <c r="J24">
        <v>55</v>
      </c>
      <c r="K24">
        <v>29</v>
      </c>
      <c r="L24">
        <v>100</v>
      </c>
    </row>
    <row r="25" spans="1:12" x14ac:dyDescent="0.25">
      <c r="A25">
        <v>24</v>
      </c>
      <c r="B25" t="s">
        <v>63</v>
      </c>
      <c r="C25" t="s">
        <v>64</v>
      </c>
      <c r="D25" s="1">
        <v>45329.698854166665</v>
      </c>
      <c r="E25" s="1">
        <v>45329.766909722224</v>
      </c>
      <c r="F25">
        <v>1937</v>
      </c>
      <c r="G25">
        <v>20</v>
      </c>
      <c r="H25" t="s">
        <v>14</v>
      </c>
      <c r="I25" t="s">
        <v>15</v>
      </c>
      <c r="J25">
        <v>76</v>
      </c>
      <c r="K25">
        <v>46</v>
      </c>
      <c r="L25">
        <v>0</v>
      </c>
    </row>
    <row r="26" spans="1:12" x14ac:dyDescent="0.25">
      <c r="A26">
        <v>25</v>
      </c>
      <c r="B26" t="s">
        <v>65</v>
      </c>
      <c r="C26" t="s">
        <v>66</v>
      </c>
      <c r="D26" s="1">
        <v>45304.365648148145</v>
      </c>
      <c r="E26" s="1">
        <v>45304.439259259256</v>
      </c>
      <c r="F26">
        <v>789</v>
      </c>
      <c r="G26">
        <v>50</v>
      </c>
      <c r="H26" t="s">
        <v>21</v>
      </c>
      <c r="I26" t="s">
        <v>15</v>
      </c>
      <c r="J26">
        <v>131</v>
      </c>
      <c r="K26">
        <v>12</v>
      </c>
      <c r="L26">
        <v>0</v>
      </c>
    </row>
    <row r="27" spans="1:12" x14ac:dyDescent="0.25">
      <c r="A27">
        <v>26</v>
      </c>
      <c r="B27" t="s">
        <v>67</v>
      </c>
      <c r="C27" t="s">
        <v>68</v>
      </c>
      <c r="D27" s="1">
        <v>45303.108148148145</v>
      </c>
      <c r="E27" s="1">
        <v>45303.163703703707</v>
      </c>
      <c r="F27">
        <v>1811</v>
      </c>
      <c r="G27">
        <v>0</v>
      </c>
      <c r="H27" t="s">
        <v>14</v>
      </c>
      <c r="I27" s="2">
        <v>0.1</v>
      </c>
      <c r="J27">
        <v>137</v>
      </c>
      <c r="K27">
        <v>18</v>
      </c>
      <c r="L27">
        <v>0</v>
      </c>
    </row>
    <row r="28" spans="1:12" x14ac:dyDescent="0.25">
      <c r="A28">
        <v>27</v>
      </c>
      <c r="B28" t="s">
        <v>69</v>
      </c>
      <c r="C28" t="s">
        <v>70</v>
      </c>
      <c r="D28" s="1">
        <v>45302.69189814815</v>
      </c>
      <c r="E28" s="1">
        <v>45302.764814814815</v>
      </c>
      <c r="F28">
        <v>1001</v>
      </c>
      <c r="G28">
        <v>20</v>
      </c>
      <c r="H28" t="s">
        <v>18</v>
      </c>
      <c r="I28" t="s">
        <v>22</v>
      </c>
      <c r="J28">
        <v>169</v>
      </c>
      <c r="K28">
        <v>50</v>
      </c>
      <c r="L28">
        <v>0</v>
      </c>
    </row>
    <row r="29" spans="1:12" x14ac:dyDescent="0.25">
      <c r="A29">
        <v>28</v>
      </c>
      <c r="B29" t="s">
        <v>71</v>
      </c>
      <c r="C29" t="s">
        <v>72</v>
      </c>
      <c r="D29" s="1">
        <v>45325.176516203705</v>
      </c>
      <c r="E29" s="1">
        <v>45325.239710648151</v>
      </c>
      <c r="F29">
        <v>1340</v>
      </c>
      <c r="G29">
        <v>20</v>
      </c>
      <c r="H29" t="s">
        <v>21</v>
      </c>
      <c r="I29" t="s">
        <v>15</v>
      </c>
      <c r="J29">
        <v>73</v>
      </c>
      <c r="K29">
        <v>48</v>
      </c>
      <c r="L29">
        <v>100</v>
      </c>
    </row>
    <row r="30" spans="1:12" x14ac:dyDescent="0.25">
      <c r="A30">
        <v>29</v>
      </c>
      <c r="B30" t="s">
        <v>73</v>
      </c>
      <c r="C30" t="s">
        <v>74</v>
      </c>
      <c r="D30" s="1">
        <v>45308.959386574075</v>
      </c>
      <c r="E30" s="1">
        <v>45309.038553240738</v>
      </c>
      <c r="F30">
        <v>155</v>
      </c>
      <c r="G30">
        <v>0</v>
      </c>
      <c r="H30" t="s">
        <v>21</v>
      </c>
      <c r="I30" t="s">
        <v>28</v>
      </c>
      <c r="J30">
        <v>151</v>
      </c>
      <c r="K30">
        <v>35</v>
      </c>
      <c r="L30">
        <v>0</v>
      </c>
    </row>
    <row r="31" spans="1:12" x14ac:dyDescent="0.25">
      <c r="A31">
        <v>30</v>
      </c>
      <c r="B31" t="s">
        <v>75</v>
      </c>
      <c r="C31" t="s">
        <v>76</v>
      </c>
      <c r="D31" s="1">
        <v>45327.917037037034</v>
      </c>
      <c r="E31" s="1">
        <v>45327.962870370371</v>
      </c>
      <c r="F31">
        <v>465</v>
      </c>
      <c r="G31">
        <v>20</v>
      </c>
      <c r="H31" t="s">
        <v>21</v>
      </c>
      <c r="I31" t="s">
        <v>15</v>
      </c>
      <c r="J31">
        <v>83</v>
      </c>
      <c r="K31">
        <v>11</v>
      </c>
      <c r="L31">
        <v>0</v>
      </c>
    </row>
    <row r="32" spans="1:12" x14ac:dyDescent="0.25">
      <c r="A32">
        <v>31</v>
      </c>
      <c r="B32" t="s">
        <v>77</v>
      </c>
      <c r="C32" t="s">
        <v>78</v>
      </c>
      <c r="D32" s="1">
        <v>45320.566574074073</v>
      </c>
      <c r="E32" s="1">
        <v>45320.590879629628</v>
      </c>
      <c r="F32">
        <v>1822</v>
      </c>
      <c r="G32">
        <v>0</v>
      </c>
      <c r="H32" t="s">
        <v>18</v>
      </c>
      <c r="I32" t="s">
        <v>25</v>
      </c>
      <c r="J32">
        <v>96</v>
      </c>
      <c r="K32">
        <v>32</v>
      </c>
      <c r="L32">
        <v>0</v>
      </c>
    </row>
    <row r="33" spans="1:12" x14ac:dyDescent="0.25">
      <c r="A33">
        <v>32</v>
      </c>
      <c r="B33" t="s">
        <v>79</v>
      </c>
      <c r="C33" t="s">
        <v>80</v>
      </c>
      <c r="D33" s="1">
        <v>45294.47184027778</v>
      </c>
      <c r="E33" s="1">
        <v>45294.541284722225</v>
      </c>
      <c r="F33">
        <v>1627</v>
      </c>
      <c r="G33">
        <v>0</v>
      </c>
      <c r="H33" t="s">
        <v>21</v>
      </c>
      <c r="I33" t="s">
        <v>25</v>
      </c>
      <c r="J33">
        <v>73</v>
      </c>
      <c r="K33">
        <v>32</v>
      </c>
      <c r="L33">
        <v>0</v>
      </c>
    </row>
    <row r="34" spans="1:12" x14ac:dyDescent="0.25">
      <c r="A34">
        <v>33</v>
      </c>
      <c r="B34" t="s">
        <v>81</v>
      </c>
      <c r="C34" t="s">
        <v>82</v>
      </c>
      <c r="D34" s="1">
        <v>45323.169849537036</v>
      </c>
      <c r="E34" s="1">
        <v>45323.208043981482</v>
      </c>
      <c r="F34">
        <v>1867</v>
      </c>
      <c r="G34">
        <v>30</v>
      </c>
      <c r="H34" t="s">
        <v>21</v>
      </c>
      <c r="I34" t="s">
        <v>25</v>
      </c>
      <c r="J34">
        <v>114</v>
      </c>
      <c r="K34">
        <v>30</v>
      </c>
      <c r="L34">
        <v>50</v>
      </c>
    </row>
    <row r="35" spans="1:12" x14ac:dyDescent="0.25">
      <c r="A35">
        <v>34</v>
      </c>
      <c r="B35" t="s">
        <v>83</v>
      </c>
      <c r="C35" t="s">
        <v>84</v>
      </c>
      <c r="D35" s="1">
        <v>45314.486238425925</v>
      </c>
      <c r="E35" s="1">
        <v>45314.511932870373</v>
      </c>
      <c r="F35">
        <v>1890</v>
      </c>
      <c r="G35">
        <v>40</v>
      </c>
      <c r="H35" t="s">
        <v>14</v>
      </c>
      <c r="I35" t="s">
        <v>15</v>
      </c>
      <c r="J35">
        <v>67</v>
      </c>
      <c r="K35">
        <v>25</v>
      </c>
      <c r="L35">
        <v>0</v>
      </c>
    </row>
    <row r="36" spans="1:12" x14ac:dyDescent="0.25">
      <c r="A36">
        <v>35</v>
      </c>
      <c r="B36" t="s">
        <v>85</v>
      </c>
      <c r="C36" t="s">
        <v>86</v>
      </c>
      <c r="D36" s="1">
        <v>45318.774722222224</v>
      </c>
      <c r="E36" s="1">
        <v>45318.845555555556</v>
      </c>
      <c r="F36">
        <v>554</v>
      </c>
      <c r="G36">
        <v>20</v>
      </c>
      <c r="H36" t="s">
        <v>14</v>
      </c>
      <c r="I36" s="2">
        <v>0.1</v>
      </c>
      <c r="J36">
        <v>93</v>
      </c>
      <c r="K36">
        <v>18</v>
      </c>
      <c r="L36">
        <v>0</v>
      </c>
    </row>
    <row r="37" spans="1:12" x14ac:dyDescent="0.25">
      <c r="A37">
        <v>36</v>
      </c>
      <c r="B37" t="s">
        <v>87</v>
      </c>
      <c r="C37" t="s">
        <v>88</v>
      </c>
      <c r="D37" s="1">
        <v>45295.450115740743</v>
      </c>
      <c r="E37" s="1">
        <v>45295.473032407404</v>
      </c>
      <c r="F37">
        <v>203</v>
      </c>
      <c r="G37">
        <v>20</v>
      </c>
      <c r="H37" t="s">
        <v>21</v>
      </c>
      <c r="I37" t="s">
        <v>28</v>
      </c>
      <c r="J37">
        <v>125</v>
      </c>
      <c r="K37">
        <v>22</v>
      </c>
      <c r="L37">
        <v>0</v>
      </c>
    </row>
    <row r="38" spans="1:12" x14ac:dyDescent="0.25">
      <c r="A38">
        <v>37</v>
      </c>
      <c r="B38" t="s">
        <v>89</v>
      </c>
      <c r="C38" t="s">
        <v>90</v>
      </c>
      <c r="D38" s="1">
        <v>45295.673009259262</v>
      </c>
      <c r="E38" s="1">
        <v>45295.707731481481</v>
      </c>
      <c r="F38">
        <v>176</v>
      </c>
      <c r="G38">
        <v>30</v>
      </c>
      <c r="H38" t="s">
        <v>21</v>
      </c>
      <c r="I38" t="s">
        <v>15</v>
      </c>
      <c r="J38">
        <v>106</v>
      </c>
      <c r="K38">
        <v>37</v>
      </c>
      <c r="L38">
        <v>0</v>
      </c>
    </row>
    <row r="39" spans="1:12" x14ac:dyDescent="0.25">
      <c r="A39">
        <v>38</v>
      </c>
      <c r="B39" t="s">
        <v>91</v>
      </c>
      <c r="C39" t="s">
        <v>92</v>
      </c>
      <c r="D39" s="1">
        <v>45306.253865740742</v>
      </c>
      <c r="E39" s="1">
        <v>45306.295532407406</v>
      </c>
      <c r="F39">
        <v>329</v>
      </c>
      <c r="G39">
        <v>30</v>
      </c>
      <c r="H39" t="s">
        <v>14</v>
      </c>
      <c r="I39" s="2">
        <v>0.1</v>
      </c>
      <c r="J39">
        <v>156</v>
      </c>
      <c r="K39">
        <v>36</v>
      </c>
      <c r="L39">
        <v>0</v>
      </c>
    </row>
    <row r="40" spans="1:12" x14ac:dyDescent="0.25">
      <c r="A40">
        <v>39</v>
      </c>
      <c r="B40" t="s">
        <v>93</v>
      </c>
      <c r="C40" t="s">
        <v>94</v>
      </c>
      <c r="D40" s="1">
        <v>45327.72115740741</v>
      </c>
      <c r="E40" s="1">
        <v>45327.755879629629</v>
      </c>
      <c r="F40">
        <v>1381</v>
      </c>
      <c r="G40">
        <v>30</v>
      </c>
      <c r="H40" t="s">
        <v>14</v>
      </c>
      <c r="I40" s="2">
        <v>0.1</v>
      </c>
      <c r="J40">
        <v>173</v>
      </c>
      <c r="K40">
        <v>26</v>
      </c>
      <c r="L40">
        <v>0</v>
      </c>
    </row>
    <row r="41" spans="1:12" x14ac:dyDescent="0.25">
      <c r="A41">
        <v>40</v>
      </c>
      <c r="B41" t="s">
        <v>95</v>
      </c>
      <c r="C41" t="s">
        <v>96</v>
      </c>
      <c r="D41" s="1">
        <v>45307.350497685184</v>
      </c>
      <c r="E41" s="1">
        <v>45307.387997685182</v>
      </c>
      <c r="F41">
        <v>1387</v>
      </c>
      <c r="G41">
        <v>50</v>
      </c>
      <c r="H41" t="s">
        <v>14</v>
      </c>
      <c r="I41" t="s">
        <v>15</v>
      </c>
      <c r="J41">
        <v>200</v>
      </c>
      <c r="K41">
        <v>47</v>
      </c>
      <c r="L41">
        <v>0</v>
      </c>
    </row>
    <row r="42" spans="1:12" x14ac:dyDescent="0.25">
      <c r="A42">
        <v>41</v>
      </c>
      <c r="B42" t="s">
        <v>97</v>
      </c>
      <c r="C42" t="s">
        <v>98</v>
      </c>
      <c r="D42" s="1">
        <v>45293.068564814814</v>
      </c>
      <c r="E42" s="1">
        <v>45293.099120370367</v>
      </c>
      <c r="F42">
        <v>430</v>
      </c>
      <c r="G42">
        <v>50</v>
      </c>
      <c r="H42" t="s">
        <v>18</v>
      </c>
      <c r="I42" t="s">
        <v>15</v>
      </c>
      <c r="J42">
        <v>188</v>
      </c>
      <c r="K42">
        <v>45</v>
      </c>
      <c r="L42">
        <v>150</v>
      </c>
    </row>
    <row r="43" spans="1:12" x14ac:dyDescent="0.25">
      <c r="A43">
        <v>42</v>
      </c>
      <c r="B43" t="s">
        <v>99</v>
      </c>
      <c r="C43" t="s">
        <v>100</v>
      </c>
      <c r="D43" s="1">
        <v>45318.859814814816</v>
      </c>
      <c r="E43" s="1">
        <v>45318.90425925926</v>
      </c>
      <c r="F43">
        <v>1305</v>
      </c>
      <c r="G43">
        <v>50</v>
      </c>
      <c r="H43" t="s">
        <v>18</v>
      </c>
      <c r="I43" s="2">
        <v>0.1</v>
      </c>
      <c r="J43">
        <v>165</v>
      </c>
      <c r="K43">
        <v>10</v>
      </c>
      <c r="L43">
        <v>0</v>
      </c>
    </row>
    <row r="44" spans="1:12" x14ac:dyDescent="0.25">
      <c r="A44">
        <v>43</v>
      </c>
      <c r="B44" t="s">
        <v>101</v>
      </c>
      <c r="C44" t="s">
        <v>102</v>
      </c>
      <c r="D44" s="1">
        <v>45312.900555555556</v>
      </c>
      <c r="E44" s="1">
        <v>45312.954722222225</v>
      </c>
      <c r="F44">
        <v>992</v>
      </c>
      <c r="G44">
        <v>0</v>
      </c>
      <c r="H44" t="s">
        <v>14</v>
      </c>
      <c r="I44" s="2">
        <v>0.1</v>
      </c>
      <c r="J44">
        <v>142</v>
      </c>
      <c r="K44">
        <v>27</v>
      </c>
      <c r="L44">
        <v>0</v>
      </c>
    </row>
    <row r="45" spans="1:12" x14ac:dyDescent="0.25">
      <c r="A45">
        <v>44</v>
      </c>
      <c r="B45" t="s">
        <v>103</v>
      </c>
      <c r="C45" t="s">
        <v>104</v>
      </c>
      <c r="D45" s="1">
        <v>45307.28434027778</v>
      </c>
      <c r="E45" s="1">
        <v>45307.334340277775</v>
      </c>
      <c r="F45">
        <v>1891</v>
      </c>
      <c r="G45">
        <v>20</v>
      </c>
      <c r="H45" t="s">
        <v>21</v>
      </c>
      <c r="I45" s="2">
        <v>0.1</v>
      </c>
      <c r="J45">
        <v>91</v>
      </c>
      <c r="K45">
        <v>18</v>
      </c>
      <c r="L45">
        <v>0</v>
      </c>
    </row>
    <row r="46" spans="1:12" x14ac:dyDescent="0.25">
      <c r="A46">
        <v>45</v>
      </c>
      <c r="B46" t="s">
        <v>105</v>
      </c>
      <c r="C46" t="s">
        <v>106</v>
      </c>
      <c r="D46" s="1">
        <v>45292.302719907406</v>
      </c>
      <c r="E46" s="1">
        <v>45292.351331018515</v>
      </c>
      <c r="F46">
        <v>1673</v>
      </c>
      <c r="G46">
        <v>40</v>
      </c>
      <c r="H46" t="s">
        <v>14</v>
      </c>
      <c r="I46" t="s">
        <v>15</v>
      </c>
      <c r="J46">
        <v>77</v>
      </c>
      <c r="K46">
        <v>22</v>
      </c>
      <c r="L46">
        <v>100</v>
      </c>
    </row>
    <row r="47" spans="1:12" x14ac:dyDescent="0.25">
      <c r="A47">
        <v>46</v>
      </c>
      <c r="B47" t="s">
        <v>107</v>
      </c>
      <c r="C47" t="s">
        <v>108</v>
      </c>
      <c r="D47" s="1">
        <v>45295.956192129626</v>
      </c>
      <c r="E47" s="1">
        <v>45296.002025462964</v>
      </c>
      <c r="F47">
        <v>787</v>
      </c>
      <c r="G47">
        <v>0</v>
      </c>
      <c r="H47" t="s">
        <v>18</v>
      </c>
      <c r="I47" s="2">
        <v>0.1</v>
      </c>
      <c r="J47">
        <v>172</v>
      </c>
      <c r="K47">
        <v>49</v>
      </c>
      <c r="L47">
        <v>0</v>
      </c>
    </row>
    <row r="48" spans="1:12" x14ac:dyDescent="0.25">
      <c r="A48">
        <v>47</v>
      </c>
      <c r="B48" t="s">
        <v>109</v>
      </c>
      <c r="C48" t="s">
        <v>110</v>
      </c>
      <c r="D48" s="1">
        <v>45311.557349537034</v>
      </c>
      <c r="E48" s="1">
        <v>45311.617071759261</v>
      </c>
      <c r="F48">
        <v>126</v>
      </c>
      <c r="G48">
        <v>20</v>
      </c>
      <c r="H48" t="s">
        <v>21</v>
      </c>
      <c r="I48" t="s">
        <v>25</v>
      </c>
      <c r="J48">
        <v>73</v>
      </c>
      <c r="K48">
        <v>24</v>
      </c>
      <c r="L48">
        <v>150</v>
      </c>
    </row>
    <row r="49" spans="1:12" x14ac:dyDescent="0.25">
      <c r="A49">
        <v>48</v>
      </c>
      <c r="B49" t="s">
        <v>111</v>
      </c>
      <c r="C49" t="s">
        <v>112</v>
      </c>
      <c r="D49" s="1">
        <v>45297.329791666663</v>
      </c>
      <c r="E49" s="1">
        <v>45297.37909722222</v>
      </c>
      <c r="F49">
        <v>1399</v>
      </c>
      <c r="G49">
        <v>20</v>
      </c>
      <c r="H49" t="s">
        <v>18</v>
      </c>
      <c r="I49" t="s">
        <v>15</v>
      </c>
      <c r="J49">
        <v>185</v>
      </c>
      <c r="K49">
        <v>13</v>
      </c>
      <c r="L49">
        <v>0</v>
      </c>
    </row>
    <row r="50" spans="1:12" x14ac:dyDescent="0.25">
      <c r="A50">
        <v>49</v>
      </c>
      <c r="B50" t="s">
        <v>113</v>
      </c>
      <c r="C50" t="s">
        <v>114</v>
      </c>
      <c r="D50" s="1">
        <v>45318.001539351855</v>
      </c>
      <c r="E50" s="1">
        <v>45318.05431712963</v>
      </c>
      <c r="F50">
        <v>1775</v>
      </c>
      <c r="G50">
        <v>30</v>
      </c>
      <c r="H50" t="s">
        <v>21</v>
      </c>
      <c r="I50" t="s">
        <v>25</v>
      </c>
      <c r="J50">
        <v>155</v>
      </c>
      <c r="K50">
        <v>42</v>
      </c>
      <c r="L50">
        <v>50</v>
      </c>
    </row>
    <row r="51" spans="1:12" x14ac:dyDescent="0.25">
      <c r="A51">
        <v>50</v>
      </c>
      <c r="B51" t="s">
        <v>115</v>
      </c>
      <c r="C51" t="s">
        <v>116</v>
      </c>
      <c r="D51" s="1">
        <v>45329.93309027778</v>
      </c>
      <c r="E51" s="1">
        <v>45329.99559027778</v>
      </c>
      <c r="F51">
        <v>398</v>
      </c>
      <c r="G51">
        <v>30</v>
      </c>
      <c r="H51" t="s">
        <v>18</v>
      </c>
      <c r="I51" t="s">
        <v>22</v>
      </c>
      <c r="J51">
        <v>167</v>
      </c>
      <c r="K51">
        <v>33</v>
      </c>
      <c r="L51">
        <v>0</v>
      </c>
    </row>
    <row r="52" spans="1:12" x14ac:dyDescent="0.25">
      <c r="A52">
        <v>51</v>
      </c>
      <c r="B52" t="s">
        <v>117</v>
      </c>
      <c r="C52" t="s">
        <v>118</v>
      </c>
      <c r="D52" s="1">
        <v>45321.403657407405</v>
      </c>
      <c r="E52" s="1">
        <v>45321.433518518519</v>
      </c>
      <c r="F52">
        <v>1056</v>
      </c>
      <c r="G52">
        <v>0</v>
      </c>
      <c r="H52" t="s">
        <v>21</v>
      </c>
      <c r="I52" t="s">
        <v>15</v>
      </c>
      <c r="J52">
        <v>102</v>
      </c>
      <c r="K52">
        <v>45</v>
      </c>
      <c r="L52">
        <v>0</v>
      </c>
    </row>
    <row r="53" spans="1:12" x14ac:dyDescent="0.25">
      <c r="A53">
        <v>52</v>
      </c>
      <c r="B53" t="s">
        <v>119</v>
      </c>
      <c r="C53" t="s">
        <v>120</v>
      </c>
      <c r="D53" s="1">
        <v>45292.401701388888</v>
      </c>
      <c r="E53" s="1">
        <v>45292.4690625</v>
      </c>
      <c r="F53">
        <v>898</v>
      </c>
      <c r="G53">
        <v>30</v>
      </c>
      <c r="H53" t="s">
        <v>21</v>
      </c>
      <c r="I53" t="s">
        <v>22</v>
      </c>
      <c r="J53">
        <v>181</v>
      </c>
      <c r="K53">
        <v>50</v>
      </c>
      <c r="L53">
        <v>0</v>
      </c>
    </row>
    <row r="54" spans="1:12" x14ac:dyDescent="0.25">
      <c r="A54">
        <v>53</v>
      </c>
      <c r="B54" t="s">
        <v>121</v>
      </c>
      <c r="C54" t="s">
        <v>122</v>
      </c>
      <c r="D54" s="1">
        <v>45302.854641203703</v>
      </c>
      <c r="E54" s="1">
        <v>45302.911585648151</v>
      </c>
      <c r="F54">
        <v>1214</v>
      </c>
      <c r="G54">
        <v>20</v>
      </c>
      <c r="H54" t="s">
        <v>21</v>
      </c>
      <c r="I54" s="2">
        <v>0.1</v>
      </c>
      <c r="J54">
        <v>149</v>
      </c>
      <c r="K54">
        <v>19</v>
      </c>
      <c r="L54">
        <v>0</v>
      </c>
    </row>
    <row r="55" spans="1:12" x14ac:dyDescent="0.25">
      <c r="A55">
        <v>54</v>
      </c>
      <c r="B55" t="s">
        <v>123</v>
      </c>
      <c r="C55" t="s">
        <v>124</v>
      </c>
      <c r="D55" s="1">
        <v>45310.137187499997</v>
      </c>
      <c r="E55" s="1">
        <v>45310.21565972222</v>
      </c>
      <c r="F55">
        <v>579</v>
      </c>
      <c r="G55">
        <v>30</v>
      </c>
      <c r="H55" t="s">
        <v>21</v>
      </c>
      <c r="I55" s="2">
        <v>0.1</v>
      </c>
      <c r="J55">
        <v>54</v>
      </c>
      <c r="K55">
        <v>45</v>
      </c>
      <c r="L55">
        <v>50</v>
      </c>
    </row>
    <row r="56" spans="1:12" x14ac:dyDescent="0.25">
      <c r="A56">
        <v>55</v>
      </c>
      <c r="B56" t="s">
        <v>125</v>
      </c>
      <c r="C56" t="s">
        <v>126</v>
      </c>
      <c r="D56" s="1">
        <v>45314.182233796295</v>
      </c>
      <c r="E56" s="1">
        <v>45314.225983796299</v>
      </c>
      <c r="F56">
        <v>672</v>
      </c>
      <c r="G56">
        <v>50</v>
      </c>
      <c r="H56" t="s">
        <v>18</v>
      </c>
      <c r="I56" t="s">
        <v>28</v>
      </c>
      <c r="J56">
        <v>98</v>
      </c>
      <c r="K56">
        <v>29</v>
      </c>
      <c r="L56">
        <v>0</v>
      </c>
    </row>
    <row r="57" spans="1:12" x14ac:dyDescent="0.25">
      <c r="A57">
        <v>56</v>
      </c>
      <c r="B57" t="s">
        <v>127</v>
      </c>
      <c r="C57" t="s">
        <v>128</v>
      </c>
      <c r="D57" s="1">
        <v>45324.915972222225</v>
      </c>
      <c r="E57" s="1">
        <v>45324.988888888889</v>
      </c>
      <c r="F57">
        <v>557</v>
      </c>
      <c r="G57">
        <v>30</v>
      </c>
      <c r="H57" t="s">
        <v>18</v>
      </c>
      <c r="I57" s="2">
        <v>0.1</v>
      </c>
      <c r="J57">
        <v>147</v>
      </c>
      <c r="K57">
        <v>50</v>
      </c>
      <c r="L57">
        <v>0</v>
      </c>
    </row>
    <row r="58" spans="1:12" x14ac:dyDescent="0.25">
      <c r="A58">
        <v>57</v>
      </c>
      <c r="B58" t="s">
        <v>129</v>
      </c>
      <c r="C58" t="s">
        <v>130</v>
      </c>
      <c r="D58" s="1">
        <v>45296.089108796295</v>
      </c>
      <c r="E58" s="1">
        <v>45296.125914351855</v>
      </c>
      <c r="F58">
        <v>1574</v>
      </c>
      <c r="G58">
        <v>20</v>
      </c>
      <c r="H58" t="s">
        <v>21</v>
      </c>
      <c r="I58" t="s">
        <v>22</v>
      </c>
      <c r="J58">
        <v>79</v>
      </c>
      <c r="K58">
        <v>20</v>
      </c>
      <c r="L58">
        <v>0</v>
      </c>
    </row>
    <row r="59" spans="1:12" x14ac:dyDescent="0.25">
      <c r="A59">
        <v>58</v>
      </c>
      <c r="B59" t="s">
        <v>131</v>
      </c>
      <c r="C59" t="s">
        <v>132</v>
      </c>
      <c r="D59" s="1">
        <v>45305.970694444448</v>
      </c>
      <c r="E59" s="1">
        <v>45306.00472222222</v>
      </c>
      <c r="F59">
        <v>464</v>
      </c>
      <c r="G59">
        <v>0</v>
      </c>
      <c r="H59" t="s">
        <v>21</v>
      </c>
      <c r="I59" s="2">
        <v>0.1</v>
      </c>
      <c r="J59">
        <v>121</v>
      </c>
      <c r="K59">
        <v>21</v>
      </c>
      <c r="L59">
        <v>0</v>
      </c>
    </row>
    <row r="60" spans="1:12" x14ac:dyDescent="0.25">
      <c r="A60">
        <v>59</v>
      </c>
      <c r="B60" t="s">
        <v>133</v>
      </c>
      <c r="C60" t="s">
        <v>134</v>
      </c>
      <c r="D60" s="1">
        <v>45309.623703703706</v>
      </c>
      <c r="E60" s="1">
        <v>45309.691759259258</v>
      </c>
      <c r="F60">
        <v>958</v>
      </c>
      <c r="G60">
        <v>40</v>
      </c>
      <c r="H60" t="s">
        <v>18</v>
      </c>
      <c r="I60" t="s">
        <v>15</v>
      </c>
      <c r="J60">
        <v>152</v>
      </c>
      <c r="K60">
        <v>27</v>
      </c>
      <c r="L60">
        <v>50</v>
      </c>
    </row>
    <row r="61" spans="1:12" x14ac:dyDescent="0.25">
      <c r="A61">
        <v>60</v>
      </c>
      <c r="B61" t="s">
        <v>135</v>
      </c>
      <c r="C61" t="s">
        <v>136</v>
      </c>
      <c r="D61" s="1">
        <v>45293.968773148146</v>
      </c>
      <c r="E61" s="1">
        <v>45294.009745370371</v>
      </c>
      <c r="F61">
        <v>1798</v>
      </c>
      <c r="G61">
        <v>30</v>
      </c>
      <c r="H61" t="s">
        <v>21</v>
      </c>
      <c r="I61" s="2">
        <v>0.1</v>
      </c>
      <c r="J61">
        <v>112</v>
      </c>
      <c r="K61">
        <v>39</v>
      </c>
      <c r="L61">
        <v>100</v>
      </c>
    </row>
    <row r="62" spans="1:12" x14ac:dyDescent="0.25">
      <c r="A62">
        <v>61</v>
      </c>
      <c r="B62" t="s">
        <v>137</v>
      </c>
      <c r="C62" t="s">
        <v>138</v>
      </c>
      <c r="D62" s="1">
        <v>45296.563356481478</v>
      </c>
      <c r="E62" s="1">
        <v>45296.644606481481</v>
      </c>
      <c r="F62">
        <v>450</v>
      </c>
      <c r="G62">
        <v>20</v>
      </c>
      <c r="H62" t="s">
        <v>21</v>
      </c>
      <c r="I62" t="s">
        <v>28</v>
      </c>
      <c r="J62">
        <v>75</v>
      </c>
      <c r="K62">
        <v>46</v>
      </c>
      <c r="L62">
        <v>0</v>
      </c>
    </row>
    <row r="63" spans="1:12" x14ac:dyDescent="0.25">
      <c r="A63">
        <v>62</v>
      </c>
      <c r="B63" t="s">
        <v>139</v>
      </c>
      <c r="C63" t="s">
        <v>140</v>
      </c>
      <c r="D63" s="1">
        <v>45294.514872685184</v>
      </c>
      <c r="E63" s="1">
        <v>45294.539872685185</v>
      </c>
      <c r="F63">
        <v>1778</v>
      </c>
      <c r="G63">
        <v>40</v>
      </c>
      <c r="H63" t="s">
        <v>21</v>
      </c>
      <c r="I63" s="2">
        <v>0.1</v>
      </c>
      <c r="J63">
        <v>86</v>
      </c>
      <c r="K63">
        <v>29</v>
      </c>
      <c r="L63">
        <v>0</v>
      </c>
    </row>
    <row r="64" spans="1:12" x14ac:dyDescent="0.25">
      <c r="A64">
        <v>63</v>
      </c>
      <c r="B64" t="s">
        <v>141</v>
      </c>
      <c r="C64" t="s">
        <v>142</v>
      </c>
      <c r="D64" s="1">
        <v>45308.05300925926</v>
      </c>
      <c r="E64" s="1">
        <v>45308.09814814815</v>
      </c>
      <c r="F64">
        <v>1523</v>
      </c>
      <c r="G64">
        <v>40</v>
      </c>
      <c r="H64" t="s">
        <v>14</v>
      </c>
      <c r="I64" t="s">
        <v>22</v>
      </c>
      <c r="J64">
        <v>56</v>
      </c>
      <c r="K64">
        <v>34</v>
      </c>
      <c r="L64">
        <v>0</v>
      </c>
    </row>
    <row r="65" spans="1:12" x14ac:dyDescent="0.25">
      <c r="A65">
        <v>64</v>
      </c>
      <c r="B65" t="s">
        <v>143</v>
      </c>
      <c r="C65" t="s">
        <v>144</v>
      </c>
      <c r="D65" s="1">
        <v>45305.982083333336</v>
      </c>
      <c r="E65" s="1">
        <v>45306.028611111113</v>
      </c>
      <c r="F65">
        <v>352</v>
      </c>
      <c r="G65">
        <v>50</v>
      </c>
      <c r="H65" t="s">
        <v>21</v>
      </c>
      <c r="I65" t="s">
        <v>22</v>
      </c>
      <c r="J65">
        <v>176</v>
      </c>
      <c r="K65">
        <v>21</v>
      </c>
      <c r="L65">
        <v>150</v>
      </c>
    </row>
    <row r="66" spans="1:12" x14ac:dyDescent="0.25">
      <c r="A66">
        <v>65</v>
      </c>
      <c r="B66" t="s">
        <v>145</v>
      </c>
      <c r="C66" t="s">
        <v>146</v>
      </c>
      <c r="D66" s="1">
        <v>45325.055486111109</v>
      </c>
      <c r="E66" s="1">
        <v>45325.131180555552</v>
      </c>
      <c r="F66">
        <v>880</v>
      </c>
      <c r="G66">
        <v>40</v>
      </c>
      <c r="H66" t="s">
        <v>14</v>
      </c>
      <c r="I66" s="2">
        <v>0.1</v>
      </c>
      <c r="J66">
        <v>141</v>
      </c>
      <c r="K66">
        <v>30</v>
      </c>
      <c r="L66">
        <v>0</v>
      </c>
    </row>
    <row r="67" spans="1:12" x14ac:dyDescent="0.25">
      <c r="A67">
        <v>66</v>
      </c>
      <c r="B67" t="s">
        <v>147</v>
      </c>
      <c r="C67" t="s">
        <v>148</v>
      </c>
      <c r="D67" s="1">
        <v>45328.11041666667</v>
      </c>
      <c r="E67" s="1">
        <v>45328.166666666664</v>
      </c>
      <c r="F67">
        <v>902</v>
      </c>
      <c r="G67">
        <v>20</v>
      </c>
      <c r="H67" t="s">
        <v>21</v>
      </c>
      <c r="I67" t="s">
        <v>22</v>
      </c>
      <c r="J67">
        <v>152</v>
      </c>
      <c r="K67">
        <v>34</v>
      </c>
      <c r="L67">
        <v>100</v>
      </c>
    </row>
    <row r="68" spans="1:12" x14ac:dyDescent="0.25">
      <c r="A68">
        <v>67</v>
      </c>
      <c r="B68" t="s">
        <v>149</v>
      </c>
      <c r="C68" t="s">
        <v>150</v>
      </c>
      <c r="D68" s="1">
        <v>45311.827962962961</v>
      </c>
      <c r="E68" s="1">
        <v>45311.858518518522</v>
      </c>
      <c r="F68">
        <v>1111</v>
      </c>
      <c r="G68">
        <v>20</v>
      </c>
      <c r="H68" t="s">
        <v>18</v>
      </c>
      <c r="I68" t="s">
        <v>22</v>
      </c>
      <c r="J68">
        <v>102</v>
      </c>
      <c r="K68">
        <v>20</v>
      </c>
      <c r="L68">
        <v>50</v>
      </c>
    </row>
    <row r="69" spans="1:12" x14ac:dyDescent="0.25">
      <c r="A69">
        <v>68</v>
      </c>
      <c r="B69" t="s">
        <v>151</v>
      </c>
      <c r="C69" t="s">
        <v>152</v>
      </c>
      <c r="D69" s="1">
        <v>45326.117615740739</v>
      </c>
      <c r="E69" s="1">
        <v>45326.169699074075</v>
      </c>
      <c r="F69">
        <v>558</v>
      </c>
      <c r="G69">
        <v>30</v>
      </c>
      <c r="H69" t="s">
        <v>14</v>
      </c>
      <c r="I69" t="s">
        <v>28</v>
      </c>
      <c r="J69">
        <v>181</v>
      </c>
      <c r="K69">
        <v>18</v>
      </c>
      <c r="L69">
        <v>0</v>
      </c>
    </row>
    <row r="70" spans="1:12" x14ac:dyDescent="0.25">
      <c r="A70">
        <v>69</v>
      </c>
      <c r="B70" t="s">
        <v>153</v>
      </c>
      <c r="C70" t="s">
        <v>154</v>
      </c>
      <c r="D70" s="1">
        <v>45319.700150462966</v>
      </c>
      <c r="E70" s="1">
        <v>45319.736261574071</v>
      </c>
      <c r="F70">
        <v>1822</v>
      </c>
      <c r="G70">
        <v>30</v>
      </c>
      <c r="H70" t="s">
        <v>14</v>
      </c>
      <c r="I70" t="s">
        <v>15</v>
      </c>
      <c r="J70">
        <v>157</v>
      </c>
      <c r="K70">
        <v>34</v>
      </c>
      <c r="L70">
        <v>0</v>
      </c>
    </row>
    <row r="71" spans="1:12" x14ac:dyDescent="0.25">
      <c r="A71">
        <v>70</v>
      </c>
      <c r="B71" t="s">
        <v>155</v>
      </c>
      <c r="C71" t="s">
        <v>156</v>
      </c>
      <c r="D71" s="1">
        <v>45327.188275462962</v>
      </c>
      <c r="E71" s="1">
        <v>45327.216747685183</v>
      </c>
      <c r="F71">
        <v>1016</v>
      </c>
      <c r="G71">
        <v>30</v>
      </c>
      <c r="H71" t="s">
        <v>21</v>
      </c>
      <c r="I71" t="s">
        <v>28</v>
      </c>
      <c r="J71">
        <v>161</v>
      </c>
      <c r="K71">
        <v>44</v>
      </c>
      <c r="L71">
        <v>0</v>
      </c>
    </row>
    <row r="72" spans="1:12" x14ac:dyDescent="0.25">
      <c r="A72">
        <v>71</v>
      </c>
      <c r="B72" t="s">
        <v>157</v>
      </c>
      <c r="C72" t="s">
        <v>158</v>
      </c>
      <c r="D72" s="1">
        <v>45307.012453703705</v>
      </c>
      <c r="E72" s="1">
        <v>45307.063148148147</v>
      </c>
      <c r="F72">
        <v>598</v>
      </c>
      <c r="G72">
        <v>40</v>
      </c>
      <c r="H72" t="s">
        <v>21</v>
      </c>
      <c r="I72" t="s">
        <v>25</v>
      </c>
      <c r="J72">
        <v>56</v>
      </c>
      <c r="K72">
        <v>41</v>
      </c>
      <c r="L72">
        <v>0</v>
      </c>
    </row>
    <row r="73" spans="1:12" x14ac:dyDescent="0.25">
      <c r="A73">
        <v>72</v>
      </c>
      <c r="B73" t="s">
        <v>159</v>
      </c>
      <c r="C73" t="s">
        <v>160</v>
      </c>
      <c r="D73" s="1">
        <v>45312.127233796295</v>
      </c>
      <c r="E73" s="1">
        <v>45312.157789351855</v>
      </c>
      <c r="F73">
        <v>1049</v>
      </c>
      <c r="G73">
        <v>40</v>
      </c>
      <c r="H73" t="s">
        <v>14</v>
      </c>
      <c r="I73" t="s">
        <v>28</v>
      </c>
      <c r="J73">
        <v>116</v>
      </c>
      <c r="K73">
        <v>23</v>
      </c>
      <c r="L73">
        <v>0</v>
      </c>
    </row>
    <row r="74" spans="1:12" x14ac:dyDescent="0.25">
      <c r="A74">
        <v>73</v>
      </c>
      <c r="B74" t="s">
        <v>161</v>
      </c>
      <c r="C74" t="s">
        <v>162</v>
      </c>
      <c r="D74" s="1">
        <v>45305.667673611111</v>
      </c>
      <c r="E74" s="1">
        <v>45305.72184027778</v>
      </c>
      <c r="F74">
        <v>607</v>
      </c>
      <c r="G74">
        <v>50</v>
      </c>
      <c r="H74" t="s">
        <v>18</v>
      </c>
      <c r="I74" s="2">
        <v>0.1</v>
      </c>
      <c r="J74">
        <v>157</v>
      </c>
      <c r="K74">
        <v>10</v>
      </c>
      <c r="L74">
        <v>50</v>
      </c>
    </row>
    <row r="75" spans="1:12" x14ac:dyDescent="0.25">
      <c r="A75">
        <v>74</v>
      </c>
      <c r="B75" t="s">
        <v>163</v>
      </c>
      <c r="C75" t="s">
        <v>164</v>
      </c>
      <c r="D75" s="1">
        <v>45312.921412037038</v>
      </c>
      <c r="E75" s="1">
        <v>45312.956134259257</v>
      </c>
      <c r="F75">
        <v>1427</v>
      </c>
      <c r="G75">
        <v>30</v>
      </c>
      <c r="H75" t="s">
        <v>18</v>
      </c>
      <c r="I75" t="s">
        <v>15</v>
      </c>
      <c r="J75">
        <v>160</v>
      </c>
      <c r="K75">
        <v>26</v>
      </c>
      <c r="L75">
        <v>0</v>
      </c>
    </row>
    <row r="76" spans="1:12" x14ac:dyDescent="0.25">
      <c r="A76">
        <v>75</v>
      </c>
      <c r="B76" t="s">
        <v>165</v>
      </c>
      <c r="C76" t="s">
        <v>166</v>
      </c>
      <c r="D76" s="1">
        <v>45294.841967592591</v>
      </c>
      <c r="E76" s="1">
        <v>45294.872523148151</v>
      </c>
      <c r="F76">
        <v>600</v>
      </c>
      <c r="G76">
        <v>0</v>
      </c>
      <c r="H76" t="s">
        <v>21</v>
      </c>
      <c r="I76" s="2">
        <v>0.1</v>
      </c>
      <c r="J76">
        <v>197</v>
      </c>
      <c r="K76">
        <v>34</v>
      </c>
      <c r="L76">
        <v>0</v>
      </c>
    </row>
    <row r="77" spans="1:12" x14ac:dyDescent="0.25">
      <c r="A77">
        <v>76</v>
      </c>
      <c r="B77" t="s">
        <v>167</v>
      </c>
      <c r="C77" t="s">
        <v>168</v>
      </c>
      <c r="D77" s="1">
        <v>45323.810011574074</v>
      </c>
      <c r="E77" s="1">
        <v>45323.839872685188</v>
      </c>
      <c r="F77">
        <v>902</v>
      </c>
      <c r="G77">
        <v>50</v>
      </c>
      <c r="H77" t="s">
        <v>18</v>
      </c>
      <c r="I77" t="s">
        <v>25</v>
      </c>
      <c r="J77">
        <v>132</v>
      </c>
      <c r="K77">
        <v>17</v>
      </c>
      <c r="L77">
        <v>150</v>
      </c>
    </row>
    <row r="78" spans="1:12" x14ac:dyDescent="0.25">
      <c r="A78">
        <v>77</v>
      </c>
      <c r="B78" t="s">
        <v>169</v>
      </c>
      <c r="C78" t="s">
        <v>170</v>
      </c>
      <c r="D78" s="1">
        <v>45314.273159722223</v>
      </c>
      <c r="E78" s="1">
        <v>45314.322465277779</v>
      </c>
      <c r="F78">
        <v>697</v>
      </c>
      <c r="G78">
        <v>0</v>
      </c>
      <c r="H78" t="s">
        <v>18</v>
      </c>
      <c r="I78" t="s">
        <v>15</v>
      </c>
      <c r="J78">
        <v>173</v>
      </c>
      <c r="K78">
        <v>14</v>
      </c>
      <c r="L78">
        <v>0</v>
      </c>
    </row>
    <row r="79" spans="1:12" x14ac:dyDescent="0.25">
      <c r="A79">
        <v>78</v>
      </c>
      <c r="B79" t="s">
        <v>171</v>
      </c>
      <c r="C79" t="s">
        <v>172</v>
      </c>
      <c r="D79" s="1">
        <v>45313.94699074074</v>
      </c>
      <c r="E79" s="1">
        <v>45314.022685185184</v>
      </c>
      <c r="F79">
        <v>265</v>
      </c>
      <c r="G79">
        <v>40</v>
      </c>
      <c r="H79" t="s">
        <v>21</v>
      </c>
      <c r="I79" t="s">
        <v>22</v>
      </c>
      <c r="J79">
        <v>188</v>
      </c>
      <c r="K79">
        <v>14</v>
      </c>
      <c r="L79">
        <v>0</v>
      </c>
    </row>
    <row r="80" spans="1:12" x14ac:dyDescent="0.25">
      <c r="A80">
        <v>79</v>
      </c>
      <c r="B80" t="s">
        <v>173</v>
      </c>
      <c r="C80" t="s">
        <v>174</v>
      </c>
      <c r="D80" s="1">
        <v>45328.328055555554</v>
      </c>
      <c r="E80" s="1">
        <v>45328.358611111114</v>
      </c>
      <c r="F80">
        <v>1538</v>
      </c>
      <c r="G80">
        <v>50</v>
      </c>
      <c r="H80" t="s">
        <v>18</v>
      </c>
      <c r="I80" t="s">
        <v>28</v>
      </c>
      <c r="J80">
        <v>153</v>
      </c>
      <c r="K80">
        <v>50</v>
      </c>
      <c r="L80">
        <v>0</v>
      </c>
    </row>
    <row r="81" spans="1:12" x14ac:dyDescent="0.25">
      <c r="A81">
        <v>80</v>
      </c>
      <c r="B81" t="s">
        <v>175</v>
      </c>
      <c r="C81" t="s">
        <v>176</v>
      </c>
      <c r="D81" s="1">
        <v>45293.695254629631</v>
      </c>
      <c r="E81" s="1">
        <v>45293.759143518517</v>
      </c>
      <c r="F81">
        <v>561</v>
      </c>
      <c r="G81">
        <v>50</v>
      </c>
      <c r="H81" t="s">
        <v>21</v>
      </c>
      <c r="I81" s="2">
        <v>0.1</v>
      </c>
      <c r="J81">
        <v>116</v>
      </c>
      <c r="K81">
        <v>44</v>
      </c>
      <c r="L81">
        <v>150</v>
      </c>
    </row>
    <row r="82" spans="1:12" x14ac:dyDescent="0.25">
      <c r="A82">
        <v>81</v>
      </c>
      <c r="B82" t="s">
        <v>177</v>
      </c>
      <c r="C82" t="s">
        <v>178</v>
      </c>
      <c r="D82" s="1">
        <v>45323.72997685185</v>
      </c>
      <c r="E82" s="1">
        <v>45323.797337962962</v>
      </c>
      <c r="F82">
        <v>1019</v>
      </c>
      <c r="G82">
        <v>20</v>
      </c>
      <c r="H82" t="s">
        <v>14</v>
      </c>
      <c r="I82" t="s">
        <v>25</v>
      </c>
      <c r="J82">
        <v>56</v>
      </c>
      <c r="K82">
        <v>28</v>
      </c>
      <c r="L82">
        <v>150</v>
      </c>
    </row>
    <row r="83" spans="1:12" x14ac:dyDescent="0.25">
      <c r="A83">
        <v>82</v>
      </c>
      <c r="B83" t="s">
        <v>179</v>
      </c>
      <c r="C83" t="s">
        <v>180</v>
      </c>
      <c r="D83" s="1">
        <v>45307.824340277781</v>
      </c>
      <c r="E83" s="1">
        <v>45307.863229166665</v>
      </c>
      <c r="F83">
        <v>213</v>
      </c>
      <c r="G83">
        <v>40</v>
      </c>
      <c r="H83" t="s">
        <v>21</v>
      </c>
      <c r="I83" t="s">
        <v>22</v>
      </c>
      <c r="J83">
        <v>200</v>
      </c>
      <c r="K83">
        <v>32</v>
      </c>
      <c r="L83">
        <v>0</v>
      </c>
    </row>
    <row r="84" spans="1:12" x14ac:dyDescent="0.25">
      <c r="A84">
        <v>83</v>
      </c>
      <c r="B84" t="s">
        <v>181</v>
      </c>
      <c r="C84" t="s">
        <v>182</v>
      </c>
      <c r="D84" s="1">
        <v>45304.212337962963</v>
      </c>
      <c r="E84" s="1">
        <v>45304.292893518519</v>
      </c>
      <c r="F84">
        <v>1556</v>
      </c>
      <c r="G84">
        <v>40</v>
      </c>
      <c r="H84" t="s">
        <v>14</v>
      </c>
      <c r="I84" t="s">
        <v>28</v>
      </c>
      <c r="J84">
        <v>159</v>
      </c>
      <c r="K84">
        <v>18</v>
      </c>
      <c r="L84">
        <v>0</v>
      </c>
    </row>
    <row r="85" spans="1:12" x14ac:dyDescent="0.25">
      <c r="A85">
        <v>84</v>
      </c>
      <c r="B85" t="s">
        <v>183</v>
      </c>
      <c r="C85" t="s">
        <v>184</v>
      </c>
      <c r="D85" s="1">
        <v>45320.102789351855</v>
      </c>
      <c r="E85" s="1">
        <v>45320.159733796296</v>
      </c>
      <c r="F85">
        <v>1091</v>
      </c>
      <c r="G85">
        <v>50</v>
      </c>
      <c r="H85" t="s">
        <v>14</v>
      </c>
      <c r="I85" t="s">
        <v>22</v>
      </c>
      <c r="J85">
        <v>83</v>
      </c>
      <c r="K85">
        <v>39</v>
      </c>
      <c r="L85">
        <v>0</v>
      </c>
    </row>
    <row r="86" spans="1:12" x14ac:dyDescent="0.25">
      <c r="A86">
        <v>85</v>
      </c>
      <c r="B86" t="s">
        <v>185</v>
      </c>
      <c r="C86" t="s">
        <v>186</v>
      </c>
      <c r="D86" s="1">
        <v>45292.915983796294</v>
      </c>
      <c r="E86" s="1">
        <v>45292.972233796296</v>
      </c>
      <c r="F86">
        <v>1479</v>
      </c>
      <c r="G86">
        <v>40</v>
      </c>
      <c r="H86" t="s">
        <v>18</v>
      </c>
      <c r="I86" t="s">
        <v>28</v>
      </c>
      <c r="J86">
        <v>155</v>
      </c>
      <c r="K86">
        <v>25</v>
      </c>
      <c r="L86">
        <v>0</v>
      </c>
    </row>
    <row r="87" spans="1:12" x14ac:dyDescent="0.25">
      <c r="A87">
        <v>86</v>
      </c>
      <c r="B87" t="s">
        <v>187</v>
      </c>
      <c r="C87" t="s">
        <v>188</v>
      </c>
      <c r="D87" s="1">
        <v>45292.140219907407</v>
      </c>
      <c r="E87" s="1">
        <v>45292.204108796293</v>
      </c>
      <c r="F87">
        <v>1818</v>
      </c>
      <c r="G87">
        <v>50</v>
      </c>
      <c r="H87" t="s">
        <v>18</v>
      </c>
      <c r="I87" t="s">
        <v>15</v>
      </c>
      <c r="J87">
        <v>196</v>
      </c>
      <c r="K87">
        <v>42</v>
      </c>
      <c r="L87">
        <v>0</v>
      </c>
    </row>
    <row r="88" spans="1:12" x14ac:dyDescent="0.25">
      <c r="A88">
        <v>87</v>
      </c>
      <c r="B88" t="s">
        <v>189</v>
      </c>
      <c r="C88" t="s">
        <v>190</v>
      </c>
      <c r="D88" s="1">
        <v>45328.860995370371</v>
      </c>
      <c r="E88" s="1">
        <v>45328.931828703702</v>
      </c>
      <c r="F88">
        <v>306</v>
      </c>
      <c r="G88">
        <v>20</v>
      </c>
      <c r="H88" t="s">
        <v>18</v>
      </c>
      <c r="I88" t="s">
        <v>22</v>
      </c>
      <c r="J88">
        <v>107</v>
      </c>
      <c r="K88">
        <v>11</v>
      </c>
      <c r="L88">
        <v>100</v>
      </c>
    </row>
    <row r="89" spans="1:12" x14ac:dyDescent="0.25">
      <c r="A89">
        <v>88</v>
      </c>
      <c r="B89" t="s">
        <v>191</v>
      </c>
      <c r="C89" t="s">
        <v>192</v>
      </c>
      <c r="D89" s="1">
        <v>45325.639988425923</v>
      </c>
      <c r="E89" s="1">
        <v>45325.696932870371</v>
      </c>
      <c r="F89">
        <v>1891</v>
      </c>
      <c r="G89">
        <v>50</v>
      </c>
      <c r="H89" t="s">
        <v>21</v>
      </c>
      <c r="I89" t="s">
        <v>22</v>
      </c>
      <c r="J89">
        <v>58</v>
      </c>
      <c r="K89">
        <v>23</v>
      </c>
      <c r="L89">
        <v>0</v>
      </c>
    </row>
    <row r="90" spans="1:12" x14ac:dyDescent="0.25">
      <c r="A90">
        <v>89</v>
      </c>
      <c r="B90" t="s">
        <v>193</v>
      </c>
      <c r="C90" t="s">
        <v>194</v>
      </c>
      <c r="D90" s="1">
        <v>45307.547175925924</v>
      </c>
      <c r="E90" s="1">
        <v>45307.606898148151</v>
      </c>
      <c r="F90">
        <v>1358</v>
      </c>
      <c r="G90">
        <v>40</v>
      </c>
      <c r="H90" t="s">
        <v>18</v>
      </c>
      <c r="I90" t="s">
        <v>22</v>
      </c>
      <c r="J90">
        <v>97</v>
      </c>
      <c r="K90">
        <v>10</v>
      </c>
      <c r="L90">
        <v>0</v>
      </c>
    </row>
    <row r="91" spans="1:12" x14ac:dyDescent="0.25">
      <c r="A91">
        <v>90</v>
      </c>
      <c r="B91" t="s">
        <v>195</v>
      </c>
      <c r="C91" t="s">
        <v>196</v>
      </c>
      <c r="D91" s="1">
        <v>45320.792025462964</v>
      </c>
      <c r="E91" s="1">
        <v>45320.848275462966</v>
      </c>
      <c r="F91">
        <v>1565</v>
      </c>
      <c r="G91">
        <v>40</v>
      </c>
      <c r="H91" t="s">
        <v>14</v>
      </c>
      <c r="I91" t="s">
        <v>15</v>
      </c>
      <c r="J91">
        <v>164</v>
      </c>
      <c r="K91">
        <v>35</v>
      </c>
      <c r="L91">
        <v>0</v>
      </c>
    </row>
    <row r="92" spans="1:12" x14ac:dyDescent="0.25">
      <c r="A92">
        <v>91</v>
      </c>
      <c r="B92" t="s">
        <v>197</v>
      </c>
      <c r="C92" t="s">
        <v>198</v>
      </c>
      <c r="D92" s="1">
        <v>45310.227233796293</v>
      </c>
      <c r="E92" s="1">
        <v>45310.277233796296</v>
      </c>
      <c r="F92">
        <v>1478</v>
      </c>
      <c r="G92">
        <v>50</v>
      </c>
      <c r="H92" t="s">
        <v>18</v>
      </c>
      <c r="I92" t="s">
        <v>25</v>
      </c>
      <c r="J92">
        <v>90</v>
      </c>
      <c r="K92">
        <v>34</v>
      </c>
      <c r="L92">
        <v>0</v>
      </c>
    </row>
    <row r="93" spans="1:12" x14ac:dyDescent="0.25">
      <c r="A93">
        <v>92</v>
      </c>
      <c r="B93" t="s">
        <v>199</v>
      </c>
      <c r="C93" t="s">
        <v>200</v>
      </c>
      <c r="D93" s="1">
        <v>45325.881215277775</v>
      </c>
      <c r="E93" s="1">
        <v>45325.906215277777</v>
      </c>
      <c r="F93">
        <v>614</v>
      </c>
      <c r="G93">
        <v>50</v>
      </c>
      <c r="H93" t="s">
        <v>18</v>
      </c>
      <c r="I93" t="s">
        <v>28</v>
      </c>
      <c r="J93">
        <v>97</v>
      </c>
      <c r="K93">
        <v>25</v>
      </c>
      <c r="L93">
        <v>150</v>
      </c>
    </row>
    <row r="94" spans="1:12" x14ac:dyDescent="0.25">
      <c r="A94">
        <v>93</v>
      </c>
      <c r="B94" t="s">
        <v>201</v>
      </c>
      <c r="C94" t="s">
        <v>202</v>
      </c>
      <c r="D94" s="1">
        <v>45315.714016203703</v>
      </c>
      <c r="E94" s="1">
        <v>45315.763321759259</v>
      </c>
      <c r="F94">
        <v>1331</v>
      </c>
      <c r="G94">
        <v>50</v>
      </c>
      <c r="H94" t="s">
        <v>21</v>
      </c>
      <c r="I94" t="s">
        <v>22</v>
      </c>
      <c r="J94">
        <v>74</v>
      </c>
      <c r="K94">
        <v>24</v>
      </c>
      <c r="L94">
        <v>50</v>
      </c>
    </row>
    <row r="95" spans="1:12" x14ac:dyDescent="0.25">
      <c r="A95">
        <v>94</v>
      </c>
      <c r="B95" t="s">
        <v>203</v>
      </c>
      <c r="C95" t="s">
        <v>204</v>
      </c>
      <c r="D95" s="1">
        <v>45320.875439814816</v>
      </c>
      <c r="E95" s="1">
        <v>45320.898356481484</v>
      </c>
      <c r="F95">
        <v>808</v>
      </c>
      <c r="G95">
        <v>30</v>
      </c>
      <c r="H95" t="s">
        <v>21</v>
      </c>
      <c r="I95" t="s">
        <v>15</v>
      </c>
      <c r="J95">
        <v>165</v>
      </c>
      <c r="K95">
        <v>35</v>
      </c>
      <c r="L95">
        <v>0</v>
      </c>
    </row>
    <row r="96" spans="1:12" x14ac:dyDescent="0.25">
      <c r="A96">
        <v>95</v>
      </c>
      <c r="B96" t="s">
        <v>205</v>
      </c>
      <c r="C96" t="s">
        <v>206</v>
      </c>
      <c r="D96" s="1">
        <v>45305.546747685185</v>
      </c>
      <c r="E96" s="1">
        <v>45305.614803240744</v>
      </c>
      <c r="F96">
        <v>1976</v>
      </c>
      <c r="G96">
        <v>40</v>
      </c>
      <c r="H96" t="s">
        <v>14</v>
      </c>
      <c r="I96" t="s">
        <v>25</v>
      </c>
      <c r="J96">
        <v>127</v>
      </c>
      <c r="K96">
        <v>25</v>
      </c>
      <c r="L96">
        <v>50</v>
      </c>
    </row>
    <row r="97" spans="1:12" x14ac:dyDescent="0.25">
      <c r="A97">
        <v>96</v>
      </c>
      <c r="B97" t="s">
        <v>207</v>
      </c>
      <c r="C97" t="s">
        <v>116</v>
      </c>
      <c r="D97" s="1">
        <v>45301.220567129632</v>
      </c>
      <c r="E97" s="1">
        <v>45301.24417824074</v>
      </c>
      <c r="F97">
        <v>1248</v>
      </c>
      <c r="G97">
        <v>40</v>
      </c>
      <c r="H97" t="s">
        <v>21</v>
      </c>
      <c r="I97" t="s">
        <v>28</v>
      </c>
      <c r="J97">
        <v>157</v>
      </c>
      <c r="K97">
        <v>23</v>
      </c>
      <c r="L97">
        <v>0</v>
      </c>
    </row>
    <row r="98" spans="1:12" x14ac:dyDescent="0.25">
      <c r="A98">
        <v>97</v>
      </c>
      <c r="B98" t="s">
        <v>208</v>
      </c>
      <c r="C98" t="s">
        <v>209</v>
      </c>
      <c r="D98" s="1">
        <v>45299.491851851853</v>
      </c>
      <c r="E98" s="1">
        <v>45299.564074074071</v>
      </c>
      <c r="F98">
        <v>237</v>
      </c>
      <c r="G98">
        <v>30</v>
      </c>
      <c r="H98" t="s">
        <v>18</v>
      </c>
      <c r="I98" t="s">
        <v>15</v>
      </c>
      <c r="J98">
        <v>74</v>
      </c>
      <c r="K98">
        <v>38</v>
      </c>
      <c r="L98">
        <v>0</v>
      </c>
    </row>
    <row r="99" spans="1:12" x14ac:dyDescent="0.25">
      <c r="A99">
        <v>98</v>
      </c>
      <c r="B99" t="s">
        <v>210</v>
      </c>
      <c r="C99" t="s">
        <v>211</v>
      </c>
      <c r="D99" s="1">
        <v>45309.93173611111</v>
      </c>
      <c r="E99" s="1">
        <v>45310.007430555554</v>
      </c>
      <c r="F99">
        <v>438</v>
      </c>
      <c r="G99">
        <v>50</v>
      </c>
      <c r="H99" t="s">
        <v>21</v>
      </c>
      <c r="I99" t="s">
        <v>28</v>
      </c>
      <c r="J99">
        <v>196</v>
      </c>
      <c r="K99">
        <v>33</v>
      </c>
      <c r="L99">
        <v>0</v>
      </c>
    </row>
    <row r="100" spans="1:12" x14ac:dyDescent="0.25">
      <c r="A100">
        <v>99</v>
      </c>
      <c r="B100" t="s">
        <v>212</v>
      </c>
      <c r="C100" t="s">
        <v>213</v>
      </c>
      <c r="D100" s="1">
        <v>45328.145266203705</v>
      </c>
      <c r="E100" s="1">
        <v>45328.193877314814</v>
      </c>
      <c r="F100">
        <v>636</v>
      </c>
      <c r="G100">
        <v>20</v>
      </c>
      <c r="H100" t="s">
        <v>14</v>
      </c>
      <c r="I100" t="s">
        <v>22</v>
      </c>
      <c r="J100">
        <v>88</v>
      </c>
      <c r="K100">
        <v>24</v>
      </c>
      <c r="L100">
        <v>0</v>
      </c>
    </row>
    <row r="101" spans="1:12" x14ac:dyDescent="0.25">
      <c r="A101">
        <v>100</v>
      </c>
      <c r="B101" t="s">
        <v>214</v>
      </c>
      <c r="C101" t="s">
        <v>215</v>
      </c>
      <c r="D101" s="1">
        <v>45311.429247685184</v>
      </c>
      <c r="E101" s="1">
        <v>45311.452164351853</v>
      </c>
      <c r="F101">
        <v>167</v>
      </c>
      <c r="G101">
        <v>50</v>
      </c>
      <c r="H101" t="s">
        <v>18</v>
      </c>
      <c r="I101" t="s">
        <v>25</v>
      </c>
      <c r="J101">
        <v>168</v>
      </c>
      <c r="K101">
        <v>28</v>
      </c>
      <c r="L101">
        <v>0</v>
      </c>
    </row>
    <row r="102" spans="1:12" x14ac:dyDescent="0.25">
      <c r="A102">
        <v>101</v>
      </c>
      <c r="B102" t="s">
        <v>216</v>
      </c>
      <c r="C102" t="s">
        <v>217</v>
      </c>
      <c r="D102" s="1">
        <v>45301.260428240741</v>
      </c>
      <c r="E102" s="1">
        <v>45301.281956018516</v>
      </c>
      <c r="F102">
        <v>1696</v>
      </c>
      <c r="G102">
        <v>50</v>
      </c>
      <c r="H102" t="s">
        <v>14</v>
      </c>
      <c r="I102" t="s">
        <v>15</v>
      </c>
      <c r="J102">
        <v>128</v>
      </c>
      <c r="K102">
        <v>17</v>
      </c>
      <c r="L102">
        <v>0</v>
      </c>
    </row>
    <row r="103" spans="1:12" x14ac:dyDescent="0.25">
      <c r="A103">
        <v>102</v>
      </c>
      <c r="B103" t="s">
        <v>218</v>
      </c>
      <c r="C103" t="s">
        <v>219</v>
      </c>
      <c r="D103" s="1">
        <v>45314.678310185183</v>
      </c>
      <c r="E103" s="1">
        <v>45314.744976851849</v>
      </c>
      <c r="F103">
        <v>1664</v>
      </c>
      <c r="G103">
        <v>30</v>
      </c>
      <c r="H103" t="s">
        <v>21</v>
      </c>
      <c r="I103" t="s">
        <v>25</v>
      </c>
      <c r="J103">
        <v>129</v>
      </c>
      <c r="K103">
        <v>43</v>
      </c>
      <c r="L103">
        <v>0</v>
      </c>
    </row>
    <row r="104" spans="1:12" x14ac:dyDescent="0.25">
      <c r="A104">
        <v>103</v>
      </c>
      <c r="B104" t="s">
        <v>220</v>
      </c>
      <c r="C104" t="s">
        <v>221</v>
      </c>
      <c r="D104" s="1">
        <v>45311.48542824074</v>
      </c>
      <c r="E104" s="1">
        <v>45311.520150462966</v>
      </c>
      <c r="F104">
        <v>482</v>
      </c>
      <c r="G104">
        <v>40</v>
      </c>
      <c r="H104" t="s">
        <v>21</v>
      </c>
      <c r="I104" t="s">
        <v>22</v>
      </c>
      <c r="J104">
        <v>76</v>
      </c>
      <c r="K104">
        <v>11</v>
      </c>
      <c r="L104">
        <v>0</v>
      </c>
    </row>
    <row r="105" spans="1:12" x14ac:dyDescent="0.25">
      <c r="A105">
        <v>104</v>
      </c>
      <c r="B105" t="s">
        <v>222</v>
      </c>
      <c r="C105" t="s">
        <v>223</v>
      </c>
      <c r="D105" s="1">
        <v>45313.062754629631</v>
      </c>
      <c r="E105" s="1">
        <v>45313.131504629629</v>
      </c>
      <c r="F105">
        <v>118</v>
      </c>
      <c r="G105">
        <v>50</v>
      </c>
      <c r="H105" t="s">
        <v>14</v>
      </c>
      <c r="I105" t="s">
        <v>25</v>
      </c>
      <c r="J105">
        <v>153</v>
      </c>
      <c r="K105">
        <v>36</v>
      </c>
      <c r="L105">
        <v>0</v>
      </c>
    </row>
    <row r="106" spans="1:12" x14ac:dyDescent="0.25">
      <c r="A106">
        <v>105</v>
      </c>
      <c r="B106" t="s">
        <v>224</v>
      </c>
      <c r="C106" t="s">
        <v>225</v>
      </c>
      <c r="D106" s="1">
        <v>45304.08630787037</v>
      </c>
      <c r="E106" s="1">
        <v>45304.136307870373</v>
      </c>
      <c r="F106">
        <v>782</v>
      </c>
      <c r="G106">
        <v>40</v>
      </c>
      <c r="H106" t="s">
        <v>18</v>
      </c>
      <c r="I106" t="s">
        <v>25</v>
      </c>
      <c r="J106">
        <v>123</v>
      </c>
      <c r="K106">
        <v>19</v>
      </c>
      <c r="L106">
        <v>0</v>
      </c>
    </row>
    <row r="107" spans="1:12" x14ac:dyDescent="0.25">
      <c r="A107">
        <v>106</v>
      </c>
      <c r="B107" t="s">
        <v>226</v>
      </c>
      <c r="C107" t="s">
        <v>227</v>
      </c>
      <c r="D107" s="1">
        <v>45316.83185185185</v>
      </c>
      <c r="E107" s="1">
        <v>45316.908935185187</v>
      </c>
      <c r="F107">
        <v>1573</v>
      </c>
      <c r="G107">
        <v>0</v>
      </c>
      <c r="H107" t="s">
        <v>21</v>
      </c>
      <c r="I107" s="2">
        <v>0.1</v>
      </c>
      <c r="J107">
        <v>117</v>
      </c>
      <c r="K107">
        <v>44</v>
      </c>
      <c r="L107">
        <v>0</v>
      </c>
    </row>
    <row r="108" spans="1:12" x14ac:dyDescent="0.25">
      <c r="A108">
        <v>107</v>
      </c>
      <c r="B108" t="s">
        <v>228</v>
      </c>
      <c r="C108" t="s">
        <v>229</v>
      </c>
      <c r="D108" s="1">
        <v>45303.168032407404</v>
      </c>
      <c r="E108" s="1">
        <v>45303.236087962963</v>
      </c>
      <c r="F108">
        <v>173</v>
      </c>
      <c r="G108">
        <v>40</v>
      </c>
      <c r="H108" t="s">
        <v>21</v>
      </c>
      <c r="I108" t="s">
        <v>25</v>
      </c>
      <c r="J108">
        <v>196</v>
      </c>
      <c r="K108">
        <v>32</v>
      </c>
      <c r="L108">
        <v>50</v>
      </c>
    </row>
    <row r="109" spans="1:12" x14ac:dyDescent="0.25">
      <c r="A109">
        <v>108</v>
      </c>
      <c r="B109" t="s">
        <v>230</v>
      </c>
      <c r="C109" t="s">
        <v>231</v>
      </c>
      <c r="D109" s="1">
        <v>45297.749513888892</v>
      </c>
      <c r="E109" s="1">
        <v>45297.775902777779</v>
      </c>
      <c r="F109">
        <v>672</v>
      </c>
      <c r="G109">
        <v>20</v>
      </c>
      <c r="H109" t="s">
        <v>18</v>
      </c>
      <c r="I109" t="s">
        <v>28</v>
      </c>
      <c r="J109">
        <v>77</v>
      </c>
      <c r="K109">
        <v>17</v>
      </c>
      <c r="L109">
        <v>0</v>
      </c>
    </row>
    <row r="110" spans="1:12" x14ac:dyDescent="0.25">
      <c r="A110">
        <v>109</v>
      </c>
      <c r="B110" t="s">
        <v>232</v>
      </c>
      <c r="C110" t="s">
        <v>233</v>
      </c>
      <c r="D110" s="1">
        <v>45305.833622685182</v>
      </c>
      <c r="E110" s="1">
        <v>45305.912094907406</v>
      </c>
      <c r="F110">
        <v>1038</v>
      </c>
      <c r="G110">
        <v>20</v>
      </c>
      <c r="H110" t="s">
        <v>21</v>
      </c>
      <c r="I110" t="s">
        <v>15</v>
      </c>
      <c r="J110">
        <v>172</v>
      </c>
      <c r="K110">
        <v>37</v>
      </c>
      <c r="L110">
        <v>100</v>
      </c>
    </row>
    <row r="111" spans="1:12" x14ac:dyDescent="0.25">
      <c r="A111">
        <v>110</v>
      </c>
      <c r="B111" t="s">
        <v>234</v>
      </c>
      <c r="C111" t="s">
        <v>235</v>
      </c>
      <c r="D111" s="1">
        <v>45305.587152777778</v>
      </c>
      <c r="E111" s="1">
        <v>45305.626736111109</v>
      </c>
      <c r="F111">
        <v>1788</v>
      </c>
      <c r="G111">
        <v>50</v>
      </c>
      <c r="H111" t="s">
        <v>14</v>
      </c>
      <c r="I111" s="2">
        <v>0.1</v>
      </c>
      <c r="J111">
        <v>187</v>
      </c>
      <c r="K111">
        <v>32</v>
      </c>
      <c r="L111">
        <v>0</v>
      </c>
    </row>
    <row r="112" spans="1:12" x14ac:dyDescent="0.25">
      <c r="A112">
        <v>111</v>
      </c>
      <c r="B112" t="s">
        <v>236</v>
      </c>
      <c r="C112" t="s">
        <v>237</v>
      </c>
      <c r="D112" s="1">
        <v>45323.359363425923</v>
      </c>
      <c r="E112" s="1">
        <v>45323.397557870368</v>
      </c>
      <c r="F112">
        <v>1399</v>
      </c>
      <c r="G112">
        <v>40</v>
      </c>
      <c r="H112" t="s">
        <v>21</v>
      </c>
      <c r="I112" t="s">
        <v>15</v>
      </c>
      <c r="J112">
        <v>132</v>
      </c>
      <c r="K112">
        <v>13</v>
      </c>
      <c r="L112">
        <v>150</v>
      </c>
    </row>
    <row r="113" spans="1:12" x14ac:dyDescent="0.25">
      <c r="A113">
        <v>112</v>
      </c>
      <c r="B113" t="s">
        <v>238</v>
      </c>
      <c r="C113" t="s">
        <v>239</v>
      </c>
      <c r="D113" s="1">
        <v>45297.192418981482</v>
      </c>
      <c r="E113" s="1">
        <v>45297.269502314812</v>
      </c>
      <c r="F113">
        <v>1171</v>
      </c>
      <c r="G113">
        <v>50</v>
      </c>
      <c r="H113" t="s">
        <v>21</v>
      </c>
      <c r="I113" t="s">
        <v>15</v>
      </c>
      <c r="J113">
        <v>79</v>
      </c>
      <c r="K113">
        <v>23</v>
      </c>
      <c r="L113">
        <v>0</v>
      </c>
    </row>
    <row r="114" spans="1:12" x14ac:dyDescent="0.25">
      <c r="A114">
        <v>113</v>
      </c>
      <c r="B114" t="s">
        <v>240</v>
      </c>
      <c r="C114" t="s">
        <v>241</v>
      </c>
      <c r="D114" s="1">
        <v>45292.331307870372</v>
      </c>
      <c r="E114" s="1">
        <v>45292.409085648149</v>
      </c>
      <c r="F114">
        <v>310</v>
      </c>
      <c r="G114">
        <v>30</v>
      </c>
      <c r="H114" t="s">
        <v>18</v>
      </c>
      <c r="I114" t="s">
        <v>22</v>
      </c>
      <c r="J114">
        <v>71</v>
      </c>
      <c r="K114">
        <v>38</v>
      </c>
      <c r="L114">
        <v>0</v>
      </c>
    </row>
    <row r="115" spans="1:12" x14ac:dyDescent="0.25">
      <c r="A115">
        <v>114</v>
      </c>
      <c r="B115" t="s">
        <v>242</v>
      </c>
      <c r="C115" t="s">
        <v>243</v>
      </c>
      <c r="D115" s="1">
        <v>45324.795740740738</v>
      </c>
      <c r="E115" s="1">
        <v>45324.817962962959</v>
      </c>
      <c r="F115">
        <v>954</v>
      </c>
      <c r="G115">
        <v>20</v>
      </c>
      <c r="H115" t="s">
        <v>14</v>
      </c>
      <c r="I115" t="s">
        <v>22</v>
      </c>
      <c r="J115">
        <v>52</v>
      </c>
      <c r="K115">
        <v>10</v>
      </c>
      <c r="L115">
        <v>0</v>
      </c>
    </row>
    <row r="116" spans="1:12" x14ac:dyDescent="0.25">
      <c r="A116">
        <v>115</v>
      </c>
      <c r="B116" t="s">
        <v>244</v>
      </c>
      <c r="C116" t="s">
        <v>245</v>
      </c>
      <c r="D116" s="1">
        <v>45328.831192129626</v>
      </c>
      <c r="E116" s="1">
        <v>45328.902025462965</v>
      </c>
      <c r="F116">
        <v>750</v>
      </c>
      <c r="G116">
        <v>50</v>
      </c>
      <c r="H116" t="s">
        <v>18</v>
      </c>
      <c r="I116" s="2">
        <v>0.1</v>
      </c>
      <c r="J116">
        <v>150</v>
      </c>
      <c r="K116">
        <v>13</v>
      </c>
      <c r="L116">
        <v>0</v>
      </c>
    </row>
    <row r="117" spans="1:12" x14ac:dyDescent="0.25">
      <c r="A117">
        <v>116</v>
      </c>
      <c r="B117" t="s">
        <v>246</v>
      </c>
      <c r="C117" t="s">
        <v>247</v>
      </c>
      <c r="D117" s="1">
        <v>45309.449421296296</v>
      </c>
      <c r="E117" s="1">
        <v>45309.503587962965</v>
      </c>
      <c r="F117">
        <v>1745</v>
      </c>
      <c r="G117">
        <v>30</v>
      </c>
      <c r="H117" t="s">
        <v>21</v>
      </c>
      <c r="I117" t="s">
        <v>22</v>
      </c>
      <c r="J117">
        <v>154</v>
      </c>
      <c r="K117">
        <v>41</v>
      </c>
      <c r="L117">
        <v>0</v>
      </c>
    </row>
    <row r="118" spans="1:12" x14ac:dyDescent="0.25">
      <c r="A118">
        <v>117</v>
      </c>
      <c r="B118" t="s">
        <v>248</v>
      </c>
      <c r="C118" t="s">
        <v>249</v>
      </c>
      <c r="D118" s="1">
        <v>45306.776006944441</v>
      </c>
      <c r="E118" s="1">
        <v>45306.807951388888</v>
      </c>
      <c r="F118">
        <v>1093</v>
      </c>
      <c r="G118">
        <v>50</v>
      </c>
      <c r="H118" t="s">
        <v>21</v>
      </c>
      <c r="I118" t="s">
        <v>22</v>
      </c>
      <c r="J118">
        <v>51</v>
      </c>
      <c r="K118">
        <v>42</v>
      </c>
      <c r="L118">
        <v>0</v>
      </c>
    </row>
    <row r="119" spans="1:12" x14ac:dyDescent="0.25">
      <c r="A119">
        <v>118</v>
      </c>
      <c r="B119" t="s">
        <v>250</v>
      </c>
      <c r="C119" t="s">
        <v>251</v>
      </c>
      <c r="D119" s="1">
        <v>45297.648275462961</v>
      </c>
      <c r="E119" s="1">
        <v>45297.712164351855</v>
      </c>
      <c r="F119">
        <v>794</v>
      </c>
      <c r="G119">
        <v>40</v>
      </c>
      <c r="H119" t="s">
        <v>18</v>
      </c>
      <c r="I119" t="s">
        <v>22</v>
      </c>
      <c r="J119">
        <v>103</v>
      </c>
      <c r="K119">
        <v>35</v>
      </c>
      <c r="L119">
        <v>0</v>
      </c>
    </row>
    <row r="120" spans="1:12" x14ac:dyDescent="0.25">
      <c r="A120">
        <v>119</v>
      </c>
      <c r="B120" t="s">
        <v>252</v>
      </c>
      <c r="C120" t="s">
        <v>253</v>
      </c>
      <c r="D120" s="1">
        <v>45306.148969907408</v>
      </c>
      <c r="E120" s="1">
        <v>45306.207303240742</v>
      </c>
      <c r="F120">
        <v>639</v>
      </c>
      <c r="G120">
        <v>40</v>
      </c>
      <c r="H120" t="s">
        <v>18</v>
      </c>
      <c r="I120" t="s">
        <v>15</v>
      </c>
      <c r="J120">
        <v>55</v>
      </c>
      <c r="K120">
        <v>26</v>
      </c>
      <c r="L120">
        <v>50</v>
      </c>
    </row>
    <row r="121" spans="1:12" x14ac:dyDescent="0.25">
      <c r="A121">
        <v>120</v>
      </c>
      <c r="B121" t="s">
        <v>254</v>
      </c>
      <c r="C121" t="s">
        <v>255</v>
      </c>
      <c r="D121" s="1">
        <v>45321.254351851851</v>
      </c>
      <c r="E121" s="1">
        <v>45321.290462962963</v>
      </c>
      <c r="F121">
        <v>1832</v>
      </c>
      <c r="G121">
        <v>40</v>
      </c>
      <c r="H121" t="s">
        <v>18</v>
      </c>
      <c r="I121" s="2">
        <v>0.1</v>
      </c>
      <c r="J121">
        <v>156</v>
      </c>
      <c r="K121">
        <v>48</v>
      </c>
      <c r="L121">
        <v>100</v>
      </c>
    </row>
    <row r="122" spans="1:12" x14ac:dyDescent="0.25">
      <c r="A122">
        <v>121</v>
      </c>
      <c r="B122" t="s">
        <v>256</v>
      </c>
      <c r="C122" t="s">
        <v>257</v>
      </c>
      <c r="D122" s="1">
        <v>45295.659780092596</v>
      </c>
      <c r="E122" s="1">
        <v>45295.703530092593</v>
      </c>
      <c r="F122">
        <v>1314</v>
      </c>
      <c r="G122">
        <v>40</v>
      </c>
      <c r="H122" t="s">
        <v>14</v>
      </c>
      <c r="I122" t="s">
        <v>15</v>
      </c>
      <c r="J122">
        <v>172</v>
      </c>
      <c r="K122">
        <v>32</v>
      </c>
      <c r="L122">
        <v>50</v>
      </c>
    </row>
    <row r="123" spans="1:12" x14ac:dyDescent="0.25">
      <c r="A123">
        <v>122</v>
      </c>
      <c r="B123" t="s">
        <v>258</v>
      </c>
      <c r="C123" t="s">
        <v>259</v>
      </c>
      <c r="D123" s="1">
        <v>45327.246701388889</v>
      </c>
      <c r="E123" s="1">
        <v>45327.314756944441</v>
      </c>
      <c r="F123">
        <v>1438</v>
      </c>
      <c r="G123">
        <v>0</v>
      </c>
      <c r="H123" t="s">
        <v>21</v>
      </c>
      <c r="I123" t="s">
        <v>28</v>
      </c>
      <c r="J123">
        <v>51</v>
      </c>
      <c r="K123">
        <v>41</v>
      </c>
      <c r="L123">
        <v>0</v>
      </c>
    </row>
    <row r="124" spans="1:12" x14ac:dyDescent="0.25">
      <c r="A124">
        <v>123</v>
      </c>
      <c r="B124" t="s">
        <v>260</v>
      </c>
      <c r="C124" t="s">
        <v>261</v>
      </c>
      <c r="D124" s="1">
        <v>45328.394444444442</v>
      </c>
      <c r="E124" s="1">
        <v>45328.425000000003</v>
      </c>
      <c r="F124">
        <v>1000</v>
      </c>
      <c r="G124">
        <v>30</v>
      </c>
      <c r="H124" t="s">
        <v>18</v>
      </c>
      <c r="I124" t="s">
        <v>15</v>
      </c>
      <c r="J124">
        <v>160</v>
      </c>
      <c r="K124">
        <v>24</v>
      </c>
      <c r="L124">
        <v>0</v>
      </c>
    </row>
    <row r="125" spans="1:12" x14ac:dyDescent="0.25">
      <c r="A125">
        <v>124</v>
      </c>
      <c r="B125" t="s">
        <v>262</v>
      </c>
      <c r="C125" t="s">
        <v>263</v>
      </c>
      <c r="D125" s="1">
        <v>45293.173333333332</v>
      </c>
      <c r="E125" s="1">
        <v>45293.226111111115</v>
      </c>
      <c r="F125">
        <v>1686</v>
      </c>
      <c r="G125">
        <v>30</v>
      </c>
      <c r="H125" t="s">
        <v>21</v>
      </c>
      <c r="I125" t="s">
        <v>28</v>
      </c>
      <c r="J125">
        <v>51</v>
      </c>
      <c r="K125">
        <v>22</v>
      </c>
      <c r="L125">
        <v>0</v>
      </c>
    </row>
    <row r="126" spans="1:12" x14ac:dyDescent="0.25">
      <c r="A126">
        <v>125</v>
      </c>
      <c r="B126" t="s">
        <v>264</v>
      </c>
      <c r="C126" t="s">
        <v>265</v>
      </c>
      <c r="D126" s="1">
        <v>45314.154421296298</v>
      </c>
      <c r="E126" s="1">
        <v>45314.17664351852</v>
      </c>
      <c r="F126">
        <v>1784</v>
      </c>
      <c r="G126">
        <v>40</v>
      </c>
      <c r="H126" t="s">
        <v>14</v>
      </c>
      <c r="I126" t="s">
        <v>25</v>
      </c>
      <c r="J126">
        <v>142</v>
      </c>
      <c r="K126">
        <v>11</v>
      </c>
      <c r="L126">
        <v>150</v>
      </c>
    </row>
    <row r="127" spans="1:12" x14ac:dyDescent="0.25">
      <c r="A127">
        <v>126</v>
      </c>
      <c r="B127" t="s">
        <v>266</v>
      </c>
      <c r="C127" t="s">
        <v>267</v>
      </c>
      <c r="D127" s="1">
        <v>45325.919432870367</v>
      </c>
      <c r="E127" s="1">
        <v>45325.997210648151</v>
      </c>
      <c r="F127">
        <v>879</v>
      </c>
      <c r="G127">
        <v>0</v>
      </c>
      <c r="H127" t="s">
        <v>14</v>
      </c>
      <c r="I127" t="s">
        <v>25</v>
      </c>
      <c r="J127">
        <v>150</v>
      </c>
      <c r="K127">
        <v>28</v>
      </c>
      <c r="L127">
        <v>0</v>
      </c>
    </row>
    <row r="128" spans="1:12" x14ac:dyDescent="0.25">
      <c r="A128">
        <v>127</v>
      </c>
      <c r="B128" t="s">
        <v>268</v>
      </c>
      <c r="C128" t="s">
        <v>269</v>
      </c>
      <c r="D128" s="1">
        <v>45325.157187500001</v>
      </c>
      <c r="E128" s="1">
        <v>45325.196770833332</v>
      </c>
      <c r="F128">
        <v>1685</v>
      </c>
      <c r="G128">
        <v>40</v>
      </c>
      <c r="H128" t="s">
        <v>14</v>
      </c>
      <c r="I128" t="s">
        <v>28</v>
      </c>
      <c r="J128">
        <v>146</v>
      </c>
      <c r="K128">
        <v>33</v>
      </c>
      <c r="L128">
        <v>0</v>
      </c>
    </row>
    <row r="129" spans="1:12" x14ac:dyDescent="0.25">
      <c r="A129">
        <v>128</v>
      </c>
      <c r="B129" t="s">
        <v>270</v>
      </c>
      <c r="C129" t="s">
        <v>271</v>
      </c>
      <c r="D129" s="1">
        <v>45307.396157407406</v>
      </c>
      <c r="E129" s="1">
        <v>45307.418379629627</v>
      </c>
      <c r="F129">
        <v>1881</v>
      </c>
      <c r="G129">
        <v>0</v>
      </c>
      <c r="H129" t="s">
        <v>14</v>
      </c>
      <c r="I129" t="s">
        <v>28</v>
      </c>
      <c r="J129">
        <v>160</v>
      </c>
      <c r="K129">
        <v>33</v>
      </c>
      <c r="L129">
        <v>100</v>
      </c>
    </row>
    <row r="130" spans="1:12" x14ac:dyDescent="0.25">
      <c r="A130">
        <v>129</v>
      </c>
      <c r="B130" t="s">
        <v>272</v>
      </c>
      <c r="C130" t="s">
        <v>273</v>
      </c>
      <c r="D130" s="1">
        <v>45293.829351851855</v>
      </c>
      <c r="E130" s="1">
        <v>45293.852268518516</v>
      </c>
      <c r="F130">
        <v>1236</v>
      </c>
      <c r="G130">
        <v>40</v>
      </c>
      <c r="H130" t="s">
        <v>21</v>
      </c>
      <c r="I130" t="s">
        <v>15</v>
      </c>
      <c r="J130">
        <v>55</v>
      </c>
      <c r="K130">
        <v>20</v>
      </c>
      <c r="L130">
        <v>0</v>
      </c>
    </row>
    <row r="131" spans="1:12" x14ac:dyDescent="0.25">
      <c r="A131">
        <v>130</v>
      </c>
      <c r="B131" t="s">
        <v>274</v>
      </c>
      <c r="C131" t="s">
        <v>275</v>
      </c>
      <c r="D131" s="1">
        <v>45299.343252314815</v>
      </c>
      <c r="E131" s="1">
        <v>45299.424502314818</v>
      </c>
      <c r="F131">
        <v>269</v>
      </c>
      <c r="G131">
        <v>20</v>
      </c>
      <c r="H131" t="s">
        <v>14</v>
      </c>
      <c r="I131" t="s">
        <v>28</v>
      </c>
      <c r="J131">
        <v>176</v>
      </c>
      <c r="K131">
        <v>31</v>
      </c>
      <c r="L131">
        <v>0</v>
      </c>
    </row>
    <row r="132" spans="1:12" x14ac:dyDescent="0.25">
      <c r="A132">
        <v>131</v>
      </c>
      <c r="B132" t="s">
        <v>276</v>
      </c>
      <c r="C132" t="s">
        <v>227</v>
      </c>
      <c r="D132" s="1">
        <v>45322.758090277777</v>
      </c>
      <c r="E132" s="1">
        <v>45322.799756944441</v>
      </c>
      <c r="F132">
        <v>1591</v>
      </c>
      <c r="G132">
        <v>20</v>
      </c>
      <c r="H132" t="s">
        <v>14</v>
      </c>
      <c r="I132" s="2">
        <v>0.1</v>
      </c>
      <c r="J132">
        <v>153</v>
      </c>
      <c r="K132">
        <v>24</v>
      </c>
      <c r="L132">
        <v>50</v>
      </c>
    </row>
    <row r="133" spans="1:12" x14ac:dyDescent="0.25">
      <c r="A133">
        <v>132</v>
      </c>
      <c r="B133" t="s">
        <v>277</v>
      </c>
      <c r="C133" t="s">
        <v>190</v>
      </c>
      <c r="D133" s="1">
        <v>45297.356307870374</v>
      </c>
      <c r="E133" s="1">
        <v>45297.407696759263</v>
      </c>
      <c r="F133">
        <v>1801</v>
      </c>
      <c r="G133">
        <v>50</v>
      </c>
      <c r="H133" t="s">
        <v>18</v>
      </c>
      <c r="I133" t="s">
        <v>25</v>
      </c>
      <c r="J133">
        <v>196</v>
      </c>
      <c r="K133">
        <v>19</v>
      </c>
      <c r="L133">
        <v>150</v>
      </c>
    </row>
    <row r="134" spans="1:12" x14ac:dyDescent="0.25">
      <c r="A134">
        <v>133</v>
      </c>
      <c r="B134" t="s">
        <v>278</v>
      </c>
      <c r="C134" t="s">
        <v>279</v>
      </c>
      <c r="D134" s="1">
        <v>45311.401307870372</v>
      </c>
      <c r="E134" s="1">
        <v>45311.462418981479</v>
      </c>
      <c r="F134">
        <v>1137</v>
      </c>
      <c r="G134">
        <v>40</v>
      </c>
      <c r="H134" t="s">
        <v>14</v>
      </c>
      <c r="I134" t="s">
        <v>25</v>
      </c>
      <c r="J134">
        <v>50</v>
      </c>
      <c r="K134">
        <v>50</v>
      </c>
      <c r="L134">
        <v>150</v>
      </c>
    </row>
    <row r="135" spans="1:12" x14ac:dyDescent="0.25">
      <c r="A135">
        <v>134</v>
      </c>
      <c r="B135" t="s">
        <v>280</v>
      </c>
      <c r="C135" t="s">
        <v>281</v>
      </c>
      <c r="D135" s="1">
        <v>45314.953321759262</v>
      </c>
      <c r="E135" s="1">
        <v>45315.004710648151</v>
      </c>
      <c r="F135">
        <v>1838</v>
      </c>
      <c r="G135">
        <v>30</v>
      </c>
      <c r="H135" t="s">
        <v>18</v>
      </c>
      <c r="I135" t="s">
        <v>28</v>
      </c>
      <c r="J135">
        <v>82</v>
      </c>
      <c r="K135">
        <v>36</v>
      </c>
      <c r="L135">
        <v>0</v>
      </c>
    </row>
    <row r="136" spans="1:12" x14ac:dyDescent="0.25">
      <c r="A136">
        <v>135</v>
      </c>
      <c r="B136" t="s">
        <v>282</v>
      </c>
      <c r="C136" t="s">
        <v>283</v>
      </c>
      <c r="D136" s="1">
        <v>45309.919317129628</v>
      </c>
      <c r="E136" s="1">
        <v>45309.991539351853</v>
      </c>
      <c r="F136">
        <v>387</v>
      </c>
      <c r="G136">
        <v>50</v>
      </c>
      <c r="H136" t="s">
        <v>14</v>
      </c>
      <c r="I136" t="s">
        <v>22</v>
      </c>
      <c r="J136">
        <v>89</v>
      </c>
      <c r="K136">
        <v>18</v>
      </c>
      <c r="L136">
        <v>100</v>
      </c>
    </row>
    <row r="137" spans="1:12" x14ac:dyDescent="0.25">
      <c r="A137">
        <v>136</v>
      </c>
      <c r="B137" t="s">
        <v>284</v>
      </c>
      <c r="C137" t="s">
        <v>229</v>
      </c>
      <c r="D137" s="1">
        <v>45328.225902777776</v>
      </c>
      <c r="E137" s="1">
        <v>45328.271736111114</v>
      </c>
      <c r="F137">
        <v>288</v>
      </c>
      <c r="G137">
        <v>20</v>
      </c>
      <c r="H137" t="s">
        <v>14</v>
      </c>
      <c r="I137" t="s">
        <v>22</v>
      </c>
      <c r="J137">
        <v>81</v>
      </c>
      <c r="K137">
        <v>37</v>
      </c>
      <c r="L137">
        <v>100</v>
      </c>
    </row>
    <row r="138" spans="1:12" x14ac:dyDescent="0.25">
      <c r="A138">
        <v>137</v>
      </c>
      <c r="B138" t="s">
        <v>285</v>
      </c>
      <c r="C138" t="s">
        <v>286</v>
      </c>
      <c r="D138" s="1">
        <v>45322.406759259262</v>
      </c>
      <c r="E138" s="1">
        <v>45322.472037037034</v>
      </c>
      <c r="F138">
        <v>1013</v>
      </c>
      <c r="G138">
        <v>40</v>
      </c>
      <c r="H138" t="s">
        <v>18</v>
      </c>
      <c r="I138" t="s">
        <v>28</v>
      </c>
      <c r="J138">
        <v>66</v>
      </c>
      <c r="K138">
        <v>10</v>
      </c>
      <c r="L138">
        <v>0</v>
      </c>
    </row>
    <row r="139" spans="1:12" x14ac:dyDescent="0.25">
      <c r="A139">
        <v>138</v>
      </c>
      <c r="B139" t="s">
        <v>287</v>
      </c>
      <c r="C139" t="s">
        <v>288</v>
      </c>
      <c r="D139" s="1">
        <v>45303.320370370369</v>
      </c>
      <c r="E139" s="1">
        <v>45303.346759259257</v>
      </c>
      <c r="F139">
        <v>1278</v>
      </c>
      <c r="G139">
        <v>50</v>
      </c>
      <c r="H139" t="s">
        <v>14</v>
      </c>
      <c r="I139" s="2">
        <v>0.1</v>
      </c>
      <c r="J139">
        <v>175</v>
      </c>
      <c r="K139">
        <v>26</v>
      </c>
      <c r="L139">
        <v>50</v>
      </c>
    </row>
    <row r="140" spans="1:12" x14ac:dyDescent="0.25">
      <c r="A140">
        <v>139</v>
      </c>
      <c r="B140" t="s">
        <v>289</v>
      </c>
      <c r="C140" t="s">
        <v>290</v>
      </c>
      <c r="D140" s="1">
        <v>45324.707129629627</v>
      </c>
      <c r="E140" s="1">
        <v>45324.739074074074</v>
      </c>
      <c r="F140">
        <v>1690</v>
      </c>
      <c r="G140">
        <v>40</v>
      </c>
      <c r="H140" t="s">
        <v>21</v>
      </c>
      <c r="I140" t="s">
        <v>22</v>
      </c>
      <c r="J140">
        <v>57</v>
      </c>
      <c r="K140">
        <v>40</v>
      </c>
      <c r="L140">
        <v>0</v>
      </c>
    </row>
    <row r="141" spans="1:12" x14ac:dyDescent="0.25">
      <c r="A141">
        <v>140</v>
      </c>
      <c r="B141" t="s">
        <v>291</v>
      </c>
      <c r="C141" t="s">
        <v>292</v>
      </c>
      <c r="D141" s="1">
        <v>45300.593611111108</v>
      </c>
      <c r="E141" s="1">
        <v>45300.658888888887</v>
      </c>
      <c r="F141">
        <v>793</v>
      </c>
      <c r="G141">
        <v>20</v>
      </c>
      <c r="H141" t="s">
        <v>21</v>
      </c>
      <c r="I141" t="s">
        <v>28</v>
      </c>
      <c r="J141">
        <v>106</v>
      </c>
      <c r="K141">
        <v>19</v>
      </c>
      <c r="L141">
        <v>100</v>
      </c>
    </row>
    <row r="142" spans="1:12" x14ac:dyDescent="0.25">
      <c r="A142">
        <v>141</v>
      </c>
      <c r="B142" t="s">
        <v>293</v>
      </c>
      <c r="C142" t="s">
        <v>192</v>
      </c>
      <c r="D142" s="1">
        <v>45323.628692129627</v>
      </c>
      <c r="E142" s="1">
        <v>45323.650914351849</v>
      </c>
      <c r="F142">
        <v>1845</v>
      </c>
      <c r="G142">
        <v>50</v>
      </c>
      <c r="H142" t="s">
        <v>14</v>
      </c>
      <c r="I142" s="2">
        <v>0.1</v>
      </c>
      <c r="J142">
        <v>91</v>
      </c>
      <c r="K142">
        <v>46</v>
      </c>
      <c r="L142">
        <v>0</v>
      </c>
    </row>
    <row r="143" spans="1:12" x14ac:dyDescent="0.25">
      <c r="A143">
        <v>142</v>
      </c>
      <c r="B143" t="s">
        <v>294</v>
      </c>
      <c r="C143" t="s">
        <v>295</v>
      </c>
      <c r="D143" s="1">
        <v>45315.594212962962</v>
      </c>
      <c r="E143" s="1">
        <v>45315.632407407407</v>
      </c>
      <c r="F143">
        <v>987</v>
      </c>
      <c r="G143">
        <v>20</v>
      </c>
      <c r="H143" t="s">
        <v>21</v>
      </c>
      <c r="I143" s="2">
        <v>0.1</v>
      </c>
      <c r="J143">
        <v>147</v>
      </c>
      <c r="K143">
        <v>38</v>
      </c>
      <c r="L143">
        <v>0</v>
      </c>
    </row>
    <row r="144" spans="1:12" x14ac:dyDescent="0.25">
      <c r="A144">
        <v>143</v>
      </c>
      <c r="B144" t="s">
        <v>296</v>
      </c>
      <c r="C144" t="s">
        <v>297</v>
      </c>
      <c r="D144" s="1">
        <v>45299.900092592594</v>
      </c>
      <c r="E144" s="1">
        <v>45299.957037037035</v>
      </c>
      <c r="F144">
        <v>570</v>
      </c>
      <c r="G144">
        <v>0</v>
      </c>
      <c r="H144" t="s">
        <v>18</v>
      </c>
      <c r="I144" t="s">
        <v>15</v>
      </c>
      <c r="J144">
        <v>186</v>
      </c>
      <c r="K144">
        <v>27</v>
      </c>
      <c r="L144">
        <v>0</v>
      </c>
    </row>
    <row r="145" spans="1:12" x14ac:dyDescent="0.25">
      <c r="A145">
        <v>144</v>
      </c>
      <c r="B145" t="s">
        <v>298</v>
      </c>
      <c r="C145" t="s">
        <v>299</v>
      </c>
      <c r="D145" s="1">
        <v>45323.712453703702</v>
      </c>
      <c r="E145" s="1">
        <v>45323.754120370373</v>
      </c>
      <c r="F145">
        <v>1198</v>
      </c>
      <c r="G145">
        <v>20</v>
      </c>
      <c r="H145" t="s">
        <v>14</v>
      </c>
      <c r="I145" s="2">
        <v>0.1</v>
      </c>
      <c r="J145">
        <v>169</v>
      </c>
      <c r="K145">
        <v>47</v>
      </c>
      <c r="L145">
        <v>50</v>
      </c>
    </row>
    <row r="146" spans="1:12" x14ac:dyDescent="0.25">
      <c r="A146">
        <v>145</v>
      </c>
      <c r="B146" t="s">
        <v>300</v>
      </c>
      <c r="C146" t="s">
        <v>301</v>
      </c>
      <c r="D146" s="1">
        <v>45322.323842592596</v>
      </c>
      <c r="E146" s="1">
        <v>45322.362037037034</v>
      </c>
      <c r="F146">
        <v>376</v>
      </c>
      <c r="G146">
        <v>40</v>
      </c>
      <c r="H146" t="s">
        <v>14</v>
      </c>
      <c r="I146" t="s">
        <v>22</v>
      </c>
      <c r="J146">
        <v>136</v>
      </c>
      <c r="K146">
        <v>48</v>
      </c>
      <c r="L146">
        <v>0</v>
      </c>
    </row>
    <row r="147" spans="1:12" x14ac:dyDescent="0.25">
      <c r="A147">
        <v>146</v>
      </c>
      <c r="B147" t="s">
        <v>302</v>
      </c>
      <c r="C147" t="s">
        <v>303</v>
      </c>
      <c r="D147" s="1">
        <v>45321.809236111112</v>
      </c>
      <c r="E147" s="1">
        <v>45321.845347222225</v>
      </c>
      <c r="F147">
        <v>1039</v>
      </c>
      <c r="G147">
        <v>30</v>
      </c>
      <c r="H147" t="s">
        <v>18</v>
      </c>
      <c r="I147" t="s">
        <v>22</v>
      </c>
      <c r="J147">
        <v>103</v>
      </c>
      <c r="K147">
        <v>15</v>
      </c>
      <c r="L147">
        <v>0</v>
      </c>
    </row>
    <row r="148" spans="1:12" x14ac:dyDescent="0.25">
      <c r="A148">
        <v>147</v>
      </c>
      <c r="B148" t="s">
        <v>304</v>
      </c>
      <c r="C148" t="s">
        <v>305</v>
      </c>
      <c r="D148" s="1">
        <v>45300.349351851852</v>
      </c>
      <c r="E148" s="1">
        <v>45300.390324074076</v>
      </c>
      <c r="F148">
        <v>1768</v>
      </c>
      <c r="G148">
        <v>20</v>
      </c>
      <c r="H148" t="s">
        <v>18</v>
      </c>
      <c r="I148" t="s">
        <v>28</v>
      </c>
      <c r="J148">
        <v>133</v>
      </c>
      <c r="K148">
        <v>49</v>
      </c>
      <c r="L148">
        <v>0</v>
      </c>
    </row>
    <row r="149" spans="1:12" x14ac:dyDescent="0.25">
      <c r="A149">
        <v>148</v>
      </c>
      <c r="B149" t="s">
        <v>306</v>
      </c>
      <c r="C149" t="s">
        <v>307</v>
      </c>
      <c r="D149" s="1">
        <v>45327.353449074071</v>
      </c>
      <c r="E149" s="1">
        <v>45327.380532407406</v>
      </c>
      <c r="F149">
        <v>1466</v>
      </c>
      <c r="G149">
        <v>30</v>
      </c>
      <c r="H149" t="s">
        <v>18</v>
      </c>
      <c r="I149" t="s">
        <v>28</v>
      </c>
      <c r="J149">
        <v>74</v>
      </c>
      <c r="K149">
        <v>21</v>
      </c>
      <c r="L149">
        <v>150</v>
      </c>
    </row>
    <row r="150" spans="1:12" x14ac:dyDescent="0.25">
      <c r="A150">
        <v>149</v>
      </c>
      <c r="B150" t="s">
        <v>308</v>
      </c>
      <c r="C150" t="s">
        <v>309</v>
      </c>
      <c r="D150" s="1">
        <v>45321.123738425929</v>
      </c>
      <c r="E150" s="1">
        <v>45321.193877314814</v>
      </c>
      <c r="F150">
        <v>1548</v>
      </c>
      <c r="G150">
        <v>0</v>
      </c>
      <c r="H150" t="s">
        <v>14</v>
      </c>
      <c r="I150" s="2">
        <v>0.1</v>
      </c>
      <c r="J150">
        <v>116</v>
      </c>
      <c r="K150">
        <v>23</v>
      </c>
      <c r="L150">
        <v>0</v>
      </c>
    </row>
    <row r="151" spans="1:12" x14ac:dyDescent="0.25">
      <c r="A151">
        <v>150</v>
      </c>
      <c r="B151" t="s">
        <v>310</v>
      </c>
      <c r="C151" t="s">
        <v>311</v>
      </c>
      <c r="D151" s="1">
        <v>45298.0159375</v>
      </c>
      <c r="E151" s="1">
        <v>45298.097881944443</v>
      </c>
      <c r="F151">
        <v>670</v>
      </c>
      <c r="G151">
        <v>50</v>
      </c>
      <c r="H151" t="s">
        <v>18</v>
      </c>
      <c r="I151" t="s">
        <v>25</v>
      </c>
      <c r="J151">
        <v>95</v>
      </c>
      <c r="K151">
        <v>19</v>
      </c>
      <c r="L151">
        <v>50</v>
      </c>
    </row>
    <row r="152" spans="1:12" x14ac:dyDescent="0.25">
      <c r="A152">
        <v>151</v>
      </c>
      <c r="B152" t="s">
        <v>312</v>
      </c>
      <c r="C152" t="s">
        <v>313</v>
      </c>
      <c r="D152" s="1">
        <v>45318.964131944442</v>
      </c>
      <c r="E152" s="1">
        <v>45319.028715277775</v>
      </c>
      <c r="F152">
        <v>1634</v>
      </c>
      <c r="G152">
        <v>50</v>
      </c>
      <c r="H152" t="s">
        <v>18</v>
      </c>
      <c r="I152" t="s">
        <v>15</v>
      </c>
      <c r="J152">
        <v>71</v>
      </c>
      <c r="K152">
        <v>29</v>
      </c>
      <c r="L152">
        <v>0</v>
      </c>
    </row>
    <row r="153" spans="1:12" x14ac:dyDescent="0.25">
      <c r="A153">
        <v>152</v>
      </c>
      <c r="B153" t="s">
        <v>314</v>
      </c>
      <c r="C153" t="s">
        <v>315</v>
      </c>
      <c r="D153" s="1">
        <v>45321.885613425926</v>
      </c>
      <c r="E153" s="1">
        <v>45321.921030092592</v>
      </c>
      <c r="F153">
        <v>956</v>
      </c>
      <c r="G153">
        <v>30</v>
      </c>
      <c r="H153" t="s">
        <v>21</v>
      </c>
      <c r="I153" t="s">
        <v>25</v>
      </c>
      <c r="J153">
        <v>188</v>
      </c>
      <c r="K153">
        <v>24</v>
      </c>
      <c r="L153">
        <v>0</v>
      </c>
    </row>
    <row r="154" spans="1:12" x14ac:dyDescent="0.25">
      <c r="A154">
        <v>153</v>
      </c>
      <c r="B154" t="s">
        <v>316</v>
      </c>
      <c r="C154" t="s">
        <v>317</v>
      </c>
      <c r="D154" s="1">
        <v>45325.422430555554</v>
      </c>
      <c r="E154" s="1">
        <v>45325.452986111108</v>
      </c>
      <c r="F154">
        <v>1100</v>
      </c>
      <c r="G154">
        <v>50</v>
      </c>
      <c r="H154" t="s">
        <v>21</v>
      </c>
      <c r="I154" s="2">
        <v>0.1</v>
      </c>
      <c r="J154">
        <v>57</v>
      </c>
      <c r="K154">
        <v>40</v>
      </c>
      <c r="L154">
        <v>0</v>
      </c>
    </row>
    <row r="155" spans="1:12" x14ac:dyDescent="0.25">
      <c r="A155">
        <v>154</v>
      </c>
      <c r="B155" t="s">
        <v>318</v>
      </c>
      <c r="C155" t="s">
        <v>319</v>
      </c>
      <c r="D155" s="1">
        <v>45303.371168981481</v>
      </c>
      <c r="E155" s="1">
        <v>45303.430196759262</v>
      </c>
      <c r="F155">
        <v>1305</v>
      </c>
      <c r="G155">
        <v>20</v>
      </c>
      <c r="H155" t="s">
        <v>14</v>
      </c>
      <c r="I155" s="2">
        <v>0.1</v>
      </c>
      <c r="J155">
        <v>88</v>
      </c>
      <c r="K155">
        <v>16</v>
      </c>
      <c r="L155">
        <v>0</v>
      </c>
    </row>
    <row r="156" spans="1:12" x14ac:dyDescent="0.25">
      <c r="A156">
        <v>155</v>
      </c>
      <c r="B156" t="s">
        <v>320</v>
      </c>
      <c r="C156" t="s">
        <v>321</v>
      </c>
      <c r="D156" s="1">
        <v>45292.420381944445</v>
      </c>
      <c r="E156" s="1">
        <v>45292.491909722223</v>
      </c>
      <c r="F156">
        <v>557</v>
      </c>
      <c r="G156">
        <v>30</v>
      </c>
      <c r="H156" t="s">
        <v>21</v>
      </c>
      <c r="I156" t="s">
        <v>25</v>
      </c>
      <c r="J156">
        <v>98</v>
      </c>
      <c r="K156">
        <v>50</v>
      </c>
      <c r="L156">
        <v>0</v>
      </c>
    </row>
    <row r="157" spans="1:12" x14ac:dyDescent="0.25">
      <c r="A157">
        <v>156</v>
      </c>
      <c r="B157" t="s">
        <v>322</v>
      </c>
      <c r="C157" t="s">
        <v>323</v>
      </c>
      <c r="D157" s="1">
        <v>45320.155011574076</v>
      </c>
      <c r="E157" s="1">
        <v>45320.189039351855</v>
      </c>
      <c r="F157">
        <v>1017</v>
      </c>
      <c r="G157">
        <v>40</v>
      </c>
      <c r="H157" t="s">
        <v>21</v>
      </c>
      <c r="I157" t="s">
        <v>15</v>
      </c>
      <c r="J157">
        <v>95</v>
      </c>
      <c r="K157">
        <v>19</v>
      </c>
      <c r="L157">
        <v>0</v>
      </c>
    </row>
    <row r="158" spans="1:12" x14ac:dyDescent="0.25">
      <c r="A158">
        <v>157</v>
      </c>
      <c r="B158" t="s">
        <v>324</v>
      </c>
      <c r="C158" t="s">
        <v>325</v>
      </c>
      <c r="D158" s="1">
        <v>45293.811319444445</v>
      </c>
      <c r="E158" s="1">
        <v>45293.86409722222</v>
      </c>
      <c r="F158">
        <v>1974</v>
      </c>
      <c r="G158">
        <v>20</v>
      </c>
      <c r="H158" t="s">
        <v>18</v>
      </c>
      <c r="I158" t="s">
        <v>25</v>
      </c>
      <c r="J158">
        <v>87</v>
      </c>
      <c r="K158">
        <v>19</v>
      </c>
      <c r="L158">
        <v>0</v>
      </c>
    </row>
    <row r="159" spans="1:12" x14ac:dyDescent="0.25">
      <c r="A159">
        <v>158</v>
      </c>
      <c r="B159" t="s">
        <v>326</v>
      </c>
      <c r="C159" t="s">
        <v>327</v>
      </c>
      <c r="D159" s="1">
        <v>45328.614583333336</v>
      </c>
      <c r="E159" s="1">
        <v>45328.695138888892</v>
      </c>
      <c r="F159">
        <v>932</v>
      </c>
      <c r="G159">
        <v>20</v>
      </c>
      <c r="H159" t="s">
        <v>18</v>
      </c>
      <c r="I159" t="s">
        <v>28</v>
      </c>
      <c r="J159">
        <v>185</v>
      </c>
      <c r="K159">
        <v>48</v>
      </c>
      <c r="L159">
        <v>0</v>
      </c>
    </row>
    <row r="160" spans="1:12" x14ac:dyDescent="0.25">
      <c r="A160">
        <v>159</v>
      </c>
      <c r="B160" t="s">
        <v>328</v>
      </c>
      <c r="C160" t="s">
        <v>329</v>
      </c>
      <c r="D160" s="1">
        <v>45314.439375000002</v>
      </c>
      <c r="E160" s="1">
        <v>45314.496319444443</v>
      </c>
      <c r="F160">
        <v>1187</v>
      </c>
      <c r="G160">
        <v>20</v>
      </c>
      <c r="H160" t="s">
        <v>21</v>
      </c>
      <c r="I160" t="s">
        <v>22</v>
      </c>
      <c r="J160">
        <v>103</v>
      </c>
      <c r="K160">
        <v>37</v>
      </c>
      <c r="L160">
        <v>50</v>
      </c>
    </row>
    <row r="161" spans="1:12" x14ac:dyDescent="0.25">
      <c r="A161">
        <v>160</v>
      </c>
      <c r="B161" t="s">
        <v>330</v>
      </c>
      <c r="C161" t="s">
        <v>275</v>
      </c>
      <c r="D161" s="1">
        <v>45325.41777777778</v>
      </c>
      <c r="E161" s="1">
        <v>45325.474722222221</v>
      </c>
      <c r="F161">
        <v>938</v>
      </c>
      <c r="G161">
        <v>40</v>
      </c>
      <c r="H161" t="s">
        <v>21</v>
      </c>
      <c r="I161" t="s">
        <v>28</v>
      </c>
      <c r="J161">
        <v>141</v>
      </c>
      <c r="K161">
        <v>39</v>
      </c>
      <c r="L161">
        <v>0</v>
      </c>
    </row>
    <row r="162" spans="1:12" x14ac:dyDescent="0.25">
      <c r="A162">
        <v>161</v>
      </c>
      <c r="B162" t="s">
        <v>331</v>
      </c>
      <c r="C162" t="s">
        <v>332</v>
      </c>
      <c r="D162" s="1">
        <v>45296.566932870373</v>
      </c>
      <c r="E162" s="1">
        <v>45296.587766203702</v>
      </c>
      <c r="F162">
        <v>1383</v>
      </c>
      <c r="G162">
        <v>0</v>
      </c>
      <c r="H162" t="s">
        <v>21</v>
      </c>
      <c r="I162" t="s">
        <v>22</v>
      </c>
      <c r="J162">
        <v>89</v>
      </c>
      <c r="K162">
        <v>46</v>
      </c>
      <c r="L162">
        <v>0</v>
      </c>
    </row>
    <row r="163" spans="1:12" x14ac:dyDescent="0.25">
      <c r="A163">
        <v>162</v>
      </c>
      <c r="B163" t="s">
        <v>333</v>
      </c>
      <c r="C163" t="s">
        <v>334</v>
      </c>
      <c r="D163" s="1">
        <v>45319.031724537039</v>
      </c>
      <c r="E163" s="1">
        <v>45319.053252314814</v>
      </c>
      <c r="F163">
        <v>292</v>
      </c>
      <c r="G163">
        <v>50</v>
      </c>
      <c r="H163" t="s">
        <v>14</v>
      </c>
      <c r="I163" s="2">
        <v>0.1</v>
      </c>
      <c r="J163">
        <v>83</v>
      </c>
      <c r="K163">
        <v>12</v>
      </c>
      <c r="L163">
        <v>0</v>
      </c>
    </row>
    <row r="164" spans="1:12" x14ac:dyDescent="0.25">
      <c r="A164">
        <v>163</v>
      </c>
      <c r="B164" t="s">
        <v>335</v>
      </c>
      <c r="C164" t="s">
        <v>336</v>
      </c>
      <c r="D164" s="1">
        <v>45323.673402777778</v>
      </c>
      <c r="E164" s="1">
        <v>45323.733819444446</v>
      </c>
      <c r="F164">
        <v>1778</v>
      </c>
      <c r="G164">
        <v>30</v>
      </c>
      <c r="H164" t="s">
        <v>14</v>
      </c>
      <c r="I164" t="s">
        <v>15</v>
      </c>
      <c r="J164">
        <v>145</v>
      </c>
      <c r="K164">
        <v>24</v>
      </c>
      <c r="L164">
        <v>100</v>
      </c>
    </row>
    <row r="165" spans="1:12" x14ac:dyDescent="0.25">
      <c r="A165">
        <v>164</v>
      </c>
      <c r="B165" t="s">
        <v>337</v>
      </c>
      <c r="C165" t="s">
        <v>338</v>
      </c>
      <c r="D165" s="1">
        <v>45304.737268518518</v>
      </c>
      <c r="E165" s="1">
        <v>45304.770601851851</v>
      </c>
      <c r="F165">
        <v>715</v>
      </c>
      <c r="G165">
        <v>0</v>
      </c>
      <c r="H165" t="s">
        <v>14</v>
      </c>
      <c r="I165" t="s">
        <v>25</v>
      </c>
      <c r="J165">
        <v>128</v>
      </c>
      <c r="K165">
        <v>30</v>
      </c>
      <c r="L165">
        <v>150</v>
      </c>
    </row>
    <row r="166" spans="1:12" x14ac:dyDescent="0.25">
      <c r="A166">
        <v>165</v>
      </c>
      <c r="B166" t="s">
        <v>339</v>
      </c>
      <c r="C166" t="s">
        <v>340</v>
      </c>
      <c r="D166" s="1">
        <v>45310.247569444444</v>
      </c>
      <c r="E166" s="1">
        <v>45310.310763888891</v>
      </c>
      <c r="F166">
        <v>505</v>
      </c>
      <c r="G166">
        <v>30</v>
      </c>
      <c r="H166" t="s">
        <v>21</v>
      </c>
      <c r="I166" t="s">
        <v>15</v>
      </c>
      <c r="J166">
        <v>176</v>
      </c>
      <c r="K166">
        <v>46</v>
      </c>
      <c r="L166">
        <v>100</v>
      </c>
    </row>
    <row r="167" spans="1:12" x14ac:dyDescent="0.25">
      <c r="A167">
        <v>166</v>
      </c>
      <c r="B167" t="s">
        <v>341</v>
      </c>
      <c r="C167" t="s">
        <v>342</v>
      </c>
      <c r="D167" s="1">
        <v>45308.202222222222</v>
      </c>
      <c r="E167" s="1">
        <v>45308.27652777778</v>
      </c>
      <c r="F167">
        <v>1849</v>
      </c>
      <c r="G167">
        <v>50</v>
      </c>
      <c r="H167" t="s">
        <v>21</v>
      </c>
      <c r="I167" t="s">
        <v>25</v>
      </c>
      <c r="J167">
        <v>66</v>
      </c>
      <c r="K167">
        <v>21</v>
      </c>
      <c r="L167">
        <v>0</v>
      </c>
    </row>
    <row r="168" spans="1:12" x14ac:dyDescent="0.25">
      <c r="A168">
        <v>167</v>
      </c>
      <c r="B168" t="s">
        <v>343</v>
      </c>
      <c r="C168" t="s">
        <v>344</v>
      </c>
      <c r="D168" s="1">
        <v>45304.45716435185</v>
      </c>
      <c r="E168" s="1">
        <v>45304.527303240742</v>
      </c>
      <c r="F168">
        <v>1877</v>
      </c>
      <c r="G168">
        <v>40</v>
      </c>
      <c r="H168" t="s">
        <v>14</v>
      </c>
      <c r="I168" t="s">
        <v>28</v>
      </c>
      <c r="J168">
        <v>159</v>
      </c>
      <c r="K168">
        <v>13</v>
      </c>
      <c r="L168">
        <v>0</v>
      </c>
    </row>
    <row r="169" spans="1:12" x14ac:dyDescent="0.25">
      <c r="A169">
        <v>168</v>
      </c>
      <c r="B169" t="s">
        <v>345</v>
      </c>
      <c r="C169" t="s">
        <v>346</v>
      </c>
      <c r="D169" s="1">
        <v>45314.708067129628</v>
      </c>
      <c r="E169" s="1">
        <v>45314.736539351848</v>
      </c>
      <c r="F169">
        <v>1042</v>
      </c>
      <c r="G169">
        <v>20</v>
      </c>
      <c r="H169" t="s">
        <v>14</v>
      </c>
      <c r="I169" t="s">
        <v>28</v>
      </c>
      <c r="J169">
        <v>101</v>
      </c>
      <c r="K169">
        <v>18</v>
      </c>
      <c r="L169">
        <v>0</v>
      </c>
    </row>
    <row r="170" spans="1:12" x14ac:dyDescent="0.25">
      <c r="A170">
        <v>169</v>
      </c>
      <c r="B170" t="s">
        <v>289</v>
      </c>
      <c r="C170" t="s">
        <v>317</v>
      </c>
      <c r="D170" s="1">
        <v>45325.051180555558</v>
      </c>
      <c r="E170" s="1">
        <v>45325.089375000003</v>
      </c>
      <c r="F170">
        <v>820</v>
      </c>
      <c r="G170">
        <v>20</v>
      </c>
      <c r="H170" t="s">
        <v>21</v>
      </c>
      <c r="I170" t="s">
        <v>25</v>
      </c>
      <c r="J170">
        <v>167</v>
      </c>
      <c r="K170">
        <v>48</v>
      </c>
      <c r="L170">
        <v>0</v>
      </c>
    </row>
    <row r="171" spans="1:12" x14ac:dyDescent="0.25">
      <c r="A171">
        <v>170</v>
      </c>
      <c r="B171" t="s">
        <v>347</v>
      </c>
      <c r="C171" t="s">
        <v>47</v>
      </c>
      <c r="D171" s="1">
        <v>45299.690601851849</v>
      </c>
      <c r="E171" s="1">
        <v>45299.729490740741</v>
      </c>
      <c r="F171">
        <v>192</v>
      </c>
      <c r="G171">
        <v>40</v>
      </c>
      <c r="H171" t="s">
        <v>18</v>
      </c>
      <c r="I171" t="s">
        <v>15</v>
      </c>
      <c r="J171">
        <v>58</v>
      </c>
      <c r="K171">
        <v>37</v>
      </c>
      <c r="L171">
        <v>0</v>
      </c>
    </row>
    <row r="172" spans="1:12" x14ac:dyDescent="0.25">
      <c r="A172">
        <v>171</v>
      </c>
      <c r="B172" t="s">
        <v>348</v>
      </c>
      <c r="C172" t="s">
        <v>349</v>
      </c>
      <c r="D172" s="1">
        <v>45318.689097222225</v>
      </c>
      <c r="E172" s="1">
        <v>45318.729375000003</v>
      </c>
      <c r="F172">
        <v>529</v>
      </c>
      <c r="G172">
        <v>0</v>
      </c>
      <c r="H172" t="s">
        <v>14</v>
      </c>
      <c r="I172" t="s">
        <v>25</v>
      </c>
      <c r="J172">
        <v>82</v>
      </c>
      <c r="K172">
        <v>32</v>
      </c>
      <c r="L172">
        <v>150</v>
      </c>
    </row>
    <row r="173" spans="1:12" x14ac:dyDescent="0.25">
      <c r="A173">
        <v>172</v>
      </c>
      <c r="B173" t="s">
        <v>350</v>
      </c>
      <c r="C173" t="s">
        <v>351</v>
      </c>
      <c r="D173" s="1">
        <v>45324.220324074071</v>
      </c>
      <c r="E173" s="1">
        <v>45324.250879629632</v>
      </c>
      <c r="F173">
        <v>753</v>
      </c>
      <c r="G173">
        <v>0</v>
      </c>
      <c r="H173" t="s">
        <v>21</v>
      </c>
      <c r="I173" s="2">
        <v>0.1</v>
      </c>
      <c r="J173">
        <v>162</v>
      </c>
      <c r="K173">
        <v>49</v>
      </c>
      <c r="L173">
        <v>0</v>
      </c>
    </row>
    <row r="174" spans="1:12" x14ac:dyDescent="0.25">
      <c r="A174">
        <v>173</v>
      </c>
      <c r="B174" t="s">
        <v>352</v>
      </c>
      <c r="C174" t="s">
        <v>353</v>
      </c>
      <c r="D174" s="1">
        <v>45314.441018518519</v>
      </c>
      <c r="E174" s="1">
        <v>45314.493101851855</v>
      </c>
      <c r="F174">
        <v>1557</v>
      </c>
      <c r="G174">
        <v>30</v>
      </c>
      <c r="H174" t="s">
        <v>21</v>
      </c>
      <c r="I174" t="s">
        <v>28</v>
      </c>
      <c r="J174">
        <v>198</v>
      </c>
      <c r="K174">
        <v>31</v>
      </c>
      <c r="L174">
        <v>0</v>
      </c>
    </row>
    <row r="175" spans="1:12" x14ac:dyDescent="0.25">
      <c r="A175">
        <v>174</v>
      </c>
      <c r="B175" t="s">
        <v>354</v>
      </c>
      <c r="C175" t="s">
        <v>355</v>
      </c>
      <c r="D175" s="1">
        <v>45303.902777777781</v>
      </c>
      <c r="E175" s="1">
        <v>45303.923611111109</v>
      </c>
      <c r="F175">
        <v>1527</v>
      </c>
      <c r="G175">
        <v>40</v>
      </c>
      <c r="H175" t="s">
        <v>18</v>
      </c>
      <c r="I175" s="2">
        <v>0.1</v>
      </c>
      <c r="J175">
        <v>134</v>
      </c>
      <c r="K175">
        <v>33</v>
      </c>
      <c r="L175">
        <v>0</v>
      </c>
    </row>
    <row r="176" spans="1:12" x14ac:dyDescent="0.25">
      <c r="A176">
        <v>175</v>
      </c>
      <c r="B176" t="s">
        <v>356</v>
      </c>
      <c r="C176" t="s">
        <v>357</v>
      </c>
      <c r="D176" s="1">
        <v>45302.186481481483</v>
      </c>
      <c r="E176" s="1">
        <v>45302.248287037037</v>
      </c>
      <c r="F176">
        <v>533</v>
      </c>
      <c r="G176">
        <v>0</v>
      </c>
      <c r="H176" t="s">
        <v>21</v>
      </c>
      <c r="I176" t="s">
        <v>28</v>
      </c>
      <c r="J176">
        <v>59</v>
      </c>
      <c r="K176">
        <v>35</v>
      </c>
      <c r="L176">
        <v>50</v>
      </c>
    </row>
    <row r="177" spans="1:12" x14ac:dyDescent="0.25">
      <c r="A177">
        <v>176</v>
      </c>
      <c r="B177" t="s">
        <v>358</v>
      </c>
      <c r="C177" t="s">
        <v>359</v>
      </c>
      <c r="D177" s="1">
        <v>45296.151504629626</v>
      </c>
      <c r="E177" s="1">
        <v>45296.211226851854</v>
      </c>
      <c r="F177">
        <v>1235</v>
      </c>
      <c r="G177">
        <v>40</v>
      </c>
      <c r="H177" t="s">
        <v>21</v>
      </c>
      <c r="I177" t="s">
        <v>28</v>
      </c>
      <c r="J177">
        <v>55</v>
      </c>
      <c r="K177">
        <v>39</v>
      </c>
      <c r="L177">
        <v>150</v>
      </c>
    </row>
    <row r="178" spans="1:12" x14ac:dyDescent="0.25">
      <c r="A178">
        <v>177</v>
      </c>
      <c r="B178" t="s">
        <v>360</v>
      </c>
      <c r="C178" t="s">
        <v>361</v>
      </c>
      <c r="D178" s="1">
        <v>45327.151608796295</v>
      </c>
      <c r="E178" s="1">
        <v>45327.173831018517</v>
      </c>
      <c r="F178">
        <v>474</v>
      </c>
      <c r="G178">
        <v>50</v>
      </c>
      <c r="H178" t="s">
        <v>14</v>
      </c>
      <c r="I178" t="s">
        <v>22</v>
      </c>
      <c r="J178">
        <v>164</v>
      </c>
      <c r="K178">
        <v>42</v>
      </c>
      <c r="L178">
        <v>0</v>
      </c>
    </row>
    <row r="179" spans="1:12" x14ac:dyDescent="0.25">
      <c r="A179">
        <v>178</v>
      </c>
      <c r="B179" t="s">
        <v>362</v>
      </c>
      <c r="C179" t="s">
        <v>363</v>
      </c>
      <c r="D179" s="1">
        <v>45292.925613425927</v>
      </c>
      <c r="E179" s="1">
        <v>45292.958252314813</v>
      </c>
      <c r="F179">
        <v>1182</v>
      </c>
      <c r="G179">
        <v>20</v>
      </c>
      <c r="H179" t="s">
        <v>14</v>
      </c>
      <c r="I179" s="2">
        <v>0.1</v>
      </c>
      <c r="J179">
        <v>170</v>
      </c>
      <c r="K179">
        <v>25</v>
      </c>
      <c r="L179">
        <v>0</v>
      </c>
    </row>
    <row r="180" spans="1:12" x14ac:dyDescent="0.25">
      <c r="A180">
        <v>179</v>
      </c>
      <c r="B180" t="s">
        <v>364</v>
      </c>
      <c r="C180" t="s">
        <v>365</v>
      </c>
      <c r="D180" s="1">
        <v>45299.339375000003</v>
      </c>
      <c r="E180" s="1">
        <v>45299.395624999997</v>
      </c>
      <c r="F180">
        <v>1166</v>
      </c>
      <c r="G180">
        <v>20</v>
      </c>
      <c r="H180" t="s">
        <v>18</v>
      </c>
      <c r="I180" s="2">
        <v>0.1</v>
      </c>
      <c r="J180">
        <v>190</v>
      </c>
      <c r="K180">
        <v>31</v>
      </c>
      <c r="L180">
        <v>0</v>
      </c>
    </row>
    <row r="181" spans="1:12" x14ac:dyDescent="0.25">
      <c r="A181">
        <v>180</v>
      </c>
      <c r="B181" t="s">
        <v>366</v>
      </c>
      <c r="C181" t="s">
        <v>367</v>
      </c>
      <c r="D181" s="1">
        <v>45315.643784722219</v>
      </c>
      <c r="E181" s="1">
        <v>45315.705590277779</v>
      </c>
      <c r="F181">
        <v>306</v>
      </c>
      <c r="G181">
        <v>20</v>
      </c>
      <c r="H181" t="s">
        <v>18</v>
      </c>
      <c r="I181" t="s">
        <v>22</v>
      </c>
      <c r="J181">
        <v>114</v>
      </c>
      <c r="K181">
        <v>27</v>
      </c>
      <c r="L181">
        <v>0</v>
      </c>
    </row>
    <row r="182" spans="1:12" x14ac:dyDescent="0.25">
      <c r="A182">
        <v>181</v>
      </c>
      <c r="B182" t="s">
        <v>368</v>
      </c>
      <c r="C182" t="s">
        <v>369</v>
      </c>
      <c r="D182" s="1">
        <v>45304.131631944445</v>
      </c>
      <c r="E182" s="1">
        <v>45304.175381944442</v>
      </c>
      <c r="F182">
        <v>879</v>
      </c>
      <c r="G182">
        <v>40</v>
      </c>
      <c r="H182" t="s">
        <v>21</v>
      </c>
      <c r="I182" t="s">
        <v>15</v>
      </c>
      <c r="J182">
        <v>69</v>
      </c>
      <c r="K182">
        <v>16</v>
      </c>
      <c r="L182">
        <v>0</v>
      </c>
    </row>
    <row r="183" spans="1:12" x14ac:dyDescent="0.25">
      <c r="A183">
        <v>182</v>
      </c>
      <c r="B183" t="s">
        <v>370</v>
      </c>
      <c r="C183" t="s">
        <v>371</v>
      </c>
      <c r="D183" s="1">
        <v>45309.384548611109</v>
      </c>
      <c r="E183" s="1">
        <v>45309.466493055559</v>
      </c>
      <c r="F183">
        <v>1419</v>
      </c>
      <c r="G183">
        <v>40</v>
      </c>
      <c r="H183" t="s">
        <v>14</v>
      </c>
      <c r="I183" s="2">
        <v>0.1</v>
      </c>
      <c r="J183">
        <v>106</v>
      </c>
      <c r="K183">
        <v>35</v>
      </c>
      <c r="L183">
        <v>0</v>
      </c>
    </row>
    <row r="184" spans="1:12" x14ac:dyDescent="0.25">
      <c r="A184">
        <v>183</v>
      </c>
      <c r="B184" t="s">
        <v>372</v>
      </c>
      <c r="C184" t="s">
        <v>373</v>
      </c>
      <c r="D184" s="1">
        <v>45319.602233796293</v>
      </c>
      <c r="E184" s="1">
        <v>45319.664039351854</v>
      </c>
      <c r="F184">
        <v>1241</v>
      </c>
      <c r="G184">
        <v>30</v>
      </c>
      <c r="H184" t="s">
        <v>18</v>
      </c>
      <c r="I184" t="s">
        <v>25</v>
      </c>
      <c r="J184">
        <v>95</v>
      </c>
      <c r="K184">
        <v>17</v>
      </c>
      <c r="L184">
        <v>0</v>
      </c>
    </row>
    <row r="185" spans="1:12" x14ac:dyDescent="0.25">
      <c r="A185">
        <v>184</v>
      </c>
      <c r="B185" t="s">
        <v>374</v>
      </c>
      <c r="C185" t="s">
        <v>271</v>
      </c>
      <c r="D185" s="1">
        <v>45321.996076388888</v>
      </c>
      <c r="E185" s="1">
        <v>45322.034270833334</v>
      </c>
      <c r="F185">
        <v>631</v>
      </c>
      <c r="G185">
        <v>20</v>
      </c>
      <c r="H185" t="s">
        <v>18</v>
      </c>
      <c r="I185" t="s">
        <v>22</v>
      </c>
      <c r="J185">
        <v>185</v>
      </c>
      <c r="K185">
        <v>15</v>
      </c>
      <c r="L185">
        <v>50</v>
      </c>
    </row>
    <row r="186" spans="1:12" x14ac:dyDescent="0.25">
      <c r="A186">
        <v>185</v>
      </c>
      <c r="B186" t="s">
        <v>375</v>
      </c>
      <c r="C186" t="s">
        <v>376</v>
      </c>
      <c r="D186" s="1">
        <v>45314.136388888888</v>
      </c>
      <c r="E186" s="1">
        <v>45314.20652777778</v>
      </c>
      <c r="F186">
        <v>1345</v>
      </c>
      <c r="G186">
        <v>30</v>
      </c>
      <c r="H186" t="s">
        <v>18</v>
      </c>
      <c r="I186" s="2">
        <v>0.1</v>
      </c>
      <c r="J186">
        <v>59</v>
      </c>
      <c r="K186">
        <v>39</v>
      </c>
      <c r="L186">
        <v>0</v>
      </c>
    </row>
    <row r="187" spans="1:12" x14ac:dyDescent="0.25">
      <c r="A187">
        <v>186</v>
      </c>
      <c r="B187" t="s">
        <v>377</v>
      </c>
      <c r="C187" t="s">
        <v>378</v>
      </c>
      <c r="D187" s="1">
        <v>45310.466157407405</v>
      </c>
      <c r="E187" s="1">
        <v>45310.499490740738</v>
      </c>
      <c r="F187">
        <v>265</v>
      </c>
      <c r="G187">
        <v>20</v>
      </c>
      <c r="H187" t="s">
        <v>21</v>
      </c>
      <c r="I187" t="s">
        <v>15</v>
      </c>
      <c r="J187">
        <v>162</v>
      </c>
      <c r="K187">
        <v>48</v>
      </c>
      <c r="L187">
        <v>0</v>
      </c>
    </row>
    <row r="188" spans="1:12" x14ac:dyDescent="0.25">
      <c r="A188">
        <v>187</v>
      </c>
      <c r="B188" t="s">
        <v>379</v>
      </c>
      <c r="C188" t="s">
        <v>380</v>
      </c>
      <c r="D188" s="1">
        <v>45294.604733796295</v>
      </c>
      <c r="E188" s="1">
        <v>45294.640150462961</v>
      </c>
      <c r="F188">
        <v>742</v>
      </c>
      <c r="G188">
        <v>30</v>
      </c>
      <c r="H188" t="s">
        <v>14</v>
      </c>
      <c r="I188" s="2">
        <v>0.1</v>
      </c>
      <c r="J188">
        <v>188</v>
      </c>
      <c r="K188">
        <v>32</v>
      </c>
      <c r="L188">
        <v>0</v>
      </c>
    </row>
    <row r="189" spans="1:12" x14ac:dyDescent="0.25">
      <c r="A189">
        <v>188</v>
      </c>
      <c r="B189" t="s">
        <v>381</v>
      </c>
      <c r="C189" t="s">
        <v>382</v>
      </c>
      <c r="D189" s="1">
        <v>45307.245266203703</v>
      </c>
      <c r="E189" s="1">
        <v>45307.288321759261</v>
      </c>
      <c r="F189">
        <v>1279</v>
      </c>
      <c r="G189">
        <v>30</v>
      </c>
      <c r="H189" t="s">
        <v>18</v>
      </c>
      <c r="I189" t="s">
        <v>28</v>
      </c>
      <c r="J189">
        <v>61</v>
      </c>
      <c r="K189">
        <v>41</v>
      </c>
      <c r="L189">
        <v>100</v>
      </c>
    </row>
    <row r="190" spans="1:12" x14ac:dyDescent="0.25">
      <c r="A190">
        <v>189</v>
      </c>
      <c r="B190" t="s">
        <v>383</v>
      </c>
      <c r="C190" t="s">
        <v>384</v>
      </c>
      <c r="D190" s="1">
        <v>45318.202025462961</v>
      </c>
      <c r="E190" s="1">
        <v>45318.248553240737</v>
      </c>
      <c r="F190">
        <v>1307</v>
      </c>
      <c r="G190">
        <v>50</v>
      </c>
      <c r="H190" t="s">
        <v>14</v>
      </c>
      <c r="I190" t="s">
        <v>25</v>
      </c>
      <c r="J190">
        <v>187</v>
      </c>
      <c r="K190">
        <v>31</v>
      </c>
      <c r="L190">
        <v>0</v>
      </c>
    </row>
    <row r="191" spans="1:12" x14ac:dyDescent="0.25">
      <c r="A191">
        <v>190</v>
      </c>
      <c r="B191" t="s">
        <v>385</v>
      </c>
      <c r="C191" t="s">
        <v>386</v>
      </c>
      <c r="D191" s="1">
        <v>45316.2422337963</v>
      </c>
      <c r="E191" s="1">
        <v>45316.286678240744</v>
      </c>
      <c r="F191">
        <v>189</v>
      </c>
      <c r="G191">
        <v>30</v>
      </c>
      <c r="H191" t="s">
        <v>18</v>
      </c>
      <c r="I191" t="s">
        <v>22</v>
      </c>
      <c r="J191">
        <v>60</v>
      </c>
      <c r="K191">
        <v>18</v>
      </c>
      <c r="L191">
        <v>0</v>
      </c>
    </row>
    <row r="192" spans="1:12" x14ac:dyDescent="0.25">
      <c r="A192">
        <v>191</v>
      </c>
      <c r="B192" t="s">
        <v>387</v>
      </c>
      <c r="C192" t="s">
        <v>388</v>
      </c>
      <c r="D192" s="1">
        <v>45325.119317129633</v>
      </c>
      <c r="E192" s="1">
        <v>45325.185983796298</v>
      </c>
      <c r="F192">
        <v>1217</v>
      </c>
      <c r="G192">
        <v>40</v>
      </c>
      <c r="H192" t="s">
        <v>18</v>
      </c>
      <c r="I192" t="s">
        <v>28</v>
      </c>
      <c r="J192">
        <v>167</v>
      </c>
      <c r="K192">
        <v>40</v>
      </c>
      <c r="L192">
        <v>0</v>
      </c>
    </row>
    <row r="193" spans="1:12" x14ac:dyDescent="0.25">
      <c r="A193">
        <v>192</v>
      </c>
      <c r="B193" t="s">
        <v>389</v>
      </c>
      <c r="C193" t="s">
        <v>390</v>
      </c>
      <c r="D193" s="1">
        <v>45300.650682870371</v>
      </c>
      <c r="E193" s="1">
        <v>45300.728460648148</v>
      </c>
      <c r="F193">
        <v>112</v>
      </c>
      <c r="G193">
        <v>30</v>
      </c>
      <c r="H193" t="s">
        <v>14</v>
      </c>
      <c r="I193" t="s">
        <v>15</v>
      </c>
      <c r="J193">
        <v>88</v>
      </c>
      <c r="K193">
        <v>16</v>
      </c>
      <c r="L193">
        <v>0</v>
      </c>
    </row>
    <row r="194" spans="1:12" x14ac:dyDescent="0.25">
      <c r="A194">
        <v>193</v>
      </c>
      <c r="B194" t="s">
        <v>391</v>
      </c>
      <c r="C194" t="s">
        <v>392</v>
      </c>
      <c r="D194" s="1">
        <v>45304.499120370368</v>
      </c>
      <c r="E194" s="1">
        <v>45304.526203703703</v>
      </c>
      <c r="F194">
        <v>1072</v>
      </c>
      <c r="G194">
        <v>20</v>
      </c>
      <c r="H194" t="s">
        <v>14</v>
      </c>
      <c r="I194" t="s">
        <v>28</v>
      </c>
      <c r="J194">
        <v>102</v>
      </c>
      <c r="K194">
        <v>18</v>
      </c>
      <c r="L194">
        <v>0</v>
      </c>
    </row>
    <row r="195" spans="1:12" x14ac:dyDescent="0.25">
      <c r="A195">
        <v>194</v>
      </c>
      <c r="B195" t="s">
        <v>393</v>
      </c>
      <c r="C195" t="s">
        <v>394</v>
      </c>
      <c r="D195" s="1">
        <v>45306.402546296296</v>
      </c>
      <c r="E195" s="1">
        <v>45306.43310185185</v>
      </c>
      <c r="F195">
        <v>1957</v>
      </c>
      <c r="G195">
        <v>30</v>
      </c>
      <c r="H195" t="s">
        <v>14</v>
      </c>
      <c r="I195" t="s">
        <v>28</v>
      </c>
      <c r="J195">
        <v>105</v>
      </c>
      <c r="K195">
        <v>22</v>
      </c>
      <c r="L195">
        <v>0</v>
      </c>
    </row>
    <row r="196" spans="1:12" x14ac:dyDescent="0.25">
      <c r="A196">
        <v>195</v>
      </c>
      <c r="B196" t="s">
        <v>395</v>
      </c>
      <c r="C196" t="s">
        <v>396</v>
      </c>
      <c r="D196" s="1">
        <v>45313.252141203702</v>
      </c>
      <c r="E196" s="1">
        <v>45313.279918981483</v>
      </c>
      <c r="F196">
        <v>904</v>
      </c>
      <c r="G196">
        <v>0</v>
      </c>
      <c r="H196" t="s">
        <v>21</v>
      </c>
      <c r="I196" t="s">
        <v>15</v>
      </c>
      <c r="J196">
        <v>153</v>
      </c>
      <c r="K196">
        <v>12</v>
      </c>
      <c r="L196">
        <v>0</v>
      </c>
    </row>
    <row r="197" spans="1:12" x14ac:dyDescent="0.25">
      <c r="A197">
        <v>196</v>
      </c>
      <c r="B197" t="s">
        <v>397</v>
      </c>
      <c r="C197" t="s">
        <v>398</v>
      </c>
      <c r="D197" s="1">
        <v>45317.844722222224</v>
      </c>
      <c r="E197" s="1">
        <v>45317.927361111113</v>
      </c>
      <c r="F197">
        <v>1044</v>
      </c>
      <c r="G197">
        <v>20</v>
      </c>
      <c r="H197" t="s">
        <v>18</v>
      </c>
      <c r="I197" t="s">
        <v>28</v>
      </c>
      <c r="J197">
        <v>178</v>
      </c>
      <c r="K197">
        <v>44</v>
      </c>
      <c r="L197">
        <v>0</v>
      </c>
    </row>
    <row r="198" spans="1:12" x14ac:dyDescent="0.25">
      <c r="A198">
        <v>197</v>
      </c>
      <c r="B198" t="s">
        <v>399</v>
      </c>
      <c r="C198" t="s">
        <v>400</v>
      </c>
      <c r="D198" s="1">
        <v>45307.549756944441</v>
      </c>
      <c r="E198" s="1">
        <v>45307.586562500001</v>
      </c>
      <c r="F198">
        <v>841</v>
      </c>
      <c r="G198">
        <v>0</v>
      </c>
      <c r="H198" t="s">
        <v>21</v>
      </c>
      <c r="I198" t="s">
        <v>22</v>
      </c>
      <c r="J198">
        <v>105</v>
      </c>
      <c r="K198">
        <v>42</v>
      </c>
      <c r="L198">
        <v>50</v>
      </c>
    </row>
    <row r="199" spans="1:12" x14ac:dyDescent="0.25">
      <c r="A199">
        <v>198</v>
      </c>
      <c r="B199" t="s">
        <v>401</v>
      </c>
      <c r="C199" t="s">
        <v>17</v>
      </c>
      <c r="D199" s="1">
        <v>45319.557083333333</v>
      </c>
      <c r="E199" s="1">
        <v>45319.630694444444</v>
      </c>
      <c r="F199">
        <v>1957</v>
      </c>
      <c r="G199">
        <v>20</v>
      </c>
      <c r="H199" t="s">
        <v>14</v>
      </c>
      <c r="I199" s="2">
        <v>0.1</v>
      </c>
      <c r="J199">
        <v>167</v>
      </c>
      <c r="K199">
        <v>30</v>
      </c>
      <c r="L199">
        <v>0</v>
      </c>
    </row>
    <row r="200" spans="1:12" x14ac:dyDescent="0.25">
      <c r="A200">
        <v>199</v>
      </c>
      <c r="B200" t="s">
        <v>402</v>
      </c>
      <c r="C200" t="s">
        <v>403</v>
      </c>
      <c r="D200" s="1">
        <v>45311.152233796296</v>
      </c>
      <c r="E200" s="1">
        <v>45311.175150462965</v>
      </c>
      <c r="F200">
        <v>1927</v>
      </c>
      <c r="G200">
        <v>40</v>
      </c>
      <c r="H200" t="s">
        <v>18</v>
      </c>
      <c r="I200" t="s">
        <v>28</v>
      </c>
      <c r="J200">
        <v>181</v>
      </c>
      <c r="K200">
        <v>40</v>
      </c>
      <c r="L200">
        <v>0</v>
      </c>
    </row>
    <row r="201" spans="1:12" x14ac:dyDescent="0.25">
      <c r="A201">
        <v>200</v>
      </c>
      <c r="B201" t="s">
        <v>404</v>
      </c>
      <c r="C201" t="s">
        <v>405</v>
      </c>
      <c r="D201" s="1">
        <v>45304.756099537037</v>
      </c>
      <c r="E201" s="1">
        <v>45304.785266203704</v>
      </c>
      <c r="F201">
        <v>1561</v>
      </c>
      <c r="G201">
        <v>40</v>
      </c>
      <c r="H201" t="s">
        <v>21</v>
      </c>
      <c r="I201" t="s">
        <v>22</v>
      </c>
      <c r="J201">
        <v>79</v>
      </c>
      <c r="K201">
        <v>43</v>
      </c>
      <c r="L201">
        <v>150</v>
      </c>
    </row>
    <row r="202" spans="1:12" x14ac:dyDescent="0.25">
      <c r="A202">
        <v>201</v>
      </c>
      <c r="B202" t="s">
        <v>406</v>
      </c>
      <c r="C202" t="s">
        <v>257</v>
      </c>
      <c r="D202" s="1">
        <v>45296.684861111113</v>
      </c>
      <c r="E202" s="1">
        <v>45296.755694444444</v>
      </c>
      <c r="F202">
        <v>1661</v>
      </c>
      <c r="G202">
        <v>40</v>
      </c>
      <c r="H202" t="s">
        <v>18</v>
      </c>
      <c r="I202" s="2">
        <v>0.1</v>
      </c>
      <c r="J202">
        <v>61</v>
      </c>
      <c r="K202">
        <v>41</v>
      </c>
      <c r="L202">
        <v>0</v>
      </c>
    </row>
    <row r="203" spans="1:12" x14ac:dyDescent="0.25">
      <c r="A203">
        <v>202</v>
      </c>
      <c r="B203" t="s">
        <v>407</v>
      </c>
      <c r="C203" t="s">
        <v>408</v>
      </c>
      <c r="D203" s="1">
        <v>45311.855312500003</v>
      </c>
      <c r="E203" s="1">
        <v>45311.915034722224</v>
      </c>
      <c r="F203">
        <v>1710</v>
      </c>
      <c r="G203">
        <v>0</v>
      </c>
      <c r="H203" t="s">
        <v>21</v>
      </c>
      <c r="I203" s="2">
        <v>0.1</v>
      </c>
      <c r="J203">
        <v>84</v>
      </c>
      <c r="K203">
        <v>44</v>
      </c>
      <c r="L203">
        <v>0</v>
      </c>
    </row>
    <row r="204" spans="1:12" x14ac:dyDescent="0.25">
      <c r="A204">
        <v>203</v>
      </c>
      <c r="B204" t="s">
        <v>409</v>
      </c>
      <c r="C204" t="s">
        <v>410</v>
      </c>
      <c r="D204" s="1">
        <v>45298.610034722224</v>
      </c>
      <c r="E204" s="1">
        <v>45298.655868055554</v>
      </c>
      <c r="F204">
        <v>975</v>
      </c>
      <c r="G204">
        <v>50</v>
      </c>
      <c r="H204" t="s">
        <v>14</v>
      </c>
      <c r="I204" t="s">
        <v>28</v>
      </c>
      <c r="J204">
        <v>126</v>
      </c>
      <c r="K204">
        <v>24</v>
      </c>
      <c r="L204">
        <v>150</v>
      </c>
    </row>
    <row r="205" spans="1:12" x14ac:dyDescent="0.25">
      <c r="A205">
        <v>204</v>
      </c>
      <c r="B205" t="s">
        <v>411</v>
      </c>
      <c r="C205" t="s">
        <v>412</v>
      </c>
      <c r="D205" s="1">
        <v>45316.020902777775</v>
      </c>
      <c r="E205" s="1">
        <v>45316.074374999997</v>
      </c>
      <c r="F205">
        <v>1934</v>
      </c>
      <c r="G205">
        <v>20</v>
      </c>
      <c r="H205" t="s">
        <v>21</v>
      </c>
      <c r="I205" t="s">
        <v>22</v>
      </c>
      <c r="J205">
        <v>151</v>
      </c>
      <c r="K205">
        <v>41</v>
      </c>
      <c r="L205">
        <v>0</v>
      </c>
    </row>
    <row r="206" spans="1:12" x14ac:dyDescent="0.25">
      <c r="A206">
        <v>205</v>
      </c>
      <c r="B206" t="s">
        <v>413</v>
      </c>
      <c r="C206" t="s">
        <v>414</v>
      </c>
      <c r="D206" s="1">
        <v>45303.673136574071</v>
      </c>
      <c r="E206" s="1">
        <v>45303.742581018516</v>
      </c>
      <c r="F206">
        <v>1273</v>
      </c>
      <c r="G206">
        <v>40</v>
      </c>
      <c r="H206" t="s">
        <v>18</v>
      </c>
      <c r="I206" t="s">
        <v>28</v>
      </c>
      <c r="J206">
        <v>136</v>
      </c>
      <c r="K206">
        <v>15</v>
      </c>
      <c r="L206">
        <v>0</v>
      </c>
    </row>
    <row r="207" spans="1:12" x14ac:dyDescent="0.25">
      <c r="A207">
        <v>206</v>
      </c>
      <c r="B207" t="s">
        <v>415</v>
      </c>
      <c r="C207" t="s">
        <v>416</v>
      </c>
      <c r="D207" s="1">
        <v>45321.135810185187</v>
      </c>
      <c r="E207" s="1">
        <v>45321.156643518516</v>
      </c>
      <c r="F207">
        <v>759</v>
      </c>
      <c r="G207">
        <v>20</v>
      </c>
      <c r="H207" t="s">
        <v>18</v>
      </c>
      <c r="I207" t="s">
        <v>15</v>
      </c>
      <c r="J207">
        <v>101</v>
      </c>
      <c r="K207">
        <v>30</v>
      </c>
      <c r="L207">
        <v>0</v>
      </c>
    </row>
    <row r="208" spans="1:12" x14ac:dyDescent="0.25">
      <c r="A208">
        <v>207</v>
      </c>
      <c r="B208" t="s">
        <v>417</v>
      </c>
      <c r="C208" t="s">
        <v>154</v>
      </c>
      <c r="D208" s="1">
        <v>45316.145983796298</v>
      </c>
      <c r="E208" s="1">
        <v>45316.207789351851</v>
      </c>
      <c r="F208">
        <v>1131</v>
      </c>
      <c r="G208">
        <v>0</v>
      </c>
      <c r="H208" t="s">
        <v>18</v>
      </c>
      <c r="I208" s="2">
        <v>0.1</v>
      </c>
      <c r="J208">
        <v>129</v>
      </c>
      <c r="K208">
        <v>42</v>
      </c>
      <c r="L208">
        <v>0</v>
      </c>
    </row>
    <row r="209" spans="1:12" x14ac:dyDescent="0.25">
      <c r="A209">
        <v>208</v>
      </c>
      <c r="B209" t="s">
        <v>418</v>
      </c>
      <c r="C209" t="s">
        <v>419</v>
      </c>
      <c r="D209" s="1">
        <v>45309.380567129629</v>
      </c>
      <c r="E209" s="1">
        <v>45309.409039351849</v>
      </c>
      <c r="F209">
        <v>1152</v>
      </c>
      <c r="G209">
        <v>50</v>
      </c>
      <c r="H209" t="s">
        <v>18</v>
      </c>
      <c r="I209" t="s">
        <v>28</v>
      </c>
      <c r="J209">
        <v>184</v>
      </c>
      <c r="K209">
        <v>41</v>
      </c>
      <c r="L209">
        <v>0</v>
      </c>
    </row>
    <row r="210" spans="1:12" x14ac:dyDescent="0.25">
      <c r="A210">
        <v>209</v>
      </c>
      <c r="B210" t="s">
        <v>420</v>
      </c>
      <c r="C210" t="s">
        <v>421</v>
      </c>
      <c r="D210" s="1">
        <v>45324.170127314814</v>
      </c>
      <c r="E210" s="1">
        <v>45324.20484953704</v>
      </c>
      <c r="F210">
        <v>395</v>
      </c>
      <c r="G210">
        <v>0</v>
      </c>
      <c r="H210" t="s">
        <v>14</v>
      </c>
      <c r="I210" s="2">
        <v>0.1</v>
      </c>
      <c r="J210">
        <v>71</v>
      </c>
      <c r="K210">
        <v>28</v>
      </c>
      <c r="L210">
        <v>50</v>
      </c>
    </row>
    <row r="211" spans="1:12" x14ac:dyDescent="0.25">
      <c r="A211">
        <v>210</v>
      </c>
      <c r="B211" t="s">
        <v>422</v>
      </c>
      <c r="C211" t="s">
        <v>423</v>
      </c>
      <c r="D211" s="1">
        <v>45314.149560185186</v>
      </c>
      <c r="E211" s="1">
        <v>45314.177337962959</v>
      </c>
      <c r="F211">
        <v>1085</v>
      </c>
      <c r="G211">
        <v>20</v>
      </c>
      <c r="H211" t="s">
        <v>21</v>
      </c>
      <c r="I211" t="s">
        <v>22</v>
      </c>
      <c r="J211">
        <v>124</v>
      </c>
      <c r="K211">
        <v>42</v>
      </c>
      <c r="L211">
        <v>100</v>
      </c>
    </row>
    <row r="212" spans="1:12" x14ac:dyDescent="0.25">
      <c r="A212">
        <v>211</v>
      </c>
      <c r="B212" t="s">
        <v>424</v>
      </c>
      <c r="C212" t="s">
        <v>425</v>
      </c>
      <c r="D212" s="1">
        <v>45328.105671296296</v>
      </c>
      <c r="E212" s="1">
        <v>45328.156365740739</v>
      </c>
      <c r="F212">
        <v>1025</v>
      </c>
      <c r="G212">
        <v>50</v>
      </c>
      <c r="H212" t="s">
        <v>14</v>
      </c>
      <c r="I212" t="s">
        <v>25</v>
      </c>
      <c r="J212">
        <v>107</v>
      </c>
      <c r="K212">
        <v>37</v>
      </c>
      <c r="L212">
        <v>0</v>
      </c>
    </row>
    <row r="213" spans="1:12" x14ac:dyDescent="0.25">
      <c r="A213">
        <v>212</v>
      </c>
      <c r="B213" t="s">
        <v>426</v>
      </c>
      <c r="C213" t="s">
        <v>427</v>
      </c>
      <c r="D213" s="1">
        <v>45324.533101851855</v>
      </c>
      <c r="E213" s="1">
        <v>45324.593518518515</v>
      </c>
      <c r="F213">
        <v>1844</v>
      </c>
      <c r="G213">
        <v>50</v>
      </c>
      <c r="H213" t="s">
        <v>14</v>
      </c>
      <c r="I213" t="s">
        <v>28</v>
      </c>
      <c r="J213">
        <v>142</v>
      </c>
      <c r="K213">
        <v>40</v>
      </c>
      <c r="L213">
        <v>150</v>
      </c>
    </row>
    <row r="214" spans="1:12" x14ac:dyDescent="0.25">
      <c r="A214">
        <v>213</v>
      </c>
      <c r="B214" t="s">
        <v>428</v>
      </c>
      <c r="C214" t="s">
        <v>110</v>
      </c>
      <c r="D214" s="1">
        <v>45298.352824074071</v>
      </c>
      <c r="E214" s="1">
        <v>45298.40351851852</v>
      </c>
      <c r="F214">
        <v>739</v>
      </c>
      <c r="G214">
        <v>0</v>
      </c>
      <c r="H214" t="s">
        <v>14</v>
      </c>
      <c r="I214" t="s">
        <v>28</v>
      </c>
      <c r="J214">
        <v>152</v>
      </c>
      <c r="K214">
        <v>30</v>
      </c>
      <c r="L214">
        <v>0</v>
      </c>
    </row>
    <row r="215" spans="1:12" x14ac:dyDescent="0.25">
      <c r="A215">
        <v>214</v>
      </c>
      <c r="B215" t="s">
        <v>429</v>
      </c>
      <c r="C215" t="s">
        <v>430</v>
      </c>
      <c r="D215" s="1">
        <v>45315.139513888891</v>
      </c>
      <c r="E215" s="1">
        <v>45315.213819444441</v>
      </c>
      <c r="F215">
        <v>439</v>
      </c>
      <c r="G215">
        <v>40</v>
      </c>
      <c r="H215" t="s">
        <v>18</v>
      </c>
      <c r="I215" s="2">
        <v>0.1</v>
      </c>
      <c r="J215">
        <v>189</v>
      </c>
      <c r="K215">
        <v>43</v>
      </c>
      <c r="L215">
        <v>0</v>
      </c>
    </row>
    <row r="216" spans="1:12" x14ac:dyDescent="0.25">
      <c r="A216">
        <v>215</v>
      </c>
      <c r="B216" t="s">
        <v>431</v>
      </c>
      <c r="C216" t="s">
        <v>432</v>
      </c>
      <c r="D216" s="1">
        <v>45301.844189814816</v>
      </c>
      <c r="E216" s="1">
        <v>45301.887939814813</v>
      </c>
      <c r="F216">
        <v>727</v>
      </c>
      <c r="G216">
        <v>20</v>
      </c>
      <c r="H216" t="s">
        <v>18</v>
      </c>
      <c r="I216" t="s">
        <v>22</v>
      </c>
      <c r="J216">
        <v>56</v>
      </c>
      <c r="K216">
        <v>24</v>
      </c>
      <c r="L216">
        <v>0</v>
      </c>
    </row>
    <row r="217" spans="1:12" x14ac:dyDescent="0.25">
      <c r="A217">
        <v>216</v>
      </c>
      <c r="B217" t="s">
        <v>383</v>
      </c>
      <c r="C217" t="s">
        <v>433</v>
      </c>
      <c r="D217" s="1">
        <v>45328.136180555557</v>
      </c>
      <c r="E217" s="1">
        <v>45328.173680555556</v>
      </c>
      <c r="F217">
        <v>538</v>
      </c>
      <c r="G217">
        <v>30</v>
      </c>
      <c r="H217" t="s">
        <v>18</v>
      </c>
      <c r="I217" t="s">
        <v>15</v>
      </c>
      <c r="J217">
        <v>177</v>
      </c>
      <c r="K217">
        <v>23</v>
      </c>
      <c r="L217">
        <v>0</v>
      </c>
    </row>
    <row r="218" spans="1:12" x14ac:dyDescent="0.25">
      <c r="A218">
        <v>217</v>
      </c>
      <c r="B218" t="s">
        <v>434</v>
      </c>
      <c r="C218" t="s">
        <v>435</v>
      </c>
      <c r="D218" s="1">
        <v>45303.429062499999</v>
      </c>
      <c r="E218" s="1">
        <v>45303.451979166668</v>
      </c>
      <c r="F218">
        <v>1267</v>
      </c>
      <c r="G218">
        <v>30</v>
      </c>
      <c r="H218" t="s">
        <v>21</v>
      </c>
      <c r="I218" t="s">
        <v>22</v>
      </c>
      <c r="J218">
        <v>104</v>
      </c>
      <c r="K218">
        <v>28</v>
      </c>
      <c r="L218">
        <v>0</v>
      </c>
    </row>
    <row r="219" spans="1:12" x14ac:dyDescent="0.25">
      <c r="A219">
        <v>218</v>
      </c>
      <c r="B219" t="s">
        <v>436</v>
      </c>
      <c r="C219" t="s">
        <v>437</v>
      </c>
      <c r="D219" s="1">
        <v>45292.684976851851</v>
      </c>
      <c r="E219" s="1">
        <v>45292.749560185184</v>
      </c>
      <c r="F219">
        <v>1041</v>
      </c>
      <c r="G219">
        <v>0</v>
      </c>
      <c r="H219" t="s">
        <v>18</v>
      </c>
      <c r="I219" t="s">
        <v>28</v>
      </c>
      <c r="J219">
        <v>155</v>
      </c>
      <c r="K219">
        <v>24</v>
      </c>
      <c r="L219">
        <v>0</v>
      </c>
    </row>
    <row r="220" spans="1:12" x14ac:dyDescent="0.25">
      <c r="A220">
        <v>219</v>
      </c>
      <c r="B220" t="s">
        <v>438</v>
      </c>
      <c r="C220" t="s">
        <v>255</v>
      </c>
      <c r="D220" s="1">
        <v>45320.315497685187</v>
      </c>
      <c r="E220" s="1">
        <v>45320.398136574076</v>
      </c>
      <c r="F220">
        <v>929</v>
      </c>
      <c r="G220">
        <v>20</v>
      </c>
      <c r="H220" t="s">
        <v>21</v>
      </c>
      <c r="I220" t="s">
        <v>15</v>
      </c>
      <c r="J220">
        <v>111</v>
      </c>
      <c r="K220">
        <v>15</v>
      </c>
      <c r="L220">
        <v>0</v>
      </c>
    </row>
    <row r="221" spans="1:12" x14ac:dyDescent="0.25">
      <c r="A221">
        <v>220</v>
      </c>
      <c r="B221" t="s">
        <v>439</v>
      </c>
      <c r="C221" t="s">
        <v>440</v>
      </c>
      <c r="D221" s="1">
        <v>45319.761643518519</v>
      </c>
      <c r="E221" s="1">
        <v>45319.792893518519</v>
      </c>
      <c r="F221">
        <v>1870</v>
      </c>
      <c r="G221">
        <v>20</v>
      </c>
      <c r="H221" t="s">
        <v>18</v>
      </c>
      <c r="I221" t="s">
        <v>22</v>
      </c>
      <c r="J221">
        <v>139</v>
      </c>
      <c r="K221">
        <v>18</v>
      </c>
      <c r="L221">
        <v>0</v>
      </c>
    </row>
    <row r="222" spans="1:12" x14ac:dyDescent="0.25">
      <c r="A222">
        <v>221</v>
      </c>
      <c r="B222" t="s">
        <v>441</v>
      </c>
      <c r="C222" t="s">
        <v>442</v>
      </c>
      <c r="D222" s="1">
        <v>45307.819537037038</v>
      </c>
      <c r="E222" s="1">
        <v>45307.846620370372</v>
      </c>
      <c r="F222">
        <v>618</v>
      </c>
      <c r="G222">
        <v>0</v>
      </c>
      <c r="H222" t="s">
        <v>18</v>
      </c>
      <c r="I222" t="s">
        <v>25</v>
      </c>
      <c r="J222">
        <v>147</v>
      </c>
      <c r="K222">
        <v>46</v>
      </c>
      <c r="L222">
        <v>0</v>
      </c>
    </row>
    <row r="223" spans="1:12" x14ac:dyDescent="0.25">
      <c r="A223">
        <v>222</v>
      </c>
      <c r="B223" t="s">
        <v>443</v>
      </c>
      <c r="C223" t="s">
        <v>444</v>
      </c>
      <c r="D223" s="1">
        <v>45311.695219907408</v>
      </c>
      <c r="E223" s="1">
        <v>45311.761192129627</v>
      </c>
      <c r="F223">
        <v>1075</v>
      </c>
      <c r="G223">
        <v>20</v>
      </c>
      <c r="H223" t="s">
        <v>14</v>
      </c>
      <c r="I223" s="2">
        <v>0.1</v>
      </c>
      <c r="J223">
        <v>126</v>
      </c>
      <c r="K223">
        <v>29</v>
      </c>
      <c r="L223">
        <v>0</v>
      </c>
    </row>
    <row r="224" spans="1:12" x14ac:dyDescent="0.25">
      <c r="A224">
        <v>223</v>
      </c>
      <c r="B224" t="s">
        <v>445</v>
      </c>
      <c r="C224" t="s">
        <v>446</v>
      </c>
      <c r="D224" s="1">
        <v>45305.756412037037</v>
      </c>
      <c r="E224" s="1">
        <v>45305.800856481481</v>
      </c>
      <c r="F224">
        <v>1168</v>
      </c>
      <c r="G224">
        <v>40</v>
      </c>
      <c r="H224" t="s">
        <v>14</v>
      </c>
      <c r="I224" t="s">
        <v>22</v>
      </c>
      <c r="J224">
        <v>168</v>
      </c>
      <c r="K224">
        <v>43</v>
      </c>
      <c r="L224">
        <v>0</v>
      </c>
    </row>
    <row r="225" spans="1:12" x14ac:dyDescent="0.25">
      <c r="A225">
        <v>224</v>
      </c>
      <c r="B225" t="s">
        <v>447</v>
      </c>
      <c r="C225" t="s">
        <v>448</v>
      </c>
      <c r="D225" s="1">
        <v>45301.529467592591</v>
      </c>
      <c r="E225" s="1">
        <v>45301.607245370367</v>
      </c>
      <c r="F225">
        <v>1054</v>
      </c>
      <c r="G225">
        <v>0</v>
      </c>
      <c r="H225" t="s">
        <v>14</v>
      </c>
      <c r="I225" t="s">
        <v>22</v>
      </c>
      <c r="J225">
        <v>85</v>
      </c>
      <c r="K225">
        <v>47</v>
      </c>
      <c r="L225">
        <v>0</v>
      </c>
    </row>
    <row r="226" spans="1:12" x14ac:dyDescent="0.25">
      <c r="A226">
        <v>225</v>
      </c>
      <c r="B226" t="s">
        <v>449</v>
      </c>
      <c r="C226" t="s">
        <v>380</v>
      </c>
      <c r="D226" s="1">
        <v>45326.652013888888</v>
      </c>
      <c r="E226" s="1">
        <v>45326.676319444443</v>
      </c>
      <c r="F226">
        <v>1362</v>
      </c>
      <c r="G226">
        <v>40</v>
      </c>
      <c r="H226" t="s">
        <v>21</v>
      </c>
      <c r="I226" t="s">
        <v>25</v>
      </c>
      <c r="J226">
        <v>138</v>
      </c>
      <c r="K226">
        <v>35</v>
      </c>
      <c r="L226">
        <v>0</v>
      </c>
    </row>
    <row r="227" spans="1:12" x14ac:dyDescent="0.25">
      <c r="A227">
        <v>226</v>
      </c>
      <c r="B227" t="s">
        <v>450</v>
      </c>
      <c r="C227" t="s">
        <v>297</v>
      </c>
      <c r="D227" s="1">
        <v>45325.186805555553</v>
      </c>
      <c r="E227" s="1">
        <v>45325.220138888886</v>
      </c>
      <c r="F227">
        <v>1051</v>
      </c>
      <c r="G227">
        <v>20</v>
      </c>
      <c r="H227" t="s">
        <v>21</v>
      </c>
      <c r="I227" t="s">
        <v>28</v>
      </c>
      <c r="J227">
        <v>194</v>
      </c>
      <c r="K227">
        <v>27</v>
      </c>
      <c r="L227">
        <v>150</v>
      </c>
    </row>
    <row r="228" spans="1:12" x14ac:dyDescent="0.25">
      <c r="A228">
        <v>227</v>
      </c>
      <c r="B228" t="s">
        <v>451</v>
      </c>
      <c r="C228" t="s">
        <v>452</v>
      </c>
      <c r="D228" s="1">
        <v>45294.992094907408</v>
      </c>
      <c r="E228" s="1">
        <v>45295.053206018521</v>
      </c>
      <c r="F228">
        <v>1043</v>
      </c>
      <c r="G228">
        <v>0</v>
      </c>
      <c r="H228" t="s">
        <v>18</v>
      </c>
      <c r="I228" s="2">
        <v>0.1</v>
      </c>
      <c r="J228">
        <v>179</v>
      </c>
      <c r="K228">
        <v>37</v>
      </c>
      <c r="L228">
        <v>0</v>
      </c>
    </row>
    <row r="229" spans="1:12" x14ac:dyDescent="0.25">
      <c r="A229">
        <v>228</v>
      </c>
      <c r="B229" t="s">
        <v>453</v>
      </c>
      <c r="C229" t="s">
        <v>454</v>
      </c>
      <c r="D229" s="1">
        <v>45303.055023148147</v>
      </c>
      <c r="E229" s="1">
        <v>45303.111967592595</v>
      </c>
      <c r="F229">
        <v>254</v>
      </c>
      <c r="G229">
        <v>20</v>
      </c>
      <c r="H229" t="s">
        <v>21</v>
      </c>
      <c r="I229" t="s">
        <v>22</v>
      </c>
      <c r="J229">
        <v>190</v>
      </c>
      <c r="K229">
        <v>18</v>
      </c>
      <c r="L229">
        <v>0</v>
      </c>
    </row>
    <row r="230" spans="1:12" x14ac:dyDescent="0.25">
      <c r="A230">
        <v>229</v>
      </c>
      <c r="B230" t="s">
        <v>455</v>
      </c>
      <c r="C230" t="s">
        <v>456</v>
      </c>
      <c r="D230" s="1">
        <v>45307.707557870373</v>
      </c>
      <c r="E230" s="1">
        <v>45307.733252314814</v>
      </c>
      <c r="F230">
        <v>1304</v>
      </c>
      <c r="G230">
        <v>0</v>
      </c>
      <c r="H230" t="s">
        <v>18</v>
      </c>
      <c r="I230" t="s">
        <v>15</v>
      </c>
      <c r="J230">
        <v>142</v>
      </c>
      <c r="K230">
        <v>41</v>
      </c>
      <c r="L230">
        <v>0</v>
      </c>
    </row>
    <row r="231" spans="1:12" x14ac:dyDescent="0.25">
      <c r="A231">
        <v>230</v>
      </c>
      <c r="B231" t="s">
        <v>457</v>
      </c>
      <c r="C231" t="s">
        <v>458</v>
      </c>
      <c r="D231" s="1">
        <v>45317.859212962961</v>
      </c>
      <c r="E231" s="1">
        <v>45317.933518518519</v>
      </c>
      <c r="F231">
        <v>1338</v>
      </c>
      <c r="G231">
        <v>20</v>
      </c>
      <c r="H231" t="s">
        <v>21</v>
      </c>
      <c r="I231" t="s">
        <v>22</v>
      </c>
      <c r="J231">
        <v>163</v>
      </c>
      <c r="K231">
        <v>15</v>
      </c>
      <c r="L231">
        <v>0</v>
      </c>
    </row>
    <row r="232" spans="1:12" x14ac:dyDescent="0.25">
      <c r="A232">
        <v>231</v>
      </c>
      <c r="B232" t="s">
        <v>459</v>
      </c>
      <c r="C232" t="s">
        <v>460</v>
      </c>
      <c r="D232" s="1">
        <v>45300.165219907409</v>
      </c>
      <c r="E232" s="1">
        <v>45300.192303240743</v>
      </c>
      <c r="F232">
        <v>187</v>
      </c>
      <c r="G232">
        <v>40</v>
      </c>
      <c r="H232" t="s">
        <v>21</v>
      </c>
      <c r="I232" s="2">
        <v>0.1</v>
      </c>
      <c r="J232">
        <v>77</v>
      </c>
      <c r="K232">
        <v>23</v>
      </c>
      <c r="L232">
        <v>0</v>
      </c>
    </row>
    <row r="233" spans="1:12" x14ac:dyDescent="0.25">
      <c r="A233">
        <v>232</v>
      </c>
      <c r="B233" t="s">
        <v>461</v>
      </c>
      <c r="C233" t="s">
        <v>288</v>
      </c>
      <c r="D233" s="1">
        <v>45323.008750000001</v>
      </c>
      <c r="E233" s="1">
        <v>45323.075416666667</v>
      </c>
      <c r="F233">
        <v>1379</v>
      </c>
      <c r="G233">
        <v>40</v>
      </c>
      <c r="H233" t="s">
        <v>21</v>
      </c>
      <c r="I233" t="s">
        <v>22</v>
      </c>
      <c r="J233">
        <v>192</v>
      </c>
      <c r="K233">
        <v>37</v>
      </c>
      <c r="L233">
        <v>0</v>
      </c>
    </row>
    <row r="234" spans="1:12" x14ac:dyDescent="0.25">
      <c r="A234">
        <v>233</v>
      </c>
      <c r="B234" t="s">
        <v>462</v>
      </c>
      <c r="C234" t="s">
        <v>463</v>
      </c>
      <c r="D234" s="1">
        <v>45326.459849537037</v>
      </c>
      <c r="E234" s="1">
        <v>45326.506377314814</v>
      </c>
      <c r="F234">
        <v>1634</v>
      </c>
      <c r="G234">
        <v>20</v>
      </c>
      <c r="H234" t="s">
        <v>14</v>
      </c>
      <c r="I234" t="s">
        <v>25</v>
      </c>
      <c r="J234">
        <v>82</v>
      </c>
      <c r="K234">
        <v>33</v>
      </c>
      <c r="L234">
        <v>0</v>
      </c>
    </row>
    <row r="235" spans="1:12" x14ac:dyDescent="0.25">
      <c r="A235">
        <v>234</v>
      </c>
      <c r="B235" t="s">
        <v>464</v>
      </c>
      <c r="C235" t="s">
        <v>465</v>
      </c>
      <c r="D235" s="1">
        <v>45300.657557870371</v>
      </c>
      <c r="E235" s="1">
        <v>45300.697835648149</v>
      </c>
      <c r="F235">
        <v>1196</v>
      </c>
      <c r="G235">
        <v>0</v>
      </c>
      <c r="H235" t="s">
        <v>21</v>
      </c>
      <c r="I235" t="s">
        <v>22</v>
      </c>
      <c r="J235">
        <v>69</v>
      </c>
      <c r="K235">
        <v>22</v>
      </c>
      <c r="L235">
        <v>0</v>
      </c>
    </row>
    <row r="236" spans="1:12" x14ac:dyDescent="0.25">
      <c r="A236">
        <v>235</v>
      </c>
      <c r="B236" t="s">
        <v>287</v>
      </c>
      <c r="C236" t="s">
        <v>96</v>
      </c>
      <c r="D236" s="1">
        <v>45324.278819444444</v>
      </c>
      <c r="E236" s="1">
        <v>45324.309374999997</v>
      </c>
      <c r="F236">
        <v>1030</v>
      </c>
      <c r="G236">
        <v>30</v>
      </c>
      <c r="H236" t="s">
        <v>14</v>
      </c>
      <c r="I236" t="s">
        <v>22</v>
      </c>
      <c r="J236">
        <v>189</v>
      </c>
      <c r="K236">
        <v>21</v>
      </c>
      <c r="L236">
        <v>0</v>
      </c>
    </row>
    <row r="237" spans="1:12" x14ac:dyDescent="0.25">
      <c r="A237">
        <v>236</v>
      </c>
      <c r="B237" t="s">
        <v>466</v>
      </c>
      <c r="C237" t="s">
        <v>467</v>
      </c>
      <c r="D237" s="1">
        <v>45306.491643518515</v>
      </c>
      <c r="E237" s="1">
        <v>45306.572199074071</v>
      </c>
      <c r="F237">
        <v>278</v>
      </c>
      <c r="G237">
        <v>40</v>
      </c>
      <c r="H237" t="s">
        <v>14</v>
      </c>
      <c r="I237" t="s">
        <v>15</v>
      </c>
      <c r="J237">
        <v>150</v>
      </c>
      <c r="K237">
        <v>28</v>
      </c>
      <c r="L237">
        <v>0</v>
      </c>
    </row>
    <row r="238" spans="1:12" x14ac:dyDescent="0.25">
      <c r="A238">
        <v>237</v>
      </c>
      <c r="B238" t="s">
        <v>468</v>
      </c>
      <c r="C238" t="s">
        <v>469</v>
      </c>
      <c r="D238" s="1">
        <v>45293.672905092593</v>
      </c>
      <c r="E238" s="1">
        <v>45293.709016203706</v>
      </c>
      <c r="F238">
        <v>311</v>
      </c>
      <c r="G238">
        <v>40</v>
      </c>
      <c r="H238" t="s">
        <v>21</v>
      </c>
      <c r="I238" t="s">
        <v>25</v>
      </c>
      <c r="J238">
        <v>72</v>
      </c>
      <c r="K238">
        <v>30</v>
      </c>
      <c r="L238">
        <v>0</v>
      </c>
    </row>
    <row r="239" spans="1:12" x14ac:dyDescent="0.25">
      <c r="A239">
        <v>238</v>
      </c>
      <c r="B239" t="s">
        <v>470</v>
      </c>
      <c r="C239" t="s">
        <v>82</v>
      </c>
      <c r="D239" s="1">
        <v>45296.91002314815</v>
      </c>
      <c r="E239" s="1">
        <v>45296.98710648148</v>
      </c>
      <c r="F239">
        <v>1928</v>
      </c>
      <c r="G239">
        <v>30</v>
      </c>
      <c r="H239" t="s">
        <v>18</v>
      </c>
      <c r="I239" t="s">
        <v>25</v>
      </c>
      <c r="J239">
        <v>161</v>
      </c>
      <c r="K239">
        <v>36</v>
      </c>
      <c r="L239">
        <v>0</v>
      </c>
    </row>
    <row r="240" spans="1:12" x14ac:dyDescent="0.25">
      <c r="A240">
        <v>239</v>
      </c>
      <c r="B240" t="s">
        <v>471</v>
      </c>
      <c r="C240" t="s">
        <v>472</v>
      </c>
      <c r="D240" s="1">
        <v>45329.820914351854</v>
      </c>
      <c r="E240" s="1">
        <v>45329.872997685183</v>
      </c>
      <c r="F240">
        <v>1357</v>
      </c>
      <c r="G240">
        <v>20</v>
      </c>
      <c r="H240" t="s">
        <v>18</v>
      </c>
      <c r="I240" t="s">
        <v>22</v>
      </c>
      <c r="J240">
        <v>63</v>
      </c>
      <c r="K240">
        <v>28</v>
      </c>
      <c r="L240">
        <v>0</v>
      </c>
    </row>
    <row r="241" spans="1:12" x14ac:dyDescent="0.25">
      <c r="A241">
        <v>240</v>
      </c>
      <c r="B241" t="s">
        <v>473</v>
      </c>
      <c r="C241" t="s">
        <v>474</v>
      </c>
      <c r="D241" s="1">
        <v>45329.737511574072</v>
      </c>
      <c r="E241" s="1">
        <v>45329.815289351849</v>
      </c>
      <c r="F241">
        <v>564</v>
      </c>
      <c r="G241">
        <v>0</v>
      </c>
      <c r="H241" t="s">
        <v>18</v>
      </c>
      <c r="I241" t="s">
        <v>15</v>
      </c>
      <c r="J241">
        <v>140</v>
      </c>
      <c r="K241">
        <v>33</v>
      </c>
      <c r="L241">
        <v>0</v>
      </c>
    </row>
    <row r="242" spans="1:12" x14ac:dyDescent="0.25">
      <c r="A242">
        <v>241</v>
      </c>
      <c r="B242" t="s">
        <v>475</v>
      </c>
      <c r="C242" t="s">
        <v>476</v>
      </c>
      <c r="D242" s="1">
        <v>45308.422418981485</v>
      </c>
      <c r="E242" s="1">
        <v>45308.462002314816</v>
      </c>
      <c r="F242">
        <v>1874</v>
      </c>
      <c r="G242">
        <v>20</v>
      </c>
      <c r="H242" t="s">
        <v>21</v>
      </c>
      <c r="I242" t="s">
        <v>22</v>
      </c>
      <c r="J242">
        <v>126</v>
      </c>
      <c r="K242">
        <v>35</v>
      </c>
      <c r="L242">
        <v>0</v>
      </c>
    </row>
    <row r="243" spans="1:12" x14ac:dyDescent="0.25">
      <c r="A243">
        <v>242</v>
      </c>
      <c r="B243" t="s">
        <v>477</v>
      </c>
      <c r="C243" t="s">
        <v>478</v>
      </c>
      <c r="D243" s="1">
        <v>45316.414826388886</v>
      </c>
      <c r="E243" s="1">
        <v>45316.453020833331</v>
      </c>
      <c r="F243">
        <v>1346</v>
      </c>
      <c r="G243">
        <v>50</v>
      </c>
      <c r="H243" t="s">
        <v>18</v>
      </c>
      <c r="I243" t="s">
        <v>22</v>
      </c>
      <c r="J243">
        <v>134</v>
      </c>
      <c r="K243">
        <v>37</v>
      </c>
      <c r="L243">
        <v>100</v>
      </c>
    </row>
    <row r="244" spans="1:12" x14ac:dyDescent="0.25">
      <c r="A244">
        <v>243</v>
      </c>
      <c r="B244" t="s">
        <v>479</v>
      </c>
      <c r="C244" t="s">
        <v>480</v>
      </c>
      <c r="D244" s="1">
        <v>45300.105740740742</v>
      </c>
      <c r="E244" s="1">
        <v>45300.132824074077</v>
      </c>
      <c r="F244">
        <v>730</v>
      </c>
      <c r="G244">
        <v>40</v>
      </c>
      <c r="H244" t="s">
        <v>14</v>
      </c>
      <c r="I244" s="2">
        <v>0.1</v>
      </c>
      <c r="J244">
        <v>158</v>
      </c>
      <c r="K244">
        <v>27</v>
      </c>
      <c r="L244">
        <v>0</v>
      </c>
    </row>
    <row r="245" spans="1:12" x14ac:dyDescent="0.25">
      <c r="A245">
        <v>244</v>
      </c>
      <c r="B245" t="s">
        <v>481</v>
      </c>
      <c r="C245" t="s">
        <v>482</v>
      </c>
      <c r="D245" s="1">
        <v>45300.089768518519</v>
      </c>
      <c r="E245" s="1">
        <v>45300.142546296294</v>
      </c>
      <c r="F245">
        <v>924</v>
      </c>
      <c r="G245">
        <v>50</v>
      </c>
      <c r="H245" t="s">
        <v>18</v>
      </c>
      <c r="I245" s="2">
        <v>0.1</v>
      </c>
      <c r="J245">
        <v>80</v>
      </c>
      <c r="K245">
        <v>45</v>
      </c>
      <c r="L245">
        <v>50</v>
      </c>
    </row>
    <row r="246" spans="1:12" x14ac:dyDescent="0.25">
      <c r="A246">
        <v>245</v>
      </c>
      <c r="B246" t="s">
        <v>483</v>
      </c>
      <c r="C246" t="s">
        <v>484</v>
      </c>
      <c r="D246" s="1">
        <v>45315.023738425924</v>
      </c>
      <c r="E246" s="1">
        <v>45315.046655092592</v>
      </c>
      <c r="F246">
        <v>1387</v>
      </c>
      <c r="G246">
        <v>40</v>
      </c>
      <c r="H246" t="s">
        <v>21</v>
      </c>
      <c r="I246" t="s">
        <v>15</v>
      </c>
      <c r="J246">
        <v>171</v>
      </c>
      <c r="K246">
        <v>38</v>
      </c>
      <c r="L246">
        <v>50</v>
      </c>
    </row>
    <row r="247" spans="1:12" x14ac:dyDescent="0.25">
      <c r="A247">
        <v>246</v>
      </c>
      <c r="B247" t="s">
        <v>485</v>
      </c>
      <c r="C247" t="s">
        <v>486</v>
      </c>
      <c r="D247" s="1">
        <v>45292.999594907407</v>
      </c>
      <c r="E247" s="1">
        <v>45293.057928240742</v>
      </c>
      <c r="F247">
        <v>1330</v>
      </c>
      <c r="G247">
        <v>40</v>
      </c>
      <c r="H247" t="s">
        <v>18</v>
      </c>
      <c r="I247" t="s">
        <v>28</v>
      </c>
      <c r="J247">
        <v>156</v>
      </c>
      <c r="K247">
        <v>26</v>
      </c>
      <c r="L247">
        <v>0</v>
      </c>
    </row>
    <row r="248" spans="1:12" x14ac:dyDescent="0.25">
      <c r="A248">
        <v>247</v>
      </c>
      <c r="B248" t="s">
        <v>487</v>
      </c>
      <c r="C248" t="s">
        <v>488</v>
      </c>
      <c r="D248" s="1">
        <v>45316.123819444445</v>
      </c>
      <c r="E248" s="1">
        <v>45316.189791666664</v>
      </c>
      <c r="F248">
        <v>706</v>
      </c>
      <c r="G248">
        <v>50</v>
      </c>
      <c r="H248" t="s">
        <v>14</v>
      </c>
      <c r="I248" s="2">
        <v>0.1</v>
      </c>
      <c r="J248">
        <v>103</v>
      </c>
      <c r="K248">
        <v>13</v>
      </c>
      <c r="L248">
        <v>0</v>
      </c>
    </row>
    <row r="249" spans="1:12" x14ac:dyDescent="0.25">
      <c r="A249">
        <v>248</v>
      </c>
      <c r="B249" t="s">
        <v>489</v>
      </c>
      <c r="C249" t="s">
        <v>490</v>
      </c>
      <c r="D249" s="1">
        <v>45300.737847222219</v>
      </c>
      <c r="E249" s="1">
        <v>45300.804513888892</v>
      </c>
      <c r="F249">
        <v>984</v>
      </c>
      <c r="G249">
        <v>50</v>
      </c>
      <c r="H249" t="s">
        <v>21</v>
      </c>
      <c r="I249" t="s">
        <v>28</v>
      </c>
      <c r="J249">
        <v>182</v>
      </c>
      <c r="K249">
        <v>38</v>
      </c>
      <c r="L249">
        <v>0</v>
      </c>
    </row>
    <row r="250" spans="1:12" x14ac:dyDescent="0.25">
      <c r="A250">
        <v>249</v>
      </c>
      <c r="B250" t="s">
        <v>491</v>
      </c>
      <c r="C250" t="s">
        <v>492</v>
      </c>
      <c r="D250" s="1">
        <v>45314.558125000003</v>
      </c>
      <c r="E250" s="1">
        <v>45314.583124999997</v>
      </c>
      <c r="F250">
        <v>1857</v>
      </c>
      <c r="G250">
        <v>20</v>
      </c>
      <c r="H250" t="s">
        <v>18</v>
      </c>
      <c r="I250" t="s">
        <v>25</v>
      </c>
      <c r="J250">
        <v>190</v>
      </c>
      <c r="K250">
        <v>13</v>
      </c>
      <c r="L250">
        <v>0</v>
      </c>
    </row>
    <row r="251" spans="1:12" x14ac:dyDescent="0.25">
      <c r="A251">
        <v>250</v>
      </c>
      <c r="B251" t="s">
        <v>493</v>
      </c>
      <c r="C251" t="s">
        <v>494</v>
      </c>
      <c r="D251" s="1">
        <v>45294.027905092589</v>
      </c>
      <c r="E251" s="1">
        <v>45294.086238425924</v>
      </c>
      <c r="F251">
        <v>465</v>
      </c>
      <c r="G251">
        <v>50</v>
      </c>
      <c r="H251" t="s">
        <v>21</v>
      </c>
      <c r="I251" s="2">
        <v>0.1</v>
      </c>
      <c r="J251">
        <v>92</v>
      </c>
      <c r="K251">
        <v>19</v>
      </c>
      <c r="L251">
        <v>100</v>
      </c>
    </row>
    <row r="252" spans="1:12" x14ac:dyDescent="0.25">
      <c r="A252">
        <v>251</v>
      </c>
      <c r="B252" t="s">
        <v>495</v>
      </c>
      <c r="C252" t="s">
        <v>496</v>
      </c>
      <c r="D252" s="1">
        <v>45329.249027777776</v>
      </c>
      <c r="E252" s="1">
        <v>45329.32472222222</v>
      </c>
      <c r="F252">
        <v>375</v>
      </c>
      <c r="G252">
        <v>20</v>
      </c>
      <c r="H252" t="s">
        <v>21</v>
      </c>
      <c r="I252" s="2">
        <v>0.1</v>
      </c>
      <c r="J252">
        <v>138</v>
      </c>
      <c r="K252">
        <v>34</v>
      </c>
      <c r="L252">
        <v>0</v>
      </c>
    </row>
    <row r="253" spans="1:12" x14ac:dyDescent="0.25">
      <c r="A253">
        <v>252</v>
      </c>
      <c r="B253" t="s">
        <v>497</v>
      </c>
      <c r="C253" t="s">
        <v>297</v>
      </c>
      <c r="D253" s="1">
        <v>45292.736643518518</v>
      </c>
      <c r="E253" s="1">
        <v>45292.778310185182</v>
      </c>
      <c r="F253">
        <v>479</v>
      </c>
      <c r="G253">
        <v>20</v>
      </c>
      <c r="H253" t="s">
        <v>21</v>
      </c>
      <c r="I253" t="s">
        <v>15</v>
      </c>
      <c r="J253">
        <v>164</v>
      </c>
      <c r="K253">
        <v>40</v>
      </c>
      <c r="L253">
        <v>0</v>
      </c>
    </row>
    <row r="254" spans="1:12" x14ac:dyDescent="0.25">
      <c r="A254">
        <v>253</v>
      </c>
      <c r="B254" t="s">
        <v>53</v>
      </c>
      <c r="C254" t="s">
        <v>136</v>
      </c>
      <c r="D254" s="1">
        <v>45295.076365740744</v>
      </c>
      <c r="E254" s="1">
        <v>45295.147893518515</v>
      </c>
      <c r="F254">
        <v>1866</v>
      </c>
      <c r="G254">
        <v>20</v>
      </c>
      <c r="H254" t="s">
        <v>18</v>
      </c>
      <c r="I254" t="s">
        <v>28</v>
      </c>
      <c r="J254">
        <v>148</v>
      </c>
      <c r="K254">
        <v>12</v>
      </c>
      <c r="L254">
        <v>0</v>
      </c>
    </row>
    <row r="255" spans="1:12" x14ac:dyDescent="0.25">
      <c r="A255">
        <v>254</v>
      </c>
      <c r="B255" t="s">
        <v>498</v>
      </c>
      <c r="C255" t="s">
        <v>499</v>
      </c>
      <c r="D255" s="1">
        <v>45309.71775462963</v>
      </c>
      <c r="E255" s="1">
        <v>45309.751087962963</v>
      </c>
      <c r="F255">
        <v>1432</v>
      </c>
      <c r="G255">
        <v>40</v>
      </c>
      <c r="H255" t="s">
        <v>21</v>
      </c>
      <c r="I255" s="2">
        <v>0.1</v>
      </c>
      <c r="J255">
        <v>96</v>
      </c>
      <c r="K255">
        <v>11</v>
      </c>
      <c r="L255">
        <v>0</v>
      </c>
    </row>
    <row r="256" spans="1:12" x14ac:dyDescent="0.25">
      <c r="A256">
        <v>255</v>
      </c>
      <c r="B256" t="s">
        <v>500</v>
      </c>
      <c r="C256" t="s">
        <v>128</v>
      </c>
      <c r="D256" s="1">
        <v>45313.455451388887</v>
      </c>
      <c r="E256" s="1">
        <v>45313.495034722226</v>
      </c>
      <c r="F256">
        <v>1754</v>
      </c>
      <c r="G256">
        <v>40</v>
      </c>
      <c r="H256" t="s">
        <v>18</v>
      </c>
      <c r="I256" s="2">
        <v>0.1</v>
      </c>
      <c r="J256">
        <v>120</v>
      </c>
      <c r="K256">
        <v>34</v>
      </c>
      <c r="L256">
        <v>0</v>
      </c>
    </row>
    <row r="257" spans="1:12" x14ac:dyDescent="0.25">
      <c r="A257">
        <v>256</v>
      </c>
      <c r="B257" t="s">
        <v>501</v>
      </c>
      <c r="C257" t="s">
        <v>502</v>
      </c>
      <c r="D257" s="1">
        <v>45313.798333333332</v>
      </c>
      <c r="E257" s="1">
        <v>45313.874722222223</v>
      </c>
      <c r="F257">
        <v>1391</v>
      </c>
      <c r="G257">
        <v>50</v>
      </c>
      <c r="H257" t="s">
        <v>14</v>
      </c>
      <c r="I257" t="s">
        <v>15</v>
      </c>
      <c r="J257">
        <v>116</v>
      </c>
      <c r="K257">
        <v>15</v>
      </c>
      <c r="L257">
        <v>0</v>
      </c>
    </row>
    <row r="258" spans="1:12" x14ac:dyDescent="0.25">
      <c r="A258">
        <v>257</v>
      </c>
      <c r="B258" t="s">
        <v>503</v>
      </c>
      <c r="C258" t="s">
        <v>166</v>
      </c>
      <c r="D258" s="1">
        <v>45324.716249999998</v>
      </c>
      <c r="E258" s="1">
        <v>45324.755833333336</v>
      </c>
      <c r="F258">
        <v>1044</v>
      </c>
      <c r="G258">
        <v>40</v>
      </c>
      <c r="H258" t="s">
        <v>18</v>
      </c>
      <c r="I258" t="s">
        <v>15</v>
      </c>
      <c r="J258">
        <v>111</v>
      </c>
      <c r="K258">
        <v>35</v>
      </c>
      <c r="L258">
        <v>100</v>
      </c>
    </row>
    <row r="259" spans="1:12" x14ac:dyDescent="0.25">
      <c r="A259">
        <v>258</v>
      </c>
      <c r="B259" t="s">
        <v>504</v>
      </c>
      <c r="C259" t="s">
        <v>505</v>
      </c>
      <c r="D259" s="1">
        <v>45326.966400462959</v>
      </c>
      <c r="E259" s="1">
        <v>45326.9997337963</v>
      </c>
      <c r="F259">
        <v>1908</v>
      </c>
      <c r="G259">
        <v>50</v>
      </c>
      <c r="H259" t="s">
        <v>14</v>
      </c>
      <c r="I259" t="s">
        <v>28</v>
      </c>
      <c r="J259">
        <v>158</v>
      </c>
      <c r="K259">
        <v>17</v>
      </c>
      <c r="L259">
        <v>0</v>
      </c>
    </row>
    <row r="260" spans="1:12" x14ac:dyDescent="0.25">
      <c r="A260">
        <v>259</v>
      </c>
      <c r="B260" t="s">
        <v>506</v>
      </c>
      <c r="C260" t="s">
        <v>507</v>
      </c>
      <c r="D260" s="1">
        <v>45329.794710648152</v>
      </c>
      <c r="E260" s="1">
        <v>45329.8752662037</v>
      </c>
      <c r="F260">
        <v>1187</v>
      </c>
      <c r="G260">
        <v>40</v>
      </c>
      <c r="H260" t="s">
        <v>18</v>
      </c>
      <c r="I260" t="s">
        <v>25</v>
      </c>
      <c r="J260">
        <v>86</v>
      </c>
      <c r="K260">
        <v>44</v>
      </c>
      <c r="L260">
        <v>0</v>
      </c>
    </row>
    <row r="261" spans="1:12" x14ac:dyDescent="0.25">
      <c r="A261">
        <v>260</v>
      </c>
      <c r="B261" t="s">
        <v>508</v>
      </c>
      <c r="C261" t="s">
        <v>509</v>
      </c>
      <c r="D261" s="1">
        <v>45293.801886574074</v>
      </c>
      <c r="E261" s="1">
        <v>45293.835914351854</v>
      </c>
      <c r="F261">
        <v>909</v>
      </c>
      <c r="G261">
        <v>0</v>
      </c>
      <c r="H261" t="s">
        <v>21</v>
      </c>
      <c r="I261" t="s">
        <v>25</v>
      </c>
      <c r="J261">
        <v>168</v>
      </c>
      <c r="K261">
        <v>36</v>
      </c>
      <c r="L261">
        <v>0</v>
      </c>
    </row>
    <row r="262" spans="1:12" x14ac:dyDescent="0.25">
      <c r="A262">
        <v>261</v>
      </c>
      <c r="B262" t="s">
        <v>510</v>
      </c>
      <c r="C262" t="s">
        <v>511</v>
      </c>
      <c r="D262" s="1">
        <v>45326.762442129628</v>
      </c>
      <c r="E262" s="1">
        <v>45326.791608796295</v>
      </c>
      <c r="F262">
        <v>1473</v>
      </c>
      <c r="G262">
        <v>0</v>
      </c>
      <c r="H262" t="s">
        <v>18</v>
      </c>
      <c r="I262" t="s">
        <v>22</v>
      </c>
      <c r="J262">
        <v>135</v>
      </c>
      <c r="K262">
        <v>34</v>
      </c>
      <c r="L262">
        <v>0</v>
      </c>
    </row>
    <row r="263" spans="1:12" x14ac:dyDescent="0.25">
      <c r="A263">
        <v>262</v>
      </c>
      <c r="B263" t="s">
        <v>512</v>
      </c>
      <c r="C263" t="s">
        <v>513</v>
      </c>
      <c r="D263" s="1">
        <v>45299.317812499998</v>
      </c>
      <c r="E263" s="1">
        <v>45299.391423611109</v>
      </c>
      <c r="F263">
        <v>1024</v>
      </c>
      <c r="G263">
        <v>50</v>
      </c>
      <c r="H263" t="s">
        <v>21</v>
      </c>
      <c r="I263" s="2">
        <v>0.1</v>
      </c>
      <c r="J263">
        <v>175</v>
      </c>
      <c r="K263">
        <v>27</v>
      </c>
      <c r="L263">
        <v>0</v>
      </c>
    </row>
    <row r="264" spans="1:12" x14ac:dyDescent="0.25">
      <c r="A264">
        <v>263</v>
      </c>
      <c r="B264" t="s">
        <v>514</v>
      </c>
      <c r="C264" t="s">
        <v>515</v>
      </c>
      <c r="D264" s="1">
        <v>45298.208761574075</v>
      </c>
      <c r="E264" s="1">
        <v>45298.258761574078</v>
      </c>
      <c r="F264">
        <v>593</v>
      </c>
      <c r="G264">
        <v>40</v>
      </c>
      <c r="H264" t="s">
        <v>14</v>
      </c>
      <c r="I264" t="s">
        <v>28</v>
      </c>
      <c r="J264">
        <v>185</v>
      </c>
      <c r="K264">
        <v>10</v>
      </c>
      <c r="L264">
        <v>0</v>
      </c>
    </row>
    <row r="265" spans="1:12" x14ac:dyDescent="0.25">
      <c r="A265">
        <v>264</v>
      </c>
      <c r="B265" t="s">
        <v>516</v>
      </c>
      <c r="C265" t="s">
        <v>517</v>
      </c>
      <c r="D265" s="1">
        <v>45308.328958333332</v>
      </c>
      <c r="E265" s="1">
        <v>45308.356736111113</v>
      </c>
      <c r="F265">
        <v>1646</v>
      </c>
      <c r="G265">
        <v>40</v>
      </c>
      <c r="H265" t="s">
        <v>18</v>
      </c>
      <c r="I265" s="2">
        <v>0.1</v>
      </c>
      <c r="J265">
        <v>101</v>
      </c>
      <c r="K265">
        <v>48</v>
      </c>
      <c r="L265">
        <v>150</v>
      </c>
    </row>
    <row r="266" spans="1:12" x14ac:dyDescent="0.25">
      <c r="A266">
        <v>265</v>
      </c>
      <c r="B266" t="s">
        <v>518</v>
      </c>
      <c r="C266" t="s">
        <v>519</v>
      </c>
      <c r="D266" s="1">
        <v>45307.855428240742</v>
      </c>
      <c r="E266" s="1">
        <v>45307.908900462964</v>
      </c>
      <c r="F266">
        <v>1221</v>
      </c>
      <c r="G266">
        <v>20</v>
      </c>
      <c r="H266" t="s">
        <v>21</v>
      </c>
      <c r="I266" t="s">
        <v>28</v>
      </c>
      <c r="J266">
        <v>140</v>
      </c>
      <c r="K266">
        <v>12</v>
      </c>
      <c r="L266">
        <v>100</v>
      </c>
    </row>
    <row r="267" spans="1:12" x14ac:dyDescent="0.25">
      <c r="A267">
        <v>266</v>
      </c>
      <c r="B267" t="s">
        <v>520</v>
      </c>
      <c r="C267" t="s">
        <v>521</v>
      </c>
      <c r="D267" s="1">
        <v>45312.970370370371</v>
      </c>
      <c r="E267" s="1">
        <v>45313.000925925924</v>
      </c>
      <c r="F267">
        <v>1194</v>
      </c>
      <c r="G267">
        <v>30</v>
      </c>
      <c r="H267" t="s">
        <v>14</v>
      </c>
      <c r="I267" t="s">
        <v>28</v>
      </c>
      <c r="J267">
        <v>82</v>
      </c>
      <c r="K267">
        <v>13</v>
      </c>
      <c r="L267">
        <v>0</v>
      </c>
    </row>
    <row r="268" spans="1:12" x14ac:dyDescent="0.25">
      <c r="A268">
        <v>267</v>
      </c>
      <c r="B268" t="s">
        <v>522</v>
      </c>
      <c r="C268" t="s">
        <v>227</v>
      </c>
      <c r="D268" s="1">
        <v>45315.006423611114</v>
      </c>
      <c r="E268" s="1">
        <v>45315.038368055553</v>
      </c>
      <c r="F268">
        <v>463</v>
      </c>
      <c r="G268">
        <v>50</v>
      </c>
      <c r="H268" t="s">
        <v>14</v>
      </c>
      <c r="I268" t="s">
        <v>28</v>
      </c>
      <c r="J268">
        <v>130</v>
      </c>
      <c r="K268">
        <v>50</v>
      </c>
      <c r="L268">
        <v>0</v>
      </c>
    </row>
    <row r="269" spans="1:12" x14ac:dyDescent="0.25">
      <c r="A269">
        <v>268</v>
      </c>
      <c r="B269" t="s">
        <v>523</v>
      </c>
      <c r="C269" t="s">
        <v>524</v>
      </c>
      <c r="D269" s="1">
        <v>45314.060636574075</v>
      </c>
      <c r="E269" s="1">
        <v>45314.118275462963</v>
      </c>
      <c r="F269">
        <v>669</v>
      </c>
      <c r="G269">
        <v>30</v>
      </c>
      <c r="H269" t="s">
        <v>18</v>
      </c>
      <c r="I269" s="2">
        <v>0.1</v>
      </c>
      <c r="J269">
        <v>91</v>
      </c>
      <c r="K269">
        <v>46</v>
      </c>
      <c r="L269">
        <v>0</v>
      </c>
    </row>
    <row r="270" spans="1:12" x14ac:dyDescent="0.25">
      <c r="A270">
        <v>269</v>
      </c>
      <c r="B270" t="s">
        <v>525</v>
      </c>
      <c r="C270" t="s">
        <v>526</v>
      </c>
      <c r="D270" s="1">
        <v>45298.561990740738</v>
      </c>
      <c r="E270" s="1">
        <v>45298.616851851853</v>
      </c>
      <c r="F270">
        <v>1925</v>
      </c>
      <c r="G270">
        <v>30</v>
      </c>
      <c r="H270" t="s">
        <v>14</v>
      </c>
      <c r="I270" t="s">
        <v>15</v>
      </c>
      <c r="J270">
        <v>161</v>
      </c>
      <c r="K270">
        <v>24</v>
      </c>
      <c r="L270">
        <v>0</v>
      </c>
    </row>
    <row r="271" spans="1:12" x14ac:dyDescent="0.25">
      <c r="A271">
        <v>270</v>
      </c>
      <c r="B271" t="s">
        <v>527</v>
      </c>
      <c r="C271" t="s">
        <v>528</v>
      </c>
      <c r="D271" s="1">
        <v>45308.845659722225</v>
      </c>
      <c r="E271" s="1">
        <v>45308.885243055556</v>
      </c>
      <c r="F271">
        <v>862</v>
      </c>
      <c r="G271">
        <v>50</v>
      </c>
      <c r="H271" t="s">
        <v>21</v>
      </c>
      <c r="I271" s="2">
        <v>0.1</v>
      </c>
      <c r="J271">
        <v>175</v>
      </c>
      <c r="K271">
        <v>17</v>
      </c>
      <c r="L271">
        <v>0</v>
      </c>
    </row>
    <row r="272" spans="1:12" x14ac:dyDescent="0.25">
      <c r="A272">
        <v>271</v>
      </c>
      <c r="B272" t="s">
        <v>529</v>
      </c>
      <c r="C272" t="s">
        <v>530</v>
      </c>
      <c r="D272" s="1">
        <v>45303.506597222222</v>
      </c>
      <c r="E272" s="1">
        <v>45303.584374999999</v>
      </c>
      <c r="F272">
        <v>375</v>
      </c>
      <c r="G272">
        <v>40</v>
      </c>
      <c r="H272" t="s">
        <v>14</v>
      </c>
      <c r="I272" t="s">
        <v>28</v>
      </c>
      <c r="J272">
        <v>185</v>
      </c>
      <c r="K272">
        <v>47</v>
      </c>
      <c r="L272">
        <v>0</v>
      </c>
    </row>
    <row r="273" spans="1:12" x14ac:dyDescent="0.25">
      <c r="A273">
        <v>272</v>
      </c>
      <c r="B273" t="s">
        <v>531</v>
      </c>
      <c r="C273" t="s">
        <v>532</v>
      </c>
      <c r="D273" s="1">
        <v>45323.361620370371</v>
      </c>
      <c r="E273" s="1">
        <v>45323.38453703704</v>
      </c>
      <c r="F273">
        <v>149</v>
      </c>
      <c r="G273">
        <v>50</v>
      </c>
      <c r="H273" t="s">
        <v>14</v>
      </c>
      <c r="I273" t="s">
        <v>22</v>
      </c>
      <c r="J273">
        <v>200</v>
      </c>
      <c r="K273">
        <v>28</v>
      </c>
      <c r="L273">
        <v>0</v>
      </c>
    </row>
    <row r="274" spans="1:12" x14ac:dyDescent="0.25">
      <c r="A274">
        <v>273</v>
      </c>
      <c r="B274" t="s">
        <v>533</v>
      </c>
      <c r="C274" t="s">
        <v>534</v>
      </c>
      <c r="D274" s="1">
        <v>45294.451736111114</v>
      </c>
      <c r="E274" s="1">
        <v>45294.48715277778</v>
      </c>
      <c r="F274">
        <v>1481</v>
      </c>
      <c r="G274">
        <v>30</v>
      </c>
      <c r="H274" t="s">
        <v>21</v>
      </c>
      <c r="I274" t="s">
        <v>25</v>
      </c>
      <c r="J274">
        <v>155</v>
      </c>
      <c r="K274">
        <v>35</v>
      </c>
      <c r="L274">
        <v>0</v>
      </c>
    </row>
    <row r="275" spans="1:12" x14ac:dyDescent="0.25">
      <c r="A275">
        <v>274</v>
      </c>
      <c r="B275" t="s">
        <v>535</v>
      </c>
      <c r="C275" t="s">
        <v>536</v>
      </c>
      <c r="D275" s="1">
        <v>45306.410613425927</v>
      </c>
      <c r="E275" s="1">
        <v>45306.490474537037</v>
      </c>
      <c r="F275">
        <v>827</v>
      </c>
      <c r="G275">
        <v>40</v>
      </c>
      <c r="H275" t="s">
        <v>14</v>
      </c>
      <c r="I275" t="s">
        <v>28</v>
      </c>
      <c r="J275">
        <v>174</v>
      </c>
      <c r="K275">
        <v>48</v>
      </c>
      <c r="L275">
        <v>100</v>
      </c>
    </row>
    <row r="276" spans="1:12" x14ac:dyDescent="0.25">
      <c r="A276">
        <v>275</v>
      </c>
      <c r="B276" t="s">
        <v>537</v>
      </c>
      <c r="C276" t="s">
        <v>538</v>
      </c>
      <c r="D276" s="1">
        <v>45318.183935185189</v>
      </c>
      <c r="E276" s="1">
        <v>45318.231157407405</v>
      </c>
      <c r="F276">
        <v>1005</v>
      </c>
      <c r="G276">
        <v>0</v>
      </c>
      <c r="H276" t="s">
        <v>14</v>
      </c>
      <c r="I276" t="s">
        <v>22</v>
      </c>
      <c r="J276">
        <v>162</v>
      </c>
      <c r="K276">
        <v>19</v>
      </c>
      <c r="L276">
        <v>0</v>
      </c>
    </row>
    <row r="277" spans="1:12" x14ac:dyDescent="0.25">
      <c r="A277">
        <v>276</v>
      </c>
      <c r="B277" t="s">
        <v>539</v>
      </c>
      <c r="C277" t="s">
        <v>332</v>
      </c>
      <c r="D277" s="1">
        <v>45312.749131944445</v>
      </c>
      <c r="E277" s="1">
        <v>45312.792881944442</v>
      </c>
      <c r="F277">
        <v>1027</v>
      </c>
      <c r="G277">
        <v>50</v>
      </c>
      <c r="H277" t="s">
        <v>14</v>
      </c>
      <c r="I277" t="s">
        <v>15</v>
      </c>
      <c r="J277">
        <v>113</v>
      </c>
      <c r="K277">
        <v>47</v>
      </c>
      <c r="L277">
        <v>100</v>
      </c>
    </row>
    <row r="278" spans="1:12" x14ac:dyDescent="0.25">
      <c r="A278">
        <v>277</v>
      </c>
      <c r="B278" t="s">
        <v>370</v>
      </c>
      <c r="C278" t="s">
        <v>540</v>
      </c>
      <c r="D278" s="1">
        <v>45318.878611111111</v>
      </c>
      <c r="E278" s="1">
        <v>45318.929305555554</v>
      </c>
      <c r="F278">
        <v>663</v>
      </c>
      <c r="G278">
        <v>50</v>
      </c>
      <c r="H278" t="s">
        <v>14</v>
      </c>
      <c r="I278" t="s">
        <v>28</v>
      </c>
      <c r="J278">
        <v>172</v>
      </c>
      <c r="K278">
        <v>23</v>
      </c>
      <c r="L278">
        <v>0</v>
      </c>
    </row>
    <row r="279" spans="1:12" x14ac:dyDescent="0.25">
      <c r="A279">
        <v>278</v>
      </c>
      <c r="B279" t="s">
        <v>541</v>
      </c>
      <c r="C279" t="s">
        <v>542</v>
      </c>
      <c r="D279" s="1">
        <v>45298.500833333332</v>
      </c>
      <c r="E279" s="1">
        <v>45298.550138888888</v>
      </c>
      <c r="F279">
        <v>882</v>
      </c>
      <c r="G279">
        <v>40</v>
      </c>
      <c r="H279" t="s">
        <v>21</v>
      </c>
      <c r="I279" t="s">
        <v>22</v>
      </c>
      <c r="J279">
        <v>163</v>
      </c>
      <c r="K279">
        <v>50</v>
      </c>
      <c r="L279">
        <v>150</v>
      </c>
    </row>
    <row r="280" spans="1:12" x14ac:dyDescent="0.25">
      <c r="A280">
        <v>279</v>
      </c>
      <c r="B280" t="s">
        <v>543</v>
      </c>
      <c r="C280" t="s">
        <v>346</v>
      </c>
      <c r="D280" s="1">
        <v>45298.041643518518</v>
      </c>
      <c r="E280" s="1">
        <v>45298.089560185188</v>
      </c>
      <c r="F280">
        <v>584</v>
      </c>
      <c r="G280">
        <v>0</v>
      </c>
      <c r="H280" t="s">
        <v>14</v>
      </c>
      <c r="I280" t="s">
        <v>28</v>
      </c>
      <c r="J280">
        <v>69</v>
      </c>
      <c r="K280">
        <v>28</v>
      </c>
      <c r="L280">
        <v>0</v>
      </c>
    </row>
    <row r="281" spans="1:12" x14ac:dyDescent="0.25">
      <c r="A281">
        <v>280</v>
      </c>
      <c r="B281" t="s">
        <v>544</v>
      </c>
      <c r="C281" t="s">
        <v>545</v>
      </c>
      <c r="D281" s="1">
        <v>45323.288993055554</v>
      </c>
      <c r="E281" s="1">
        <v>45323.317465277774</v>
      </c>
      <c r="F281">
        <v>1207</v>
      </c>
      <c r="G281">
        <v>0</v>
      </c>
      <c r="H281" t="s">
        <v>21</v>
      </c>
      <c r="I281" s="2">
        <v>0.1</v>
      </c>
      <c r="J281">
        <v>65</v>
      </c>
      <c r="K281">
        <v>39</v>
      </c>
      <c r="L281">
        <v>0</v>
      </c>
    </row>
    <row r="282" spans="1:12" x14ac:dyDescent="0.25">
      <c r="A282">
        <v>281</v>
      </c>
      <c r="B282" t="s">
        <v>447</v>
      </c>
      <c r="C282" t="s">
        <v>546</v>
      </c>
      <c r="D282" s="1">
        <v>45312.925833333335</v>
      </c>
      <c r="E282" s="1">
        <v>45312.94736111111</v>
      </c>
      <c r="F282">
        <v>1928</v>
      </c>
      <c r="G282">
        <v>40</v>
      </c>
      <c r="H282" t="s">
        <v>14</v>
      </c>
      <c r="I282" t="s">
        <v>22</v>
      </c>
      <c r="J282">
        <v>194</v>
      </c>
      <c r="K282">
        <v>14</v>
      </c>
      <c r="L282">
        <v>0</v>
      </c>
    </row>
    <row r="283" spans="1:12" x14ac:dyDescent="0.25">
      <c r="A283">
        <v>282</v>
      </c>
      <c r="B283" t="s">
        <v>547</v>
      </c>
      <c r="C283" t="s">
        <v>548</v>
      </c>
      <c r="D283" s="1">
        <v>45292.872546296298</v>
      </c>
      <c r="E283" s="1">
        <v>45292.912129629629</v>
      </c>
      <c r="F283">
        <v>1761</v>
      </c>
      <c r="G283">
        <v>20</v>
      </c>
      <c r="H283" t="s">
        <v>14</v>
      </c>
      <c r="I283" s="2">
        <v>0.1</v>
      </c>
      <c r="J283">
        <v>68</v>
      </c>
      <c r="K283">
        <v>40</v>
      </c>
      <c r="L283">
        <v>150</v>
      </c>
    </row>
    <row r="284" spans="1:12" x14ac:dyDescent="0.25">
      <c r="A284">
        <v>283</v>
      </c>
      <c r="B284" t="s">
        <v>549</v>
      </c>
      <c r="C284" t="s">
        <v>550</v>
      </c>
      <c r="D284" s="1">
        <v>45322.70417824074</v>
      </c>
      <c r="E284" s="1">
        <v>45322.775706018518</v>
      </c>
      <c r="F284">
        <v>1931</v>
      </c>
      <c r="G284">
        <v>50</v>
      </c>
      <c r="H284" t="s">
        <v>14</v>
      </c>
      <c r="I284" s="2">
        <v>0.1</v>
      </c>
      <c r="J284">
        <v>169</v>
      </c>
      <c r="K284">
        <v>16</v>
      </c>
      <c r="L284">
        <v>100</v>
      </c>
    </row>
    <row r="285" spans="1:12" x14ac:dyDescent="0.25">
      <c r="A285">
        <v>284</v>
      </c>
      <c r="B285" t="s">
        <v>551</v>
      </c>
      <c r="C285" t="s">
        <v>104</v>
      </c>
      <c r="D285" s="1">
        <v>45322.276377314818</v>
      </c>
      <c r="E285" s="1">
        <v>45322.356238425928</v>
      </c>
      <c r="F285">
        <v>683</v>
      </c>
      <c r="G285">
        <v>50</v>
      </c>
      <c r="H285" t="s">
        <v>14</v>
      </c>
      <c r="I285" t="s">
        <v>22</v>
      </c>
      <c r="J285">
        <v>185</v>
      </c>
      <c r="K285">
        <v>28</v>
      </c>
      <c r="L285">
        <v>150</v>
      </c>
    </row>
    <row r="286" spans="1:12" x14ac:dyDescent="0.25">
      <c r="A286">
        <v>285</v>
      </c>
      <c r="B286" t="s">
        <v>552</v>
      </c>
      <c r="C286" t="s">
        <v>30</v>
      </c>
      <c r="D286" s="1">
        <v>45312.552858796298</v>
      </c>
      <c r="E286" s="1">
        <v>45312.629247685189</v>
      </c>
      <c r="F286">
        <v>1419</v>
      </c>
      <c r="G286">
        <v>30</v>
      </c>
      <c r="H286" t="s">
        <v>21</v>
      </c>
      <c r="I286" t="s">
        <v>25</v>
      </c>
      <c r="J286">
        <v>87</v>
      </c>
      <c r="K286">
        <v>40</v>
      </c>
      <c r="L286">
        <v>0</v>
      </c>
    </row>
    <row r="287" spans="1:12" x14ac:dyDescent="0.25">
      <c r="A287">
        <v>286</v>
      </c>
      <c r="B287" t="s">
        <v>553</v>
      </c>
      <c r="C287" t="s">
        <v>554</v>
      </c>
      <c r="D287" s="1">
        <v>45318.964733796296</v>
      </c>
      <c r="E287" s="1">
        <v>45319.047372685185</v>
      </c>
      <c r="F287">
        <v>335</v>
      </c>
      <c r="G287">
        <v>40</v>
      </c>
      <c r="H287" t="s">
        <v>21</v>
      </c>
      <c r="I287" t="s">
        <v>22</v>
      </c>
      <c r="J287">
        <v>142</v>
      </c>
      <c r="K287">
        <v>48</v>
      </c>
      <c r="L287">
        <v>0</v>
      </c>
    </row>
    <row r="288" spans="1:12" x14ac:dyDescent="0.25">
      <c r="A288">
        <v>287</v>
      </c>
      <c r="B288" t="s">
        <v>555</v>
      </c>
      <c r="C288" t="s">
        <v>556</v>
      </c>
      <c r="D288" s="1">
        <v>45329.888449074075</v>
      </c>
      <c r="E288" s="1">
        <v>45329.95511574074</v>
      </c>
      <c r="F288">
        <v>155</v>
      </c>
      <c r="G288">
        <v>30</v>
      </c>
      <c r="H288" t="s">
        <v>21</v>
      </c>
      <c r="I288" t="s">
        <v>25</v>
      </c>
      <c r="J288">
        <v>154</v>
      </c>
      <c r="K288">
        <v>33</v>
      </c>
      <c r="L288">
        <v>50</v>
      </c>
    </row>
    <row r="289" spans="1:12" x14ac:dyDescent="0.25">
      <c r="A289">
        <v>288</v>
      </c>
      <c r="B289" t="s">
        <v>51</v>
      </c>
      <c r="C289" t="s">
        <v>344</v>
      </c>
      <c r="D289" s="1">
        <v>45304.530787037038</v>
      </c>
      <c r="E289" s="1">
        <v>45304.600231481483</v>
      </c>
      <c r="F289">
        <v>459</v>
      </c>
      <c r="G289">
        <v>30</v>
      </c>
      <c r="H289" t="s">
        <v>18</v>
      </c>
      <c r="I289" t="s">
        <v>28</v>
      </c>
      <c r="J289">
        <v>149</v>
      </c>
      <c r="K289">
        <v>43</v>
      </c>
      <c r="L289">
        <v>50</v>
      </c>
    </row>
    <row r="290" spans="1:12" x14ac:dyDescent="0.25">
      <c r="A290">
        <v>289</v>
      </c>
      <c r="B290" t="s">
        <v>557</v>
      </c>
      <c r="C290" t="s">
        <v>558</v>
      </c>
      <c r="D290" s="1">
        <v>45307.046701388892</v>
      </c>
      <c r="E290" s="1">
        <v>45307.116840277777</v>
      </c>
      <c r="F290">
        <v>209</v>
      </c>
      <c r="G290">
        <v>0</v>
      </c>
      <c r="H290" t="s">
        <v>14</v>
      </c>
      <c r="I290" t="s">
        <v>28</v>
      </c>
      <c r="J290">
        <v>139</v>
      </c>
      <c r="K290">
        <v>32</v>
      </c>
      <c r="L290">
        <v>0</v>
      </c>
    </row>
    <row r="291" spans="1:12" x14ac:dyDescent="0.25">
      <c r="A291">
        <v>290</v>
      </c>
      <c r="B291" t="s">
        <v>559</v>
      </c>
      <c r="C291" t="s">
        <v>373</v>
      </c>
      <c r="D291" s="1">
        <v>45311.485011574077</v>
      </c>
      <c r="E291" s="1">
        <v>45311.563483796293</v>
      </c>
      <c r="F291">
        <v>291</v>
      </c>
      <c r="G291">
        <v>50</v>
      </c>
      <c r="H291" t="s">
        <v>14</v>
      </c>
      <c r="I291" t="s">
        <v>22</v>
      </c>
      <c r="J291">
        <v>93</v>
      </c>
      <c r="K291">
        <v>49</v>
      </c>
      <c r="L291">
        <v>50</v>
      </c>
    </row>
    <row r="292" spans="1:12" x14ac:dyDescent="0.25">
      <c r="A292">
        <v>291</v>
      </c>
      <c r="B292" t="s">
        <v>560</v>
      </c>
      <c r="C292" t="s">
        <v>317</v>
      </c>
      <c r="D292" s="1">
        <v>45317.489155092589</v>
      </c>
      <c r="E292" s="1">
        <v>45317.562071759261</v>
      </c>
      <c r="F292">
        <v>1003</v>
      </c>
      <c r="G292">
        <v>30</v>
      </c>
      <c r="H292" t="s">
        <v>21</v>
      </c>
      <c r="I292" t="s">
        <v>28</v>
      </c>
      <c r="J292">
        <v>125</v>
      </c>
      <c r="K292">
        <v>15</v>
      </c>
      <c r="L292">
        <v>100</v>
      </c>
    </row>
    <row r="293" spans="1:12" x14ac:dyDescent="0.25">
      <c r="A293">
        <v>292</v>
      </c>
      <c r="B293" t="s">
        <v>561</v>
      </c>
      <c r="C293" t="s">
        <v>562</v>
      </c>
      <c r="D293" s="1">
        <v>45309.333541666667</v>
      </c>
      <c r="E293" s="1">
        <v>45309.409930555557</v>
      </c>
      <c r="F293">
        <v>1216</v>
      </c>
      <c r="G293">
        <v>0</v>
      </c>
      <c r="H293" t="s">
        <v>18</v>
      </c>
      <c r="I293" t="s">
        <v>15</v>
      </c>
      <c r="J293">
        <v>194</v>
      </c>
      <c r="K293">
        <v>47</v>
      </c>
      <c r="L293">
        <v>0</v>
      </c>
    </row>
    <row r="294" spans="1:12" x14ac:dyDescent="0.25">
      <c r="A294">
        <v>293</v>
      </c>
      <c r="B294" t="s">
        <v>563</v>
      </c>
      <c r="C294" t="s">
        <v>564</v>
      </c>
      <c r="D294" s="1">
        <v>45321.24559027778</v>
      </c>
      <c r="E294" s="1">
        <v>45321.272673611114</v>
      </c>
      <c r="F294">
        <v>961</v>
      </c>
      <c r="G294">
        <v>40</v>
      </c>
      <c r="H294" t="s">
        <v>14</v>
      </c>
      <c r="I294" s="2">
        <v>0.1</v>
      </c>
      <c r="J294">
        <v>128</v>
      </c>
      <c r="K294">
        <v>50</v>
      </c>
      <c r="L294">
        <v>0</v>
      </c>
    </row>
    <row r="295" spans="1:12" x14ac:dyDescent="0.25">
      <c r="A295">
        <v>294</v>
      </c>
      <c r="B295" t="s">
        <v>565</v>
      </c>
      <c r="C295" t="s">
        <v>52</v>
      </c>
      <c r="D295" s="1">
        <v>45318.158958333333</v>
      </c>
      <c r="E295" s="1">
        <v>45318.238819444443</v>
      </c>
      <c r="F295">
        <v>667</v>
      </c>
      <c r="G295">
        <v>30</v>
      </c>
      <c r="H295" t="s">
        <v>21</v>
      </c>
      <c r="I295" s="2">
        <v>0.1</v>
      </c>
      <c r="J295">
        <v>122</v>
      </c>
      <c r="K295">
        <v>45</v>
      </c>
      <c r="L295">
        <v>0</v>
      </c>
    </row>
    <row r="296" spans="1:12" x14ac:dyDescent="0.25">
      <c r="A296">
        <v>295</v>
      </c>
      <c r="B296" t="s">
        <v>566</v>
      </c>
      <c r="C296" t="s">
        <v>567</v>
      </c>
      <c r="D296" s="1">
        <v>45319.723807870374</v>
      </c>
      <c r="E296" s="1">
        <v>45319.783530092594</v>
      </c>
      <c r="F296">
        <v>1183</v>
      </c>
      <c r="G296">
        <v>50</v>
      </c>
      <c r="H296" t="s">
        <v>14</v>
      </c>
      <c r="I296" t="s">
        <v>25</v>
      </c>
      <c r="J296">
        <v>189</v>
      </c>
      <c r="K296">
        <v>36</v>
      </c>
      <c r="L296">
        <v>150</v>
      </c>
    </row>
    <row r="297" spans="1:12" x14ac:dyDescent="0.25">
      <c r="A297">
        <v>296</v>
      </c>
      <c r="B297" t="s">
        <v>568</v>
      </c>
      <c r="C297" t="s">
        <v>569</v>
      </c>
      <c r="D297" s="1">
        <v>45294.712800925925</v>
      </c>
      <c r="E297" s="1">
        <v>45294.792662037034</v>
      </c>
      <c r="F297">
        <v>749</v>
      </c>
      <c r="G297">
        <v>30</v>
      </c>
      <c r="H297" t="s">
        <v>14</v>
      </c>
      <c r="I297" t="s">
        <v>28</v>
      </c>
      <c r="J297">
        <v>145</v>
      </c>
      <c r="K297">
        <v>20</v>
      </c>
      <c r="L297">
        <v>150</v>
      </c>
    </row>
    <row r="298" spans="1:12" x14ac:dyDescent="0.25">
      <c r="A298">
        <v>297</v>
      </c>
      <c r="B298" t="s">
        <v>570</v>
      </c>
      <c r="C298" t="s">
        <v>311</v>
      </c>
      <c r="D298" s="1">
        <v>45306.411215277774</v>
      </c>
      <c r="E298" s="1">
        <v>45306.457048611112</v>
      </c>
      <c r="F298">
        <v>138</v>
      </c>
      <c r="G298">
        <v>40</v>
      </c>
      <c r="H298" t="s">
        <v>21</v>
      </c>
      <c r="I298" t="s">
        <v>25</v>
      </c>
      <c r="J298">
        <v>138</v>
      </c>
      <c r="K298">
        <v>14</v>
      </c>
      <c r="L298">
        <v>0</v>
      </c>
    </row>
    <row r="299" spans="1:12" x14ac:dyDescent="0.25">
      <c r="A299">
        <v>298</v>
      </c>
      <c r="B299" t="s">
        <v>571</v>
      </c>
      <c r="C299" t="s">
        <v>572</v>
      </c>
      <c r="D299" s="1">
        <v>45321.617407407408</v>
      </c>
      <c r="E299" s="1">
        <v>45321.691018518519</v>
      </c>
      <c r="F299">
        <v>1663</v>
      </c>
      <c r="G299">
        <v>30</v>
      </c>
      <c r="H299" t="s">
        <v>21</v>
      </c>
      <c r="I299" s="2">
        <v>0.1</v>
      </c>
      <c r="J299">
        <v>152</v>
      </c>
      <c r="K299">
        <v>26</v>
      </c>
      <c r="L299">
        <v>0</v>
      </c>
    </row>
    <row r="300" spans="1:12" x14ac:dyDescent="0.25">
      <c r="A300">
        <v>299</v>
      </c>
      <c r="B300" t="s">
        <v>573</v>
      </c>
      <c r="C300" t="s">
        <v>574</v>
      </c>
      <c r="D300" s="1">
        <v>45297.800625000003</v>
      </c>
      <c r="E300" s="1">
        <v>45297.865208333336</v>
      </c>
      <c r="F300">
        <v>1172</v>
      </c>
      <c r="G300">
        <v>50</v>
      </c>
      <c r="H300" t="s">
        <v>14</v>
      </c>
      <c r="I300" s="2">
        <v>0.1</v>
      </c>
      <c r="J300">
        <v>195</v>
      </c>
      <c r="K300">
        <v>16</v>
      </c>
      <c r="L300">
        <v>100</v>
      </c>
    </row>
    <row r="301" spans="1:12" x14ac:dyDescent="0.25">
      <c r="A301">
        <v>300</v>
      </c>
      <c r="B301" t="s">
        <v>575</v>
      </c>
      <c r="C301" t="s">
        <v>576</v>
      </c>
      <c r="D301" s="1">
        <v>45325.353900462964</v>
      </c>
      <c r="E301" s="1">
        <v>45325.428900462961</v>
      </c>
      <c r="F301">
        <v>1543</v>
      </c>
      <c r="G301">
        <v>0</v>
      </c>
      <c r="H301" t="s">
        <v>14</v>
      </c>
      <c r="I301" t="s">
        <v>28</v>
      </c>
      <c r="J301">
        <v>55</v>
      </c>
      <c r="K301">
        <v>36</v>
      </c>
      <c r="L301">
        <v>0</v>
      </c>
    </row>
    <row r="302" spans="1:12" x14ac:dyDescent="0.25">
      <c r="A302">
        <v>301</v>
      </c>
      <c r="B302" t="s">
        <v>577</v>
      </c>
      <c r="C302" t="s">
        <v>578</v>
      </c>
      <c r="D302" s="1">
        <v>45323.817083333335</v>
      </c>
      <c r="E302" s="1">
        <v>45323.896944444445</v>
      </c>
      <c r="F302">
        <v>736</v>
      </c>
      <c r="G302">
        <v>50</v>
      </c>
      <c r="H302" t="s">
        <v>21</v>
      </c>
      <c r="I302" t="s">
        <v>15</v>
      </c>
      <c r="J302">
        <v>171</v>
      </c>
      <c r="K302">
        <v>24</v>
      </c>
      <c r="L302">
        <v>0</v>
      </c>
    </row>
    <row r="303" spans="1:12" x14ac:dyDescent="0.25">
      <c r="A303">
        <v>302</v>
      </c>
      <c r="B303" t="s">
        <v>579</v>
      </c>
      <c r="C303" t="s">
        <v>580</v>
      </c>
      <c r="D303" s="1">
        <v>45294.259791666664</v>
      </c>
      <c r="E303" s="1">
        <v>45294.307708333334</v>
      </c>
      <c r="F303">
        <v>1136</v>
      </c>
      <c r="G303">
        <v>0</v>
      </c>
      <c r="H303" t="s">
        <v>14</v>
      </c>
      <c r="I303" t="s">
        <v>15</v>
      </c>
      <c r="J303">
        <v>165</v>
      </c>
      <c r="K303">
        <v>22</v>
      </c>
      <c r="L303">
        <v>0</v>
      </c>
    </row>
    <row r="304" spans="1:12" x14ac:dyDescent="0.25">
      <c r="A304">
        <v>303</v>
      </c>
      <c r="B304" t="s">
        <v>581</v>
      </c>
      <c r="C304" t="s">
        <v>469</v>
      </c>
      <c r="D304" s="1">
        <v>45319.122615740744</v>
      </c>
      <c r="E304" s="1">
        <v>45319.184421296297</v>
      </c>
      <c r="F304">
        <v>135</v>
      </c>
      <c r="G304">
        <v>20</v>
      </c>
      <c r="H304" t="s">
        <v>14</v>
      </c>
      <c r="I304" t="s">
        <v>28</v>
      </c>
      <c r="J304">
        <v>111</v>
      </c>
      <c r="K304">
        <v>20</v>
      </c>
      <c r="L304">
        <v>50</v>
      </c>
    </row>
    <row r="305" spans="1:12" x14ac:dyDescent="0.25">
      <c r="A305">
        <v>304</v>
      </c>
      <c r="B305" t="s">
        <v>582</v>
      </c>
      <c r="C305" t="s">
        <v>583</v>
      </c>
      <c r="D305" s="1">
        <v>45297.915312500001</v>
      </c>
      <c r="E305" s="1">
        <v>45297.968784722223</v>
      </c>
      <c r="F305">
        <v>200</v>
      </c>
      <c r="G305">
        <v>50</v>
      </c>
      <c r="H305" t="s">
        <v>21</v>
      </c>
      <c r="I305" t="s">
        <v>28</v>
      </c>
      <c r="J305">
        <v>193</v>
      </c>
      <c r="K305">
        <v>35</v>
      </c>
      <c r="L305">
        <v>0</v>
      </c>
    </row>
    <row r="306" spans="1:12" x14ac:dyDescent="0.25">
      <c r="A306">
        <v>305</v>
      </c>
      <c r="B306" t="s">
        <v>584</v>
      </c>
      <c r="C306" t="s">
        <v>227</v>
      </c>
      <c r="D306" s="1">
        <v>45316.476678240739</v>
      </c>
      <c r="E306" s="1">
        <v>45316.510011574072</v>
      </c>
      <c r="F306">
        <v>1917</v>
      </c>
      <c r="G306">
        <v>50</v>
      </c>
      <c r="H306" t="s">
        <v>14</v>
      </c>
      <c r="I306" t="s">
        <v>25</v>
      </c>
      <c r="J306">
        <v>185</v>
      </c>
      <c r="K306">
        <v>31</v>
      </c>
      <c r="L306">
        <v>0</v>
      </c>
    </row>
    <row r="307" spans="1:12" x14ac:dyDescent="0.25">
      <c r="A307">
        <v>306</v>
      </c>
      <c r="B307" t="s">
        <v>585</v>
      </c>
      <c r="C307" t="s">
        <v>586</v>
      </c>
      <c r="D307" s="1">
        <v>45303.717407407406</v>
      </c>
      <c r="E307" s="1">
        <v>45303.787546296298</v>
      </c>
      <c r="F307">
        <v>1209</v>
      </c>
      <c r="G307">
        <v>40</v>
      </c>
      <c r="H307" t="s">
        <v>14</v>
      </c>
      <c r="I307" t="s">
        <v>28</v>
      </c>
      <c r="J307">
        <v>138</v>
      </c>
      <c r="K307">
        <v>37</v>
      </c>
      <c r="L307">
        <v>150</v>
      </c>
    </row>
    <row r="308" spans="1:12" x14ac:dyDescent="0.25">
      <c r="A308">
        <v>307</v>
      </c>
      <c r="B308" t="s">
        <v>587</v>
      </c>
      <c r="C308" t="s">
        <v>588</v>
      </c>
      <c r="D308" s="1">
        <v>45302.034305555557</v>
      </c>
      <c r="E308" s="1">
        <v>45302.077361111114</v>
      </c>
      <c r="F308">
        <v>1639</v>
      </c>
      <c r="G308">
        <v>30</v>
      </c>
      <c r="H308" t="s">
        <v>18</v>
      </c>
      <c r="I308" t="s">
        <v>15</v>
      </c>
      <c r="J308">
        <v>145</v>
      </c>
      <c r="K308">
        <v>33</v>
      </c>
      <c r="L308">
        <v>0</v>
      </c>
    </row>
    <row r="309" spans="1:12" x14ac:dyDescent="0.25">
      <c r="A309">
        <v>308</v>
      </c>
      <c r="B309" t="s">
        <v>589</v>
      </c>
      <c r="C309" t="s">
        <v>590</v>
      </c>
      <c r="D309" s="1">
        <v>45292.568333333336</v>
      </c>
      <c r="E309" s="1">
        <v>45292.619027777779</v>
      </c>
      <c r="F309">
        <v>1346</v>
      </c>
      <c r="G309">
        <v>0</v>
      </c>
      <c r="H309" t="s">
        <v>21</v>
      </c>
      <c r="I309" t="s">
        <v>28</v>
      </c>
      <c r="J309">
        <v>175</v>
      </c>
      <c r="K309">
        <v>38</v>
      </c>
      <c r="L309">
        <v>0</v>
      </c>
    </row>
    <row r="310" spans="1:12" x14ac:dyDescent="0.25">
      <c r="A310">
        <v>309</v>
      </c>
      <c r="B310" t="s">
        <v>591</v>
      </c>
      <c r="C310" t="s">
        <v>592</v>
      </c>
      <c r="D310" s="1">
        <v>45327.373576388891</v>
      </c>
      <c r="E310" s="1">
        <v>45327.419409722221</v>
      </c>
      <c r="F310">
        <v>1461</v>
      </c>
      <c r="G310">
        <v>0</v>
      </c>
      <c r="H310" t="s">
        <v>18</v>
      </c>
      <c r="I310" t="s">
        <v>25</v>
      </c>
      <c r="J310">
        <v>139</v>
      </c>
      <c r="K310">
        <v>18</v>
      </c>
      <c r="L310">
        <v>50</v>
      </c>
    </row>
    <row r="311" spans="1:12" x14ac:dyDescent="0.25">
      <c r="A311">
        <v>310</v>
      </c>
      <c r="B311" t="s">
        <v>593</v>
      </c>
      <c r="C311" t="s">
        <v>594</v>
      </c>
      <c r="D311" s="1">
        <v>45301.996099537035</v>
      </c>
      <c r="E311" s="1">
        <v>45302.078043981484</v>
      </c>
      <c r="F311">
        <v>265</v>
      </c>
      <c r="G311">
        <v>40</v>
      </c>
      <c r="H311" t="s">
        <v>18</v>
      </c>
      <c r="I311" t="s">
        <v>25</v>
      </c>
      <c r="J311">
        <v>135</v>
      </c>
      <c r="K311">
        <v>13</v>
      </c>
      <c r="L311">
        <v>0</v>
      </c>
    </row>
    <row r="312" spans="1:12" x14ac:dyDescent="0.25">
      <c r="A312">
        <v>311</v>
      </c>
      <c r="B312" t="s">
        <v>595</v>
      </c>
      <c r="C312" t="s">
        <v>596</v>
      </c>
      <c r="D312" s="1">
        <v>45329.200416666667</v>
      </c>
      <c r="E312" s="1">
        <v>45329.245555555557</v>
      </c>
      <c r="F312">
        <v>482</v>
      </c>
      <c r="G312">
        <v>40</v>
      </c>
      <c r="H312" t="s">
        <v>18</v>
      </c>
      <c r="I312" t="s">
        <v>25</v>
      </c>
      <c r="J312">
        <v>187</v>
      </c>
      <c r="K312">
        <v>27</v>
      </c>
      <c r="L312">
        <v>0</v>
      </c>
    </row>
    <row r="313" spans="1:12" x14ac:dyDescent="0.25">
      <c r="A313">
        <v>312</v>
      </c>
      <c r="B313" t="s">
        <v>597</v>
      </c>
      <c r="C313" t="s">
        <v>598</v>
      </c>
      <c r="D313" s="1">
        <v>45310.389791666668</v>
      </c>
      <c r="E313" s="1">
        <v>45310.466180555559</v>
      </c>
      <c r="F313">
        <v>1979</v>
      </c>
      <c r="G313">
        <v>30</v>
      </c>
      <c r="H313" t="s">
        <v>14</v>
      </c>
      <c r="I313" t="s">
        <v>25</v>
      </c>
      <c r="J313">
        <v>170</v>
      </c>
      <c r="K313">
        <v>25</v>
      </c>
      <c r="L313">
        <v>0</v>
      </c>
    </row>
    <row r="314" spans="1:12" x14ac:dyDescent="0.25">
      <c r="A314">
        <v>313</v>
      </c>
      <c r="B314" t="s">
        <v>599</v>
      </c>
      <c r="C314" t="s">
        <v>600</v>
      </c>
      <c r="D314" s="1">
        <v>45329.480393518519</v>
      </c>
      <c r="E314" s="1">
        <v>45329.561643518522</v>
      </c>
      <c r="F314">
        <v>1499</v>
      </c>
      <c r="G314">
        <v>30</v>
      </c>
      <c r="H314" t="s">
        <v>14</v>
      </c>
      <c r="I314" t="s">
        <v>22</v>
      </c>
      <c r="J314">
        <v>125</v>
      </c>
      <c r="K314">
        <v>42</v>
      </c>
      <c r="L314">
        <v>0</v>
      </c>
    </row>
    <row r="315" spans="1:12" x14ac:dyDescent="0.25">
      <c r="A315">
        <v>314</v>
      </c>
      <c r="B315" t="s">
        <v>601</v>
      </c>
      <c r="C315" t="s">
        <v>70</v>
      </c>
      <c r="D315" s="1">
        <v>45324.248460648145</v>
      </c>
      <c r="E315" s="1">
        <v>45324.283182870371</v>
      </c>
      <c r="F315">
        <v>1594</v>
      </c>
      <c r="G315">
        <v>50</v>
      </c>
      <c r="H315" t="s">
        <v>18</v>
      </c>
      <c r="I315" t="s">
        <v>28</v>
      </c>
      <c r="J315">
        <v>141</v>
      </c>
      <c r="K315">
        <v>38</v>
      </c>
      <c r="L315">
        <v>0</v>
      </c>
    </row>
    <row r="316" spans="1:12" x14ac:dyDescent="0.25">
      <c r="A316">
        <v>315</v>
      </c>
      <c r="B316" t="s">
        <v>602</v>
      </c>
      <c r="C316" t="s">
        <v>603</v>
      </c>
      <c r="D316" s="1">
        <v>45298.535624999997</v>
      </c>
      <c r="E316" s="1">
        <v>45298.557152777779</v>
      </c>
      <c r="F316">
        <v>889</v>
      </c>
      <c r="G316">
        <v>20</v>
      </c>
      <c r="H316" t="s">
        <v>18</v>
      </c>
      <c r="I316" s="2">
        <v>0.1</v>
      </c>
      <c r="J316">
        <v>119</v>
      </c>
      <c r="K316">
        <v>48</v>
      </c>
      <c r="L316">
        <v>0</v>
      </c>
    </row>
    <row r="317" spans="1:12" x14ac:dyDescent="0.25">
      <c r="A317">
        <v>316</v>
      </c>
      <c r="B317" t="s">
        <v>604</v>
      </c>
      <c r="C317" t="s">
        <v>605</v>
      </c>
      <c r="D317" s="1">
        <v>45305.197152777779</v>
      </c>
      <c r="E317" s="1">
        <v>45305.238819444443</v>
      </c>
      <c r="F317">
        <v>1765</v>
      </c>
      <c r="G317">
        <v>30</v>
      </c>
      <c r="H317" t="s">
        <v>18</v>
      </c>
      <c r="I317" t="s">
        <v>28</v>
      </c>
      <c r="J317">
        <v>197</v>
      </c>
      <c r="K317">
        <v>19</v>
      </c>
      <c r="L317">
        <v>50</v>
      </c>
    </row>
    <row r="318" spans="1:12" x14ac:dyDescent="0.25">
      <c r="A318">
        <v>317</v>
      </c>
      <c r="B318" t="s">
        <v>606</v>
      </c>
      <c r="C318" t="s">
        <v>607</v>
      </c>
      <c r="D318" s="1">
        <v>45316.943807870368</v>
      </c>
      <c r="E318" s="1">
        <v>45316.984780092593</v>
      </c>
      <c r="F318">
        <v>130</v>
      </c>
      <c r="G318">
        <v>40</v>
      </c>
      <c r="H318" t="s">
        <v>14</v>
      </c>
      <c r="I318" t="s">
        <v>22</v>
      </c>
      <c r="J318">
        <v>182</v>
      </c>
      <c r="K318">
        <v>18</v>
      </c>
      <c r="L318">
        <v>0</v>
      </c>
    </row>
    <row r="319" spans="1:12" x14ac:dyDescent="0.25">
      <c r="A319">
        <v>318</v>
      </c>
      <c r="B319" t="s">
        <v>608</v>
      </c>
      <c r="C319" t="s">
        <v>241</v>
      </c>
      <c r="D319" s="1">
        <v>45294.381574074076</v>
      </c>
      <c r="E319" s="1">
        <v>45294.45449074074</v>
      </c>
      <c r="F319">
        <v>1498</v>
      </c>
      <c r="G319">
        <v>30</v>
      </c>
      <c r="H319" t="s">
        <v>18</v>
      </c>
      <c r="I319" t="s">
        <v>25</v>
      </c>
      <c r="J319">
        <v>72</v>
      </c>
      <c r="K319">
        <v>40</v>
      </c>
      <c r="L319">
        <v>0</v>
      </c>
    </row>
    <row r="320" spans="1:12" x14ac:dyDescent="0.25">
      <c r="A320">
        <v>319</v>
      </c>
      <c r="B320" t="s">
        <v>609</v>
      </c>
      <c r="C320" t="s">
        <v>610</v>
      </c>
      <c r="D320" s="1">
        <v>45305.968298611115</v>
      </c>
      <c r="E320" s="1">
        <v>45306.018993055557</v>
      </c>
      <c r="F320">
        <v>110</v>
      </c>
      <c r="G320">
        <v>0</v>
      </c>
      <c r="H320" t="s">
        <v>18</v>
      </c>
      <c r="I320" t="s">
        <v>22</v>
      </c>
      <c r="J320">
        <v>186</v>
      </c>
      <c r="K320">
        <v>37</v>
      </c>
      <c r="L320">
        <v>50</v>
      </c>
    </row>
    <row r="321" spans="1:12" x14ac:dyDescent="0.25">
      <c r="A321">
        <v>320</v>
      </c>
      <c r="B321" t="s">
        <v>611</v>
      </c>
      <c r="C321" t="s">
        <v>612</v>
      </c>
      <c r="D321" s="1">
        <v>45300.925324074073</v>
      </c>
      <c r="E321" s="1">
        <v>45300.953796296293</v>
      </c>
      <c r="F321">
        <v>1425</v>
      </c>
      <c r="G321">
        <v>20</v>
      </c>
      <c r="H321" t="s">
        <v>21</v>
      </c>
      <c r="I321" t="s">
        <v>15</v>
      </c>
      <c r="J321">
        <v>107</v>
      </c>
      <c r="K321">
        <v>12</v>
      </c>
      <c r="L321">
        <v>0</v>
      </c>
    </row>
    <row r="322" spans="1:12" x14ac:dyDescent="0.25">
      <c r="A322">
        <v>321</v>
      </c>
      <c r="B322" t="s">
        <v>613</v>
      </c>
      <c r="C322" t="s">
        <v>598</v>
      </c>
      <c r="D322" s="1">
        <v>45328.106620370374</v>
      </c>
      <c r="E322" s="1">
        <v>45328.162175925929</v>
      </c>
      <c r="F322">
        <v>195</v>
      </c>
      <c r="G322">
        <v>50</v>
      </c>
      <c r="H322" t="s">
        <v>21</v>
      </c>
      <c r="I322" t="s">
        <v>15</v>
      </c>
      <c r="J322">
        <v>95</v>
      </c>
      <c r="K322">
        <v>23</v>
      </c>
      <c r="L322">
        <v>100</v>
      </c>
    </row>
    <row r="323" spans="1:12" x14ac:dyDescent="0.25">
      <c r="A323">
        <v>322</v>
      </c>
      <c r="B323" t="s">
        <v>614</v>
      </c>
      <c r="C323" t="s">
        <v>615</v>
      </c>
      <c r="D323" s="1">
        <v>45325.460706018515</v>
      </c>
      <c r="E323" s="1">
        <v>45325.514872685184</v>
      </c>
      <c r="F323">
        <v>1313</v>
      </c>
      <c r="G323">
        <v>0</v>
      </c>
      <c r="H323" t="s">
        <v>14</v>
      </c>
      <c r="I323" t="s">
        <v>28</v>
      </c>
      <c r="J323">
        <v>71</v>
      </c>
      <c r="K323">
        <v>34</v>
      </c>
      <c r="L323">
        <v>150</v>
      </c>
    </row>
    <row r="324" spans="1:12" x14ac:dyDescent="0.25">
      <c r="A324">
        <v>323</v>
      </c>
      <c r="B324" t="s">
        <v>616</v>
      </c>
      <c r="C324" t="s">
        <v>617</v>
      </c>
      <c r="D324" s="1">
        <v>45300.59138888889</v>
      </c>
      <c r="E324" s="1">
        <v>45300.628194444442</v>
      </c>
      <c r="F324">
        <v>552</v>
      </c>
      <c r="G324">
        <v>0</v>
      </c>
      <c r="H324" t="s">
        <v>21</v>
      </c>
      <c r="I324" t="s">
        <v>28</v>
      </c>
      <c r="J324">
        <v>57</v>
      </c>
      <c r="K324">
        <v>24</v>
      </c>
      <c r="L324">
        <v>0</v>
      </c>
    </row>
    <row r="325" spans="1:12" x14ac:dyDescent="0.25">
      <c r="A325">
        <v>324</v>
      </c>
      <c r="B325" t="s">
        <v>618</v>
      </c>
      <c r="C325" t="s">
        <v>619</v>
      </c>
      <c r="D325" s="1">
        <v>45315.902233796296</v>
      </c>
      <c r="E325" s="1">
        <v>45315.939039351855</v>
      </c>
      <c r="F325">
        <v>291</v>
      </c>
      <c r="G325">
        <v>20</v>
      </c>
      <c r="H325" t="s">
        <v>21</v>
      </c>
      <c r="I325" s="2">
        <v>0.1</v>
      </c>
      <c r="J325">
        <v>172</v>
      </c>
      <c r="K325">
        <v>11</v>
      </c>
      <c r="L325">
        <v>100</v>
      </c>
    </row>
    <row r="326" spans="1:12" x14ac:dyDescent="0.25">
      <c r="A326">
        <v>325</v>
      </c>
      <c r="B326" t="s">
        <v>620</v>
      </c>
      <c r="C326" t="s">
        <v>400</v>
      </c>
      <c r="D326" s="1">
        <v>45298.273321759261</v>
      </c>
      <c r="E326" s="1">
        <v>45298.335127314815</v>
      </c>
      <c r="F326">
        <v>585</v>
      </c>
      <c r="G326">
        <v>50</v>
      </c>
      <c r="H326" t="s">
        <v>21</v>
      </c>
      <c r="I326" s="2">
        <v>0.1</v>
      </c>
      <c r="J326">
        <v>69</v>
      </c>
      <c r="K326">
        <v>33</v>
      </c>
      <c r="L326">
        <v>0</v>
      </c>
    </row>
    <row r="327" spans="1:12" x14ac:dyDescent="0.25">
      <c r="A327">
        <v>326</v>
      </c>
      <c r="B327" t="s">
        <v>621</v>
      </c>
      <c r="C327" t="s">
        <v>467</v>
      </c>
      <c r="D327" s="1">
        <v>45326.675949074073</v>
      </c>
      <c r="E327" s="1">
        <v>45326.703726851854</v>
      </c>
      <c r="F327">
        <v>1389</v>
      </c>
      <c r="G327">
        <v>40</v>
      </c>
      <c r="H327" t="s">
        <v>14</v>
      </c>
      <c r="I327" t="s">
        <v>15</v>
      </c>
      <c r="J327">
        <v>127</v>
      </c>
      <c r="K327">
        <v>23</v>
      </c>
      <c r="L327">
        <v>50</v>
      </c>
    </row>
    <row r="328" spans="1:12" x14ac:dyDescent="0.25">
      <c r="A328">
        <v>327</v>
      </c>
      <c r="B328" t="s">
        <v>622</v>
      </c>
      <c r="C328" t="s">
        <v>190</v>
      </c>
      <c r="D328" s="1">
        <v>45310.254884259259</v>
      </c>
      <c r="E328" s="1">
        <v>45310.284050925926</v>
      </c>
      <c r="F328">
        <v>1547</v>
      </c>
      <c r="G328">
        <v>50</v>
      </c>
      <c r="H328" t="s">
        <v>21</v>
      </c>
      <c r="I328" t="s">
        <v>25</v>
      </c>
      <c r="J328">
        <v>88</v>
      </c>
      <c r="K328">
        <v>16</v>
      </c>
      <c r="L328">
        <v>0</v>
      </c>
    </row>
    <row r="329" spans="1:12" x14ac:dyDescent="0.25">
      <c r="A329">
        <v>328</v>
      </c>
      <c r="B329" t="s">
        <v>623</v>
      </c>
      <c r="C329" t="s">
        <v>624</v>
      </c>
      <c r="D329" s="1">
        <v>45294.982418981483</v>
      </c>
      <c r="E329" s="1">
        <v>45295.052557870367</v>
      </c>
      <c r="F329">
        <v>1251</v>
      </c>
      <c r="G329">
        <v>30</v>
      </c>
      <c r="H329" t="s">
        <v>14</v>
      </c>
      <c r="I329" t="s">
        <v>22</v>
      </c>
      <c r="J329">
        <v>86</v>
      </c>
      <c r="K329">
        <v>45</v>
      </c>
      <c r="L329">
        <v>0</v>
      </c>
    </row>
    <row r="330" spans="1:12" x14ac:dyDescent="0.25">
      <c r="A330">
        <v>329</v>
      </c>
      <c r="B330" t="s">
        <v>625</v>
      </c>
      <c r="C330" t="s">
        <v>626</v>
      </c>
      <c r="D330" s="1">
        <v>45293.088171296295</v>
      </c>
      <c r="E330" s="1">
        <v>45293.159699074073</v>
      </c>
      <c r="F330">
        <v>337</v>
      </c>
      <c r="G330">
        <v>0</v>
      </c>
      <c r="H330" t="s">
        <v>18</v>
      </c>
      <c r="I330" s="2">
        <v>0.1</v>
      </c>
      <c r="J330">
        <v>124</v>
      </c>
      <c r="K330">
        <v>33</v>
      </c>
      <c r="L330">
        <v>0</v>
      </c>
    </row>
    <row r="331" spans="1:12" x14ac:dyDescent="0.25">
      <c r="A331">
        <v>330</v>
      </c>
      <c r="B331" t="s">
        <v>627</v>
      </c>
      <c r="C331" t="s">
        <v>628</v>
      </c>
      <c r="D331" s="1">
        <v>45308.610844907409</v>
      </c>
      <c r="E331" s="1">
        <v>45308.680983796294</v>
      </c>
      <c r="F331">
        <v>1478</v>
      </c>
      <c r="G331">
        <v>30</v>
      </c>
      <c r="H331" t="s">
        <v>21</v>
      </c>
      <c r="I331" s="2">
        <v>0.1</v>
      </c>
      <c r="J331">
        <v>167</v>
      </c>
      <c r="K331">
        <v>36</v>
      </c>
      <c r="L331">
        <v>0</v>
      </c>
    </row>
    <row r="332" spans="1:12" x14ac:dyDescent="0.25">
      <c r="A332">
        <v>331</v>
      </c>
      <c r="B332" t="s">
        <v>629</v>
      </c>
      <c r="C332" t="s">
        <v>630</v>
      </c>
      <c r="D332" s="1">
        <v>45315.127280092594</v>
      </c>
      <c r="E332" s="1">
        <v>45315.191863425927</v>
      </c>
      <c r="F332">
        <v>1235</v>
      </c>
      <c r="G332">
        <v>40</v>
      </c>
      <c r="H332" t="s">
        <v>14</v>
      </c>
      <c r="I332" t="s">
        <v>25</v>
      </c>
      <c r="J332">
        <v>153</v>
      </c>
      <c r="K332">
        <v>46</v>
      </c>
      <c r="L332">
        <v>0</v>
      </c>
    </row>
    <row r="333" spans="1:12" x14ac:dyDescent="0.25">
      <c r="A333">
        <v>332</v>
      </c>
      <c r="B333" t="s">
        <v>631</v>
      </c>
      <c r="C333" t="s">
        <v>68</v>
      </c>
      <c r="D333" s="1">
        <v>45315.782175925924</v>
      </c>
      <c r="E333" s="1">
        <v>45315.816203703704</v>
      </c>
      <c r="F333">
        <v>1951</v>
      </c>
      <c r="G333">
        <v>30</v>
      </c>
      <c r="H333" t="s">
        <v>21</v>
      </c>
      <c r="I333" t="s">
        <v>25</v>
      </c>
      <c r="J333">
        <v>80</v>
      </c>
      <c r="K333">
        <v>47</v>
      </c>
      <c r="L333">
        <v>0</v>
      </c>
    </row>
    <row r="334" spans="1:12" x14ac:dyDescent="0.25">
      <c r="A334">
        <v>333</v>
      </c>
      <c r="B334" t="s">
        <v>632</v>
      </c>
      <c r="C334" t="s">
        <v>213</v>
      </c>
      <c r="D334" s="1">
        <v>45294.651666666665</v>
      </c>
      <c r="E334" s="1">
        <v>45294.721805555557</v>
      </c>
      <c r="F334">
        <v>1569</v>
      </c>
      <c r="G334">
        <v>50</v>
      </c>
      <c r="H334" t="s">
        <v>18</v>
      </c>
      <c r="I334" t="s">
        <v>28</v>
      </c>
      <c r="J334">
        <v>172</v>
      </c>
      <c r="K334">
        <v>39</v>
      </c>
      <c r="L334">
        <v>150</v>
      </c>
    </row>
    <row r="335" spans="1:12" x14ac:dyDescent="0.25">
      <c r="A335">
        <v>334</v>
      </c>
      <c r="B335" t="s">
        <v>633</v>
      </c>
      <c r="C335" t="s">
        <v>465</v>
      </c>
      <c r="D335" s="1">
        <v>45301.747523148151</v>
      </c>
      <c r="E335" s="1">
        <v>45301.818356481483</v>
      </c>
      <c r="F335">
        <v>1466</v>
      </c>
      <c r="G335">
        <v>30</v>
      </c>
      <c r="H335" t="s">
        <v>14</v>
      </c>
      <c r="I335" t="s">
        <v>22</v>
      </c>
      <c r="J335">
        <v>103</v>
      </c>
      <c r="K335">
        <v>36</v>
      </c>
      <c r="L335">
        <v>0</v>
      </c>
    </row>
    <row r="336" spans="1:12" x14ac:dyDescent="0.25">
      <c r="A336">
        <v>335</v>
      </c>
      <c r="B336" t="s">
        <v>634</v>
      </c>
      <c r="C336" t="s">
        <v>635</v>
      </c>
      <c r="D336" s="1">
        <v>45294.239699074074</v>
      </c>
      <c r="E336" s="1">
        <v>45294.30914351852</v>
      </c>
      <c r="F336">
        <v>1268</v>
      </c>
      <c r="G336">
        <v>40</v>
      </c>
      <c r="H336" t="s">
        <v>14</v>
      </c>
      <c r="I336" t="s">
        <v>25</v>
      </c>
      <c r="J336">
        <v>83</v>
      </c>
      <c r="K336">
        <v>48</v>
      </c>
      <c r="L336">
        <v>50</v>
      </c>
    </row>
    <row r="337" spans="1:12" x14ac:dyDescent="0.25">
      <c r="A337">
        <v>336</v>
      </c>
      <c r="B337" t="s">
        <v>636</v>
      </c>
      <c r="C337" t="s">
        <v>637</v>
      </c>
      <c r="D337" s="1">
        <v>45305.407673611109</v>
      </c>
      <c r="E337" s="1">
        <v>45305.481979166667</v>
      </c>
      <c r="F337">
        <v>1188</v>
      </c>
      <c r="G337">
        <v>40</v>
      </c>
      <c r="H337" t="s">
        <v>14</v>
      </c>
      <c r="I337" s="2">
        <v>0.1</v>
      </c>
      <c r="J337">
        <v>171</v>
      </c>
      <c r="K337">
        <v>24</v>
      </c>
      <c r="L337">
        <v>0</v>
      </c>
    </row>
    <row r="338" spans="1:12" x14ac:dyDescent="0.25">
      <c r="A338">
        <v>337</v>
      </c>
      <c r="B338" t="s">
        <v>638</v>
      </c>
      <c r="C338" t="s">
        <v>502</v>
      </c>
      <c r="D338" s="1">
        <v>45315.095497685186</v>
      </c>
      <c r="E338" s="1">
        <v>45315.135081018518</v>
      </c>
      <c r="F338">
        <v>1370</v>
      </c>
      <c r="G338">
        <v>40</v>
      </c>
      <c r="H338" t="s">
        <v>18</v>
      </c>
      <c r="I338" s="2">
        <v>0.1</v>
      </c>
      <c r="J338">
        <v>162</v>
      </c>
      <c r="K338">
        <v>35</v>
      </c>
      <c r="L338">
        <v>0</v>
      </c>
    </row>
    <row r="339" spans="1:12" x14ac:dyDescent="0.25">
      <c r="A339">
        <v>338</v>
      </c>
      <c r="B339" t="s">
        <v>639</v>
      </c>
      <c r="C339" t="s">
        <v>640</v>
      </c>
      <c r="D339" s="1">
        <v>45309.283483796295</v>
      </c>
      <c r="E339" s="1">
        <v>45309.305011574077</v>
      </c>
      <c r="F339">
        <v>834</v>
      </c>
      <c r="G339">
        <v>50</v>
      </c>
      <c r="H339" t="s">
        <v>18</v>
      </c>
      <c r="I339" t="s">
        <v>15</v>
      </c>
      <c r="J339">
        <v>111</v>
      </c>
      <c r="K339">
        <v>10</v>
      </c>
      <c r="L339">
        <v>0</v>
      </c>
    </row>
    <row r="340" spans="1:12" x14ac:dyDescent="0.25">
      <c r="A340">
        <v>339</v>
      </c>
      <c r="B340" t="s">
        <v>641</v>
      </c>
      <c r="C340" t="s">
        <v>54</v>
      </c>
      <c r="D340" s="1">
        <v>45321.529097222221</v>
      </c>
      <c r="E340" s="1">
        <v>45321.579097222224</v>
      </c>
      <c r="F340">
        <v>1090</v>
      </c>
      <c r="G340">
        <v>40</v>
      </c>
      <c r="H340" t="s">
        <v>18</v>
      </c>
      <c r="I340" t="s">
        <v>25</v>
      </c>
      <c r="J340">
        <v>72</v>
      </c>
      <c r="K340">
        <v>13</v>
      </c>
      <c r="L340">
        <v>0</v>
      </c>
    </row>
    <row r="341" spans="1:12" x14ac:dyDescent="0.25">
      <c r="A341">
        <v>340</v>
      </c>
      <c r="B341" t="s">
        <v>642</v>
      </c>
      <c r="C341" t="s">
        <v>643</v>
      </c>
      <c r="D341" s="1">
        <v>45325.820034722223</v>
      </c>
      <c r="E341" s="1">
        <v>45325.845729166664</v>
      </c>
      <c r="F341">
        <v>1613</v>
      </c>
      <c r="G341">
        <v>0</v>
      </c>
      <c r="H341" t="s">
        <v>14</v>
      </c>
      <c r="I341" t="s">
        <v>28</v>
      </c>
      <c r="J341">
        <v>95</v>
      </c>
      <c r="K341">
        <v>38</v>
      </c>
      <c r="L341">
        <v>0</v>
      </c>
    </row>
    <row r="342" spans="1:12" x14ac:dyDescent="0.25">
      <c r="A342">
        <v>341</v>
      </c>
      <c r="B342" t="s">
        <v>644</v>
      </c>
      <c r="C342" t="s">
        <v>645</v>
      </c>
      <c r="D342" s="1">
        <v>45327.09584490741</v>
      </c>
      <c r="E342" s="1">
        <v>45327.125011574077</v>
      </c>
      <c r="F342">
        <v>924</v>
      </c>
      <c r="G342">
        <v>40</v>
      </c>
      <c r="H342" t="s">
        <v>18</v>
      </c>
      <c r="I342" t="s">
        <v>22</v>
      </c>
      <c r="J342">
        <v>105</v>
      </c>
      <c r="K342">
        <v>10</v>
      </c>
      <c r="L342">
        <v>0</v>
      </c>
    </row>
    <row r="343" spans="1:12" x14ac:dyDescent="0.25">
      <c r="A343">
        <v>342</v>
      </c>
      <c r="B343" t="s">
        <v>646</v>
      </c>
      <c r="C343" t="s">
        <v>647</v>
      </c>
      <c r="D343" s="1">
        <v>45307.562650462962</v>
      </c>
      <c r="E343" s="1">
        <v>45307.641817129632</v>
      </c>
      <c r="F343">
        <v>1562</v>
      </c>
      <c r="G343">
        <v>30</v>
      </c>
      <c r="H343" t="s">
        <v>21</v>
      </c>
      <c r="I343" t="s">
        <v>28</v>
      </c>
      <c r="J343">
        <v>184</v>
      </c>
      <c r="K343">
        <v>31</v>
      </c>
      <c r="L343">
        <v>0</v>
      </c>
    </row>
    <row r="344" spans="1:12" x14ac:dyDescent="0.25">
      <c r="A344">
        <v>343</v>
      </c>
      <c r="B344" t="s">
        <v>648</v>
      </c>
      <c r="C344" t="s">
        <v>649</v>
      </c>
      <c r="D344" s="1">
        <v>45305.019733796296</v>
      </c>
      <c r="E344" s="1">
        <v>45305.06417824074</v>
      </c>
      <c r="F344">
        <v>205</v>
      </c>
      <c r="G344">
        <v>30</v>
      </c>
      <c r="H344" t="s">
        <v>18</v>
      </c>
      <c r="I344" s="2">
        <v>0.1</v>
      </c>
      <c r="J344">
        <v>167</v>
      </c>
      <c r="K344">
        <v>20</v>
      </c>
      <c r="L344">
        <v>0</v>
      </c>
    </row>
    <row r="345" spans="1:12" x14ac:dyDescent="0.25">
      <c r="A345">
        <v>344</v>
      </c>
      <c r="B345" t="s">
        <v>650</v>
      </c>
      <c r="C345" t="s">
        <v>651</v>
      </c>
      <c r="D345" s="1">
        <v>45304.495173611111</v>
      </c>
      <c r="E345" s="1">
        <v>45304.531284722223</v>
      </c>
      <c r="F345">
        <v>280</v>
      </c>
      <c r="G345">
        <v>30</v>
      </c>
      <c r="H345" t="s">
        <v>14</v>
      </c>
      <c r="I345" t="s">
        <v>28</v>
      </c>
      <c r="J345">
        <v>180</v>
      </c>
      <c r="K345">
        <v>19</v>
      </c>
      <c r="L345">
        <v>0</v>
      </c>
    </row>
    <row r="346" spans="1:12" x14ac:dyDescent="0.25">
      <c r="A346">
        <v>345</v>
      </c>
      <c r="B346" t="s">
        <v>652</v>
      </c>
      <c r="C346" t="s">
        <v>554</v>
      </c>
      <c r="D346" s="1">
        <v>45327.948587962965</v>
      </c>
      <c r="E346" s="1">
        <v>45328.000671296293</v>
      </c>
      <c r="F346">
        <v>283</v>
      </c>
      <c r="G346">
        <v>50</v>
      </c>
      <c r="H346" t="s">
        <v>21</v>
      </c>
      <c r="I346" s="2">
        <v>0.1</v>
      </c>
      <c r="J346">
        <v>162</v>
      </c>
      <c r="K346">
        <v>26</v>
      </c>
      <c r="L346">
        <v>0</v>
      </c>
    </row>
    <row r="347" spans="1:12" x14ac:dyDescent="0.25">
      <c r="A347">
        <v>346</v>
      </c>
      <c r="B347" t="s">
        <v>653</v>
      </c>
      <c r="C347" t="s">
        <v>654</v>
      </c>
      <c r="D347" s="1">
        <v>45300.042731481481</v>
      </c>
      <c r="E347" s="1">
        <v>45300.073287037034</v>
      </c>
      <c r="F347">
        <v>325</v>
      </c>
      <c r="G347">
        <v>30</v>
      </c>
      <c r="H347" t="s">
        <v>18</v>
      </c>
      <c r="I347" s="2">
        <v>0.1</v>
      </c>
      <c r="J347">
        <v>93</v>
      </c>
      <c r="K347">
        <v>45</v>
      </c>
      <c r="L347">
        <v>100</v>
      </c>
    </row>
    <row r="348" spans="1:12" x14ac:dyDescent="0.25">
      <c r="A348">
        <v>347</v>
      </c>
      <c r="B348" t="s">
        <v>655</v>
      </c>
      <c r="C348" t="s">
        <v>656</v>
      </c>
      <c r="D348" s="1">
        <v>45307.798298611109</v>
      </c>
      <c r="E348" s="1">
        <v>45307.819826388892</v>
      </c>
      <c r="F348">
        <v>876</v>
      </c>
      <c r="G348">
        <v>50</v>
      </c>
      <c r="H348" t="s">
        <v>21</v>
      </c>
      <c r="I348" s="2">
        <v>0.1</v>
      </c>
      <c r="J348">
        <v>177</v>
      </c>
      <c r="K348">
        <v>35</v>
      </c>
      <c r="L348">
        <v>0</v>
      </c>
    </row>
    <row r="349" spans="1:12" x14ac:dyDescent="0.25">
      <c r="A349">
        <v>348</v>
      </c>
      <c r="B349" t="s">
        <v>657</v>
      </c>
      <c r="C349" t="s">
        <v>472</v>
      </c>
      <c r="D349" s="1">
        <v>45304.278923611113</v>
      </c>
      <c r="E349" s="1">
        <v>45304.341423611113</v>
      </c>
      <c r="F349">
        <v>889</v>
      </c>
      <c r="G349">
        <v>50</v>
      </c>
      <c r="H349" t="s">
        <v>21</v>
      </c>
      <c r="I349" s="2">
        <v>0.1</v>
      </c>
      <c r="J349">
        <v>157</v>
      </c>
      <c r="K349">
        <v>30</v>
      </c>
      <c r="L349">
        <v>100</v>
      </c>
    </row>
    <row r="350" spans="1:12" x14ac:dyDescent="0.25">
      <c r="A350">
        <v>349</v>
      </c>
      <c r="B350" t="s">
        <v>658</v>
      </c>
      <c r="C350" t="s">
        <v>659</v>
      </c>
      <c r="D350" s="1">
        <v>45326.663414351853</v>
      </c>
      <c r="E350" s="1">
        <v>45326.736331018517</v>
      </c>
      <c r="F350">
        <v>1212</v>
      </c>
      <c r="G350">
        <v>40</v>
      </c>
      <c r="H350" t="s">
        <v>14</v>
      </c>
      <c r="I350" s="2">
        <v>0.1</v>
      </c>
      <c r="J350">
        <v>66</v>
      </c>
      <c r="K350">
        <v>22</v>
      </c>
      <c r="L350">
        <v>100</v>
      </c>
    </row>
    <row r="351" spans="1:12" x14ac:dyDescent="0.25">
      <c r="A351">
        <v>350</v>
      </c>
      <c r="B351" t="s">
        <v>660</v>
      </c>
      <c r="C351" t="s">
        <v>442</v>
      </c>
      <c r="D351" s="1">
        <v>45329.709305555552</v>
      </c>
      <c r="E351" s="1">
        <v>45329.773888888885</v>
      </c>
      <c r="F351">
        <v>787</v>
      </c>
      <c r="G351">
        <v>0</v>
      </c>
      <c r="H351" t="s">
        <v>21</v>
      </c>
      <c r="I351" t="s">
        <v>15</v>
      </c>
      <c r="J351">
        <v>108</v>
      </c>
      <c r="K351">
        <v>18</v>
      </c>
      <c r="L351">
        <v>0</v>
      </c>
    </row>
    <row r="352" spans="1:12" x14ac:dyDescent="0.25">
      <c r="A352">
        <v>351</v>
      </c>
      <c r="B352" t="s">
        <v>661</v>
      </c>
      <c r="C352" t="s">
        <v>662</v>
      </c>
      <c r="D352" s="1">
        <v>45323.624814814815</v>
      </c>
      <c r="E352" s="1">
        <v>45323.681064814817</v>
      </c>
      <c r="F352">
        <v>629</v>
      </c>
      <c r="G352">
        <v>40</v>
      </c>
      <c r="H352" t="s">
        <v>21</v>
      </c>
      <c r="I352" t="s">
        <v>28</v>
      </c>
      <c r="J352">
        <v>187</v>
      </c>
      <c r="K352">
        <v>20</v>
      </c>
      <c r="L352">
        <v>0</v>
      </c>
    </row>
    <row r="353" spans="1:12" x14ac:dyDescent="0.25">
      <c r="A353">
        <v>352</v>
      </c>
      <c r="B353" t="s">
        <v>663</v>
      </c>
      <c r="C353" t="s">
        <v>425</v>
      </c>
      <c r="D353" s="1">
        <v>45294.366331018522</v>
      </c>
      <c r="E353" s="1">
        <v>45294.411469907405</v>
      </c>
      <c r="F353">
        <v>1494</v>
      </c>
      <c r="G353">
        <v>40</v>
      </c>
      <c r="H353" t="s">
        <v>14</v>
      </c>
      <c r="I353" t="s">
        <v>15</v>
      </c>
      <c r="J353">
        <v>148</v>
      </c>
      <c r="K353">
        <v>20</v>
      </c>
      <c r="L353">
        <v>0</v>
      </c>
    </row>
    <row r="354" spans="1:12" x14ac:dyDescent="0.25">
      <c r="A354">
        <v>353</v>
      </c>
      <c r="B354" t="s">
        <v>664</v>
      </c>
      <c r="C354" t="s">
        <v>665</v>
      </c>
      <c r="D354" s="1">
        <v>45314.920023148145</v>
      </c>
      <c r="E354" s="1">
        <v>45314.986689814818</v>
      </c>
      <c r="F354">
        <v>1071</v>
      </c>
      <c r="G354">
        <v>50</v>
      </c>
      <c r="H354" t="s">
        <v>14</v>
      </c>
      <c r="I354" t="s">
        <v>15</v>
      </c>
      <c r="J354">
        <v>133</v>
      </c>
      <c r="K354">
        <v>15</v>
      </c>
      <c r="L354">
        <v>100</v>
      </c>
    </row>
    <row r="355" spans="1:12" x14ac:dyDescent="0.25">
      <c r="A355">
        <v>354</v>
      </c>
      <c r="B355" t="s">
        <v>666</v>
      </c>
      <c r="C355" t="s">
        <v>667</v>
      </c>
      <c r="D355" s="1">
        <v>45298.431192129632</v>
      </c>
      <c r="E355" s="1">
        <v>45298.499247685184</v>
      </c>
      <c r="F355">
        <v>1035</v>
      </c>
      <c r="G355">
        <v>50</v>
      </c>
      <c r="H355" t="s">
        <v>14</v>
      </c>
      <c r="I355" t="s">
        <v>25</v>
      </c>
      <c r="J355">
        <v>195</v>
      </c>
      <c r="K355">
        <v>10</v>
      </c>
      <c r="L355">
        <v>50</v>
      </c>
    </row>
    <row r="356" spans="1:12" x14ac:dyDescent="0.25">
      <c r="A356">
        <v>355</v>
      </c>
      <c r="B356" t="s">
        <v>668</v>
      </c>
      <c r="C356" t="s">
        <v>669</v>
      </c>
      <c r="D356" s="1">
        <v>45329.04111111111</v>
      </c>
      <c r="E356" s="1">
        <v>45329.107777777775</v>
      </c>
      <c r="F356">
        <v>1522</v>
      </c>
      <c r="G356">
        <v>30</v>
      </c>
      <c r="H356" t="s">
        <v>21</v>
      </c>
      <c r="I356" t="s">
        <v>25</v>
      </c>
      <c r="J356">
        <v>94</v>
      </c>
      <c r="K356">
        <v>15</v>
      </c>
      <c r="L356">
        <v>0</v>
      </c>
    </row>
    <row r="357" spans="1:12" x14ac:dyDescent="0.25">
      <c r="A357">
        <v>356</v>
      </c>
      <c r="B357" t="s">
        <v>670</v>
      </c>
      <c r="C357" t="s">
        <v>671</v>
      </c>
      <c r="D357" s="1">
        <v>45296.668078703704</v>
      </c>
      <c r="E357" s="1">
        <v>45296.720856481479</v>
      </c>
      <c r="F357">
        <v>205</v>
      </c>
      <c r="G357">
        <v>30</v>
      </c>
      <c r="H357" t="s">
        <v>21</v>
      </c>
      <c r="I357" t="s">
        <v>25</v>
      </c>
      <c r="J357">
        <v>157</v>
      </c>
      <c r="K357">
        <v>22</v>
      </c>
      <c r="L357">
        <v>0</v>
      </c>
    </row>
    <row r="358" spans="1:12" x14ac:dyDescent="0.25">
      <c r="A358">
        <v>357</v>
      </c>
      <c r="B358" t="s">
        <v>672</v>
      </c>
      <c r="C358" t="s">
        <v>62</v>
      </c>
      <c r="D358" s="1">
        <v>45317.05972222222</v>
      </c>
      <c r="E358" s="1">
        <v>45317.137499999997</v>
      </c>
      <c r="F358">
        <v>1394</v>
      </c>
      <c r="G358">
        <v>40</v>
      </c>
      <c r="H358" t="s">
        <v>21</v>
      </c>
      <c r="I358" t="s">
        <v>22</v>
      </c>
      <c r="J358">
        <v>111</v>
      </c>
      <c r="K358">
        <v>31</v>
      </c>
      <c r="L358">
        <v>0</v>
      </c>
    </row>
    <row r="359" spans="1:12" x14ac:dyDescent="0.25">
      <c r="A359">
        <v>358</v>
      </c>
      <c r="B359" t="s">
        <v>504</v>
      </c>
      <c r="C359" t="s">
        <v>673</v>
      </c>
      <c r="D359" s="1">
        <v>45296.369664351849</v>
      </c>
      <c r="E359" s="1">
        <v>45296.391192129631</v>
      </c>
      <c r="F359">
        <v>930</v>
      </c>
      <c r="G359">
        <v>20</v>
      </c>
      <c r="H359" t="s">
        <v>14</v>
      </c>
      <c r="I359" t="s">
        <v>25</v>
      </c>
      <c r="J359">
        <v>108</v>
      </c>
      <c r="K359">
        <v>40</v>
      </c>
      <c r="L359">
        <v>0</v>
      </c>
    </row>
    <row r="360" spans="1:12" x14ac:dyDescent="0.25">
      <c r="A360">
        <v>359</v>
      </c>
      <c r="B360" t="s">
        <v>674</v>
      </c>
      <c r="C360" t="s">
        <v>675</v>
      </c>
      <c r="D360" s="1">
        <v>45293.348287037035</v>
      </c>
      <c r="E360" s="1">
        <v>45293.398981481485</v>
      </c>
      <c r="F360">
        <v>1626</v>
      </c>
      <c r="G360">
        <v>20</v>
      </c>
      <c r="H360" t="s">
        <v>18</v>
      </c>
      <c r="I360" t="s">
        <v>28</v>
      </c>
      <c r="J360">
        <v>187</v>
      </c>
      <c r="K360">
        <v>31</v>
      </c>
      <c r="L360">
        <v>0</v>
      </c>
    </row>
    <row r="361" spans="1:12" x14ac:dyDescent="0.25">
      <c r="A361">
        <v>360</v>
      </c>
      <c r="B361" t="s">
        <v>676</v>
      </c>
      <c r="C361" t="s">
        <v>677</v>
      </c>
      <c r="D361" s="1">
        <v>45317.108703703707</v>
      </c>
      <c r="E361" s="1">
        <v>45317.17328703704</v>
      </c>
      <c r="F361">
        <v>778</v>
      </c>
      <c r="G361">
        <v>30</v>
      </c>
      <c r="H361" t="s">
        <v>21</v>
      </c>
      <c r="I361" t="s">
        <v>15</v>
      </c>
      <c r="J361">
        <v>60</v>
      </c>
      <c r="K361">
        <v>46</v>
      </c>
      <c r="L361">
        <v>0</v>
      </c>
    </row>
    <row r="362" spans="1:12" x14ac:dyDescent="0.25">
      <c r="A362">
        <v>361</v>
      </c>
      <c r="B362" t="s">
        <v>678</v>
      </c>
      <c r="C362" t="s">
        <v>679</v>
      </c>
      <c r="D362" s="1">
        <v>45303.420752314814</v>
      </c>
      <c r="E362" s="1">
        <v>45303.497141203705</v>
      </c>
      <c r="F362">
        <v>1648</v>
      </c>
      <c r="G362">
        <v>20</v>
      </c>
      <c r="H362" t="s">
        <v>18</v>
      </c>
      <c r="I362" t="s">
        <v>28</v>
      </c>
      <c r="J362">
        <v>151</v>
      </c>
      <c r="K362">
        <v>36</v>
      </c>
      <c r="L362">
        <v>0</v>
      </c>
    </row>
    <row r="363" spans="1:12" x14ac:dyDescent="0.25">
      <c r="A363">
        <v>362</v>
      </c>
      <c r="B363" t="s">
        <v>680</v>
      </c>
      <c r="C363" t="s">
        <v>681</v>
      </c>
      <c r="D363" s="1">
        <v>45324.674756944441</v>
      </c>
      <c r="E363" s="1">
        <v>45324.749062499999</v>
      </c>
      <c r="F363">
        <v>948</v>
      </c>
      <c r="G363">
        <v>30</v>
      </c>
      <c r="H363" t="s">
        <v>14</v>
      </c>
      <c r="I363" t="s">
        <v>25</v>
      </c>
      <c r="J363">
        <v>119</v>
      </c>
      <c r="K363">
        <v>23</v>
      </c>
      <c r="L363">
        <v>0</v>
      </c>
    </row>
    <row r="364" spans="1:12" x14ac:dyDescent="0.25">
      <c r="A364">
        <v>363</v>
      </c>
      <c r="B364" t="s">
        <v>682</v>
      </c>
      <c r="C364" t="s">
        <v>425</v>
      </c>
      <c r="D364" s="1">
        <v>45319.431157407409</v>
      </c>
      <c r="E364" s="1">
        <v>45319.47074074074</v>
      </c>
      <c r="F364">
        <v>1155</v>
      </c>
      <c r="G364">
        <v>50</v>
      </c>
      <c r="H364" t="s">
        <v>21</v>
      </c>
      <c r="I364" t="s">
        <v>22</v>
      </c>
      <c r="J364">
        <v>172</v>
      </c>
      <c r="K364">
        <v>14</v>
      </c>
      <c r="L364">
        <v>150</v>
      </c>
    </row>
    <row r="365" spans="1:12" x14ac:dyDescent="0.25">
      <c r="A365">
        <v>364</v>
      </c>
      <c r="B365" t="s">
        <v>683</v>
      </c>
      <c r="C365" t="s">
        <v>684</v>
      </c>
      <c r="D365" s="1">
        <v>45321.610868055555</v>
      </c>
      <c r="E365" s="1">
        <v>45321.668506944443</v>
      </c>
      <c r="F365">
        <v>492</v>
      </c>
      <c r="G365">
        <v>40</v>
      </c>
      <c r="H365" t="s">
        <v>18</v>
      </c>
      <c r="I365" t="s">
        <v>22</v>
      </c>
      <c r="J365">
        <v>83</v>
      </c>
      <c r="K365">
        <v>45</v>
      </c>
      <c r="L365">
        <v>0</v>
      </c>
    </row>
    <row r="366" spans="1:12" x14ac:dyDescent="0.25">
      <c r="A366">
        <v>365</v>
      </c>
      <c r="B366" t="s">
        <v>685</v>
      </c>
      <c r="C366" t="s">
        <v>465</v>
      </c>
      <c r="D366" s="1">
        <v>45307.591412037036</v>
      </c>
      <c r="E366" s="1">
        <v>45307.662939814814</v>
      </c>
      <c r="F366">
        <v>139</v>
      </c>
      <c r="G366">
        <v>0</v>
      </c>
      <c r="H366" t="s">
        <v>21</v>
      </c>
      <c r="I366" t="s">
        <v>15</v>
      </c>
      <c r="J366">
        <v>150</v>
      </c>
      <c r="K366">
        <v>41</v>
      </c>
      <c r="L366">
        <v>0</v>
      </c>
    </row>
    <row r="367" spans="1:12" x14ac:dyDescent="0.25">
      <c r="A367">
        <v>366</v>
      </c>
      <c r="B367" t="s">
        <v>686</v>
      </c>
      <c r="C367" t="s">
        <v>108</v>
      </c>
      <c r="D367" s="1">
        <v>45317.838877314818</v>
      </c>
      <c r="E367" s="1">
        <v>45317.905543981484</v>
      </c>
      <c r="F367">
        <v>759</v>
      </c>
      <c r="G367">
        <v>40</v>
      </c>
      <c r="H367" t="s">
        <v>21</v>
      </c>
      <c r="I367" t="s">
        <v>28</v>
      </c>
      <c r="J367">
        <v>194</v>
      </c>
      <c r="K367">
        <v>43</v>
      </c>
      <c r="L367">
        <v>100</v>
      </c>
    </row>
    <row r="368" spans="1:12" x14ac:dyDescent="0.25">
      <c r="A368">
        <v>367</v>
      </c>
      <c r="B368" t="s">
        <v>687</v>
      </c>
      <c r="C368" t="s">
        <v>271</v>
      </c>
      <c r="D368" s="1">
        <v>45323.795636574076</v>
      </c>
      <c r="E368" s="1">
        <v>45323.840775462966</v>
      </c>
      <c r="F368">
        <v>1341</v>
      </c>
      <c r="G368">
        <v>30</v>
      </c>
      <c r="H368" t="s">
        <v>21</v>
      </c>
      <c r="I368" s="2">
        <v>0.1</v>
      </c>
      <c r="J368">
        <v>153</v>
      </c>
      <c r="K368">
        <v>16</v>
      </c>
      <c r="L368">
        <v>50</v>
      </c>
    </row>
    <row r="369" spans="1:12" x14ac:dyDescent="0.25">
      <c r="A369">
        <v>368</v>
      </c>
      <c r="B369" t="s">
        <v>591</v>
      </c>
      <c r="C369" t="s">
        <v>432</v>
      </c>
      <c r="D369" s="1">
        <v>45301.756724537037</v>
      </c>
      <c r="E369" s="1">
        <v>45301.820613425924</v>
      </c>
      <c r="F369">
        <v>1854</v>
      </c>
      <c r="G369">
        <v>30</v>
      </c>
      <c r="H369" t="s">
        <v>18</v>
      </c>
      <c r="I369" t="s">
        <v>28</v>
      </c>
      <c r="J369">
        <v>89</v>
      </c>
      <c r="K369">
        <v>19</v>
      </c>
      <c r="L369">
        <v>50</v>
      </c>
    </row>
    <row r="370" spans="1:12" x14ac:dyDescent="0.25">
      <c r="A370">
        <v>369</v>
      </c>
      <c r="B370" t="s">
        <v>688</v>
      </c>
      <c r="C370" t="s">
        <v>586</v>
      </c>
      <c r="D370" s="1">
        <v>45293.916377314818</v>
      </c>
      <c r="E370" s="1">
        <v>45293.953877314816</v>
      </c>
      <c r="F370">
        <v>1080</v>
      </c>
      <c r="G370">
        <v>40</v>
      </c>
      <c r="H370" t="s">
        <v>14</v>
      </c>
      <c r="I370" t="s">
        <v>25</v>
      </c>
      <c r="J370">
        <v>68</v>
      </c>
      <c r="K370">
        <v>26</v>
      </c>
      <c r="L370">
        <v>0</v>
      </c>
    </row>
    <row r="371" spans="1:12" x14ac:dyDescent="0.25">
      <c r="A371">
        <v>370</v>
      </c>
      <c r="B371" t="s">
        <v>689</v>
      </c>
      <c r="C371" t="s">
        <v>507</v>
      </c>
      <c r="D371" s="1">
        <v>45316.196122685185</v>
      </c>
      <c r="E371" s="1">
        <v>45316.275983796295</v>
      </c>
      <c r="F371">
        <v>1205</v>
      </c>
      <c r="G371">
        <v>30</v>
      </c>
      <c r="H371" t="s">
        <v>21</v>
      </c>
      <c r="I371" s="2">
        <v>0.1</v>
      </c>
      <c r="J371">
        <v>116</v>
      </c>
      <c r="K371">
        <v>39</v>
      </c>
      <c r="L371">
        <v>0</v>
      </c>
    </row>
    <row r="372" spans="1:12" x14ac:dyDescent="0.25">
      <c r="A372">
        <v>371</v>
      </c>
      <c r="B372" t="s">
        <v>690</v>
      </c>
      <c r="C372" t="s">
        <v>691</v>
      </c>
      <c r="D372" s="1">
        <v>45314.092615740738</v>
      </c>
      <c r="E372" s="1">
        <v>45314.146087962959</v>
      </c>
      <c r="F372">
        <v>944</v>
      </c>
      <c r="G372">
        <v>20</v>
      </c>
      <c r="H372" t="s">
        <v>14</v>
      </c>
      <c r="I372" t="s">
        <v>22</v>
      </c>
      <c r="J372">
        <v>131</v>
      </c>
      <c r="K372">
        <v>30</v>
      </c>
      <c r="L372">
        <v>0</v>
      </c>
    </row>
    <row r="373" spans="1:12" x14ac:dyDescent="0.25">
      <c r="A373">
        <v>372</v>
      </c>
      <c r="B373" t="s">
        <v>692</v>
      </c>
      <c r="C373" t="s">
        <v>693</v>
      </c>
      <c r="D373" s="1">
        <v>45328.349502314813</v>
      </c>
      <c r="E373" s="1">
        <v>45328.396724537037</v>
      </c>
      <c r="F373">
        <v>1843</v>
      </c>
      <c r="G373">
        <v>20</v>
      </c>
      <c r="H373" t="s">
        <v>14</v>
      </c>
      <c r="I373" t="s">
        <v>15</v>
      </c>
      <c r="J373">
        <v>113</v>
      </c>
      <c r="K373">
        <v>22</v>
      </c>
      <c r="L373">
        <v>0</v>
      </c>
    </row>
    <row r="374" spans="1:12" x14ac:dyDescent="0.25">
      <c r="A374">
        <v>373</v>
      </c>
      <c r="B374" t="s">
        <v>694</v>
      </c>
      <c r="C374" t="s">
        <v>695</v>
      </c>
      <c r="D374" s="1">
        <v>45309.917534722219</v>
      </c>
      <c r="E374" s="1">
        <v>45309.970312500001</v>
      </c>
      <c r="F374">
        <v>300</v>
      </c>
      <c r="G374">
        <v>30</v>
      </c>
      <c r="H374" t="s">
        <v>18</v>
      </c>
      <c r="I374" t="s">
        <v>15</v>
      </c>
      <c r="J374">
        <v>132</v>
      </c>
      <c r="K374">
        <v>10</v>
      </c>
      <c r="L374">
        <v>0</v>
      </c>
    </row>
    <row r="375" spans="1:12" x14ac:dyDescent="0.25">
      <c r="A375">
        <v>374</v>
      </c>
      <c r="B375" t="s">
        <v>696</v>
      </c>
      <c r="C375" t="s">
        <v>697</v>
      </c>
      <c r="D375" s="1">
        <v>45297.716990740744</v>
      </c>
      <c r="E375" s="1">
        <v>45297.751712962963</v>
      </c>
      <c r="F375">
        <v>546</v>
      </c>
      <c r="G375">
        <v>30</v>
      </c>
      <c r="H375" t="s">
        <v>18</v>
      </c>
      <c r="I375" t="s">
        <v>22</v>
      </c>
      <c r="J375">
        <v>96</v>
      </c>
      <c r="K375">
        <v>10</v>
      </c>
      <c r="L375">
        <v>100</v>
      </c>
    </row>
    <row r="376" spans="1:12" x14ac:dyDescent="0.25">
      <c r="A376">
        <v>375</v>
      </c>
      <c r="B376" t="s">
        <v>698</v>
      </c>
      <c r="C376" t="s">
        <v>699</v>
      </c>
      <c r="D376" s="1">
        <v>45318.925243055557</v>
      </c>
      <c r="E376" s="1">
        <v>45318.966215277775</v>
      </c>
      <c r="F376">
        <v>1967</v>
      </c>
      <c r="G376">
        <v>20</v>
      </c>
      <c r="H376" t="s">
        <v>14</v>
      </c>
      <c r="I376" t="s">
        <v>25</v>
      </c>
      <c r="J376">
        <v>55</v>
      </c>
      <c r="K376">
        <v>42</v>
      </c>
      <c r="L376">
        <v>150</v>
      </c>
    </row>
    <row r="377" spans="1:12" x14ac:dyDescent="0.25">
      <c r="A377">
        <v>376</v>
      </c>
      <c r="B377" t="s">
        <v>700</v>
      </c>
      <c r="C377" t="s">
        <v>693</v>
      </c>
      <c r="D377" s="1">
        <v>45320.884456018517</v>
      </c>
      <c r="E377" s="1">
        <v>45320.926122685189</v>
      </c>
      <c r="F377">
        <v>1551</v>
      </c>
      <c r="G377">
        <v>30</v>
      </c>
      <c r="H377" t="s">
        <v>21</v>
      </c>
      <c r="I377" t="s">
        <v>22</v>
      </c>
      <c r="J377">
        <v>65</v>
      </c>
      <c r="K377">
        <v>47</v>
      </c>
      <c r="L377">
        <v>0</v>
      </c>
    </row>
    <row r="378" spans="1:12" x14ac:dyDescent="0.25">
      <c r="A378">
        <v>377</v>
      </c>
      <c r="B378" t="s">
        <v>701</v>
      </c>
      <c r="C378" t="s">
        <v>80</v>
      </c>
      <c r="D378" s="1">
        <v>45319.17827546296</v>
      </c>
      <c r="E378" s="1">
        <v>45319.216469907406</v>
      </c>
      <c r="F378">
        <v>1161</v>
      </c>
      <c r="G378">
        <v>30</v>
      </c>
      <c r="H378" t="s">
        <v>18</v>
      </c>
      <c r="I378" t="s">
        <v>25</v>
      </c>
      <c r="J378">
        <v>195</v>
      </c>
      <c r="K378">
        <v>34</v>
      </c>
      <c r="L378">
        <v>0</v>
      </c>
    </row>
    <row r="379" spans="1:12" x14ac:dyDescent="0.25">
      <c r="A379">
        <v>378</v>
      </c>
      <c r="B379" t="s">
        <v>702</v>
      </c>
      <c r="C379" t="s">
        <v>703</v>
      </c>
      <c r="D379" s="1">
        <v>45327.114085648151</v>
      </c>
      <c r="E379" s="1">
        <v>45327.149502314816</v>
      </c>
      <c r="F379">
        <v>1334</v>
      </c>
      <c r="G379">
        <v>40</v>
      </c>
      <c r="H379" t="s">
        <v>21</v>
      </c>
      <c r="I379" s="2">
        <v>0.1</v>
      </c>
      <c r="J379">
        <v>88</v>
      </c>
      <c r="K379">
        <v>35</v>
      </c>
      <c r="L379">
        <v>0</v>
      </c>
    </row>
    <row r="380" spans="1:12" x14ac:dyDescent="0.25">
      <c r="A380">
        <v>379</v>
      </c>
      <c r="B380" t="s">
        <v>704</v>
      </c>
      <c r="C380" t="s">
        <v>705</v>
      </c>
      <c r="D380" s="1">
        <v>45323.793761574074</v>
      </c>
      <c r="E380" s="1">
        <v>45323.828483796293</v>
      </c>
      <c r="F380">
        <v>543</v>
      </c>
      <c r="G380">
        <v>0</v>
      </c>
      <c r="H380" t="s">
        <v>21</v>
      </c>
      <c r="I380" t="s">
        <v>22</v>
      </c>
      <c r="J380">
        <v>162</v>
      </c>
      <c r="K380">
        <v>22</v>
      </c>
      <c r="L380">
        <v>100</v>
      </c>
    </row>
    <row r="381" spans="1:12" x14ac:dyDescent="0.25">
      <c r="A381">
        <v>380</v>
      </c>
      <c r="B381" t="s">
        <v>706</v>
      </c>
      <c r="C381" t="s">
        <v>707</v>
      </c>
      <c r="D381" s="1">
        <v>45300.263148148151</v>
      </c>
      <c r="E381" s="1">
        <v>45300.28398148148</v>
      </c>
      <c r="F381">
        <v>1450</v>
      </c>
      <c r="G381">
        <v>20</v>
      </c>
      <c r="H381" t="s">
        <v>21</v>
      </c>
      <c r="I381" t="s">
        <v>25</v>
      </c>
      <c r="J381">
        <v>189</v>
      </c>
      <c r="K381">
        <v>37</v>
      </c>
      <c r="L381">
        <v>0</v>
      </c>
    </row>
    <row r="382" spans="1:12" x14ac:dyDescent="0.25">
      <c r="A382">
        <v>381</v>
      </c>
      <c r="B382" t="s">
        <v>708</v>
      </c>
      <c r="C382" t="s">
        <v>645</v>
      </c>
      <c r="D382" s="1">
        <v>45310.059652777774</v>
      </c>
      <c r="E382" s="1">
        <v>45310.105486111112</v>
      </c>
      <c r="F382">
        <v>860</v>
      </c>
      <c r="G382">
        <v>40</v>
      </c>
      <c r="H382" t="s">
        <v>14</v>
      </c>
      <c r="I382" s="2">
        <v>0.1</v>
      </c>
      <c r="J382">
        <v>187</v>
      </c>
      <c r="K382">
        <v>42</v>
      </c>
      <c r="L382">
        <v>100</v>
      </c>
    </row>
    <row r="383" spans="1:12" x14ac:dyDescent="0.25">
      <c r="A383">
        <v>382</v>
      </c>
      <c r="B383" t="s">
        <v>709</v>
      </c>
      <c r="C383" t="s">
        <v>253</v>
      </c>
      <c r="D383" s="1">
        <v>45301.035196759258</v>
      </c>
      <c r="E383" s="1">
        <v>45301.108807870369</v>
      </c>
      <c r="F383">
        <v>326</v>
      </c>
      <c r="G383">
        <v>0</v>
      </c>
      <c r="H383" t="s">
        <v>21</v>
      </c>
      <c r="I383" t="s">
        <v>22</v>
      </c>
      <c r="J383">
        <v>120</v>
      </c>
      <c r="K383">
        <v>46</v>
      </c>
      <c r="L383">
        <v>0</v>
      </c>
    </row>
    <row r="384" spans="1:12" x14ac:dyDescent="0.25">
      <c r="A384">
        <v>383</v>
      </c>
      <c r="B384" t="s">
        <v>710</v>
      </c>
      <c r="C384" t="s">
        <v>711</v>
      </c>
      <c r="D384" s="1">
        <v>45295.146180555559</v>
      </c>
      <c r="E384" s="1">
        <v>45295.225347222222</v>
      </c>
      <c r="F384">
        <v>147</v>
      </c>
      <c r="G384">
        <v>30</v>
      </c>
      <c r="H384" t="s">
        <v>14</v>
      </c>
      <c r="I384" t="s">
        <v>15</v>
      </c>
      <c r="J384">
        <v>159</v>
      </c>
      <c r="K384">
        <v>50</v>
      </c>
      <c r="L384">
        <v>0</v>
      </c>
    </row>
    <row r="385" spans="1:12" x14ac:dyDescent="0.25">
      <c r="A385">
        <v>384</v>
      </c>
      <c r="B385" t="s">
        <v>712</v>
      </c>
      <c r="C385" t="s">
        <v>713</v>
      </c>
      <c r="D385" s="1">
        <v>45309.988483796296</v>
      </c>
      <c r="E385" s="1">
        <v>45310.040567129632</v>
      </c>
      <c r="F385">
        <v>1141</v>
      </c>
      <c r="G385">
        <v>30</v>
      </c>
      <c r="H385" t="s">
        <v>14</v>
      </c>
      <c r="I385" t="s">
        <v>22</v>
      </c>
      <c r="J385">
        <v>104</v>
      </c>
      <c r="K385">
        <v>39</v>
      </c>
      <c r="L385">
        <v>0</v>
      </c>
    </row>
    <row r="386" spans="1:12" x14ac:dyDescent="0.25">
      <c r="A386">
        <v>385</v>
      </c>
      <c r="B386" t="s">
        <v>714</v>
      </c>
      <c r="C386" t="s">
        <v>715</v>
      </c>
      <c r="D386" s="1">
        <v>45319.924293981479</v>
      </c>
      <c r="E386" s="1">
        <v>45319.950682870367</v>
      </c>
      <c r="F386">
        <v>1011</v>
      </c>
      <c r="G386">
        <v>40</v>
      </c>
      <c r="H386" t="s">
        <v>21</v>
      </c>
      <c r="I386" t="s">
        <v>28</v>
      </c>
      <c r="J386">
        <v>178</v>
      </c>
      <c r="K386">
        <v>17</v>
      </c>
      <c r="L386">
        <v>0</v>
      </c>
    </row>
    <row r="387" spans="1:12" x14ac:dyDescent="0.25">
      <c r="A387">
        <v>386</v>
      </c>
      <c r="B387" t="s">
        <v>716</v>
      </c>
      <c r="C387" t="s">
        <v>592</v>
      </c>
      <c r="D387" s="1">
        <v>45320.435636574075</v>
      </c>
      <c r="E387" s="1">
        <v>45320.467581018522</v>
      </c>
      <c r="F387">
        <v>1562</v>
      </c>
      <c r="G387">
        <v>30</v>
      </c>
      <c r="H387" t="s">
        <v>21</v>
      </c>
      <c r="I387" t="s">
        <v>22</v>
      </c>
      <c r="J387">
        <v>98</v>
      </c>
      <c r="K387">
        <v>10</v>
      </c>
      <c r="L387">
        <v>0</v>
      </c>
    </row>
    <row r="388" spans="1:12" x14ac:dyDescent="0.25">
      <c r="A388">
        <v>387</v>
      </c>
      <c r="B388" t="s">
        <v>717</v>
      </c>
      <c r="C388" t="s">
        <v>718</v>
      </c>
      <c r="D388" s="1">
        <v>45311.729131944441</v>
      </c>
      <c r="E388" s="1">
        <v>45311.781909722224</v>
      </c>
      <c r="F388">
        <v>1930</v>
      </c>
      <c r="G388">
        <v>50</v>
      </c>
      <c r="H388" t="s">
        <v>21</v>
      </c>
      <c r="I388" t="s">
        <v>28</v>
      </c>
      <c r="J388">
        <v>70</v>
      </c>
      <c r="K388">
        <v>21</v>
      </c>
      <c r="L388">
        <v>0</v>
      </c>
    </row>
    <row r="389" spans="1:12" x14ac:dyDescent="0.25">
      <c r="A389">
        <v>388</v>
      </c>
      <c r="B389" t="s">
        <v>719</v>
      </c>
      <c r="C389" t="s">
        <v>720</v>
      </c>
      <c r="D389" s="1">
        <v>45321.529293981483</v>
      </c>
      <c r="E389" s="1">
        <v>45321.608460648145</v>
      </c>
      <c r="F389">
        <v>1831</v>
      </c>
      <c r="G389">
        <v>40</v>
      </c>
      <c r="H389" t="s">
        <v>21</v>
      </c>
      <c r="I389" s="2">
        <v>0.1</v>
      </c>
      <c r="J389">
        <v>86</v>
      </c>
      <c r="K389">
        <v>14</v>
      </c>
      <c r="L389">
        <v>150</v>
      </c>
    </row>
    <row r="390" spans="1:12" x14ac:dyDescent="0.25">
      <c r="A390">
        <v>389</v>
      </c>
      <c r="B390" t="s">
        <v>721</v>
      </c>
      <c r="C390" t="s">
        <v>722</v>
      </c>
      <c r="D390" s="1">
        <v>45328.200787037036</v>
      </c>
      <c r="E390" s="1">
        <v>45328.26189814815</v>
      </c>
      <c r="F390">
        <v>286</v>
      </c>
      <c r="G390">
        <v>0</v>
      </c>
      <c r="H390" t="s">
        <v>14</v>
      </c>
      <c r="I390" t="s">
        <v>22</v>
      </c>
      <c r="J390">
        <v>165</v>
      </c>
      <c r="K390">
        <v>33</v>
      </c>
      <c r="L390">
        <v>0</v>
      </c>
    </row>
    <row r="391" spans="1:12" x14ac:dyDescent="0.25">
      <c r="A391">
        <v>390</v>
      </c>
      <c r="B391" t="s">
        <v>723</v>
      </c>
      <c r="C391" t="s">
        <v>724</v>
      </c>
      <c r="D391" s="1">
        <v>45316.768287037034</v>
      </c>
      <c r="E391" s="1">
        <v>45316.825925925928</v>
      </c>
      <c r="F391">
        <v>444</v>
      </c>
      <c r="G391">
        <v>40</v>
      </c>
      <c r="H391" t="s">
        <v>21</v>
      </c>
      <c r="I391" s="2">
        <v>0.1</v>
      </c>
      <c r="J391">
        <v>73</v>
      </c>
      <c r="K391">
        <v>15</v>
      </c>
      <c r="L391">
        <v>50</v>
      </c>
    </row>
    <row r="392" spans="1:12" x14ac:dyDescent="0.25">
      <c r="A392">
        <v>391</v>
      </c>
      <c r="B392" t="s">
        <v>725</v>
      </c>
      <c r="C392" t="s">
        <v>726</v>
      </c>
      <c r="D392" s="1">
        <v>45301.664768518516</v>
      </c>
      <c r="E392" s="1">
        <v>45301.744629629633</v>
      </c>
      <c r="F392">
        <v>323</v>
      </c>
      <c r="G392">
        <v>20</v>
      </c>
      <c r="H392" t="s">
        <v>21</v>
      </c>
      <c r="I392" s="2">
        <v>0.1</v>
      </c>
      <c r="J392">
        <v>104</v>
      </c>
      <c r="K392">
        <v>34</v>
      </c>
      <c r="L392">
        <v>0</v>
      </c>
    </row>
    <row r="393" spans="1:12" x14ac:dyDescent="0.25">
      <c r="A393">
        <v>392</v>
      </c>
      <c r="B393" t="s">
        <v>727</v>
      </c>
      <c r="C393" t="s">
        <v>728</v>
      </c>
      <c r="D393" s="1">
        <v>45319.428495370368</v>
      </c>
      <c r="E393" s="1">
        <v>45319.456967592596</v>
      </c>
      <c r="F393">
        <v>929</v>
      </c>
      <c r="G393">
        <v>40</v>
      </c>
      <c r="H393" t="s">
        <v>14</v>
      </c>
      <c r="I393" t="s">
        <v>25</v>
      </c>
      <c r="J393">
        <v>74</v>
      </c>
      <c r="K393">
        <v>10</v>
      </c>
      <c r="L393">
        <v>50</v>
      </c>
    </row>
    <row r="394" spans="1:12" x14ac:dyDescent="0.25">
      <c r="A394">
        <v>393</v>
      </c>
      <c r="B394" t="s">
        <v>729</v>
      </c>
      <c r="C394" t="s">
        <v>730</v>
      </c>
      <c r="D394" s="1">
        <v>45328.705092592594</v>
      </c>
      <c r="E394" s="1">
        <v>45328.769675925927</v>
      </c>
      <c r="F394">
        <v>587</v>
      </c>
      <c r="G394">
        <v>30</v>
      </c>
      <c r="H394" t="s">
        <v>18</v>
      </c>
      <c r="I394" s="2">
        <v>0.1</v>
      </c>
      <c r="J394">
        <v>184</v>
      </c>
      <c r="K394">
        <v>34</v>
      </c>
      <c r="L394">
        <v>50</v>
      </c>
    </row>
    <row r="395" spans="1:12" x14ac:dyDescent="0.25">
      <c r="A395">
        <v>394</v>
      </c>
      <c r="B395" t="s">
        <v>731</v>
      </c>
      <c r="C395" t="s">
        <v>283</v>
      </c>
      <c r="D395" s="1">
        <v>45319.642106481479</v>
      </c>
      <c r="E395" s="1">
        <v>45319.666412037041</v>
      </c>
      <c r="F395">
        <v>976</v>
      </c>
      <c r="G395">
        <v>30</v>
      </c>
      <c r="H395" t="s">
        <v>18</v>
      </c>
      <c r="I395" s="2">
        <v>0.1</v>
      </c>
      <c r="J395">
        <v>176</v>
      </c>
      <c r="K395">
        <v>10</v>
      </c>
      <c r="L395">
        <v>0</v>
      </c>
    </row>
    <row r="396" spans="1:12" x14ac:dyDescent="0.25">
      <c r="A396">
        <v>395</v>
      </c>
      <c r="B396" t="s">
        <v>732</v>
      </c>
      <c r="C396" t="s">
        <v>432</v>
      </c>
      <c r="D396" s="1">
        <v>45325.377210648148</v>
      </c>
      <c r="E396" s="1">
        <v>45325.434155092589</v>
      </c>
      <c r="F396">
        <v>948</v>
      </c>
      <c r="G396">
        <v>50</v>
      </c>
      <c r="H396" t="s">
        <v>14</v>
      </c>
      <c r="I396" t="s">
        <v>22</v>
      </c>
      <c r="J396">
        <v>142</v>
      </c>
      <c r="K396">
        <v>41</v>
      </c>
      <c r="L396">
        <v>0</v>
      </c>
    </row>
    <row r="397" spans="1:12" x14ac:dyDescent="0.25">
      <c r="A397">
        <v>396</v>
      </c>
      <c r="B397" t="s">
        <v>733</v>
      </c>
      <c r="C397" t="s">
        <v>734</v>
      </c>
      <c r="D397" s="1">
        <v>45306.821956018517</v>
      </c>
      <c r="E397" s="1">
        <v>45306.853206018517</v>
      </c>
      <c r="F397">
        <v>1352</v>
      </c>
      <c r="G397">
        <v>50</v>
      </c>
      <c r="H397" t="s">
        <v>18</v>
      </c>
      <c r="I397" t="s">
        <v>22</v>
      </c>
      <c r="J397">
        <v>143</v>
      </c>
      <c r="K397">
        <v>12</v>
      </c>
      <c r="L397">
        <v>0</v>
      </c>
    </row>
    <row r="398" spans="1:12" x14ac:dyDescent="0.25">
      <c r="A398">
        <v>397</v>
      </c>
      <c r="B398" t="s">
        <v>735</v>
      </c>
      <c r="C398" t="s">
        <v>736</v>
      </c>
      <c r="D398" s="1">
        <v>45300.73027777778</v>
      </c>
      <c r="E398" s="1">
        <v>45300.812916666669</v>
      </c>
      <c r="F398">
        <v>1513</v>
      </c>
      <c r="G398">
        <v>50</v>
      </c>
      <c r="H398" t="s">
        <v>14</v>
      </c>
      <c r="I398" t="s">
        <v>15</v>
      </c>
      <c r="J398">
        <v>120</v>
      </c>
      <c r="K398">
        <v>28</v>
      </c>
      <c r="L398">
        <v>0</v>
      </c>
    </row>
    <row r="399" spans="1:12" x14ac:dyDescent="0.25">
      <c r="A399">
        <v>398</v>
      </c>
      <c r="B399" t="s">
        <v>737</v>
      </c>
      <c r="C399" t="s">
        <v>738</v>
      </c>
      <c r="D399" s="1">
        <v>45317.719143518516</v>
      </c>
      <c r="E399" s="1">
        <v>45317.742754629631</v>
      </c>
      <c r="F399">
        <v>1078</v>
      </c>
      <c r="G399">
        <v>0</v>
      </c>
      <c r="H399" t="s">
        <v>21</v>
      </c>
      <c r="I399" t="s">
        <v>25</v>
      </c>
      <c r="J399">
        <v>171</v>
      </c>
      <c r="K399">
        <v>38</v>
      </c>
      <c r="L399">
        <v>0</v>
      </c>
    </row>
    <row r="400" spans="1:12" x14ac:dyDescent="0.25">
      <c r="A400">
        <v>399</v>
      </c>
      <c r="B400" t="s">
        <v>739</v>
      </c>
      <c r="C400" t="s">
        <v>363</v>
      </c>
      <c r="D400" s="1">
        <v>45307.109803240739</v>
      </c>
      <c r="E400" s="1">
        <v>45307.180636574078</v>
      </c>
      <c r="F400">
        <v>1712</v>
      </c>
      <c r="G400">
        <v>50</v>
      </c>
      <c r="H400" t="s">
        <v>21</v>
      </c>
      <c r="I400" s="2">
        <v>0.1</v>
      </c>
      <c r="J400">
        <v>73</v>
      </c>
      <c r="K400">
        <v>11</v>
      </c>
      <c r="L400">
        <v>0</v>
      </c>
    </row>
    <row r="401" spans="1:12" x14ac:dyDescent="0.25">
      <c r="A401">
        <v>400</v>
      </c>
      <c r="B401" t="s">
        <v>740</v>
      </c>
      <c r="C401" t="s">
        <v>741</v>
      </c>
      <c r="D401" s="1">
        <v>45304.930497685185</v>
      </c>
      <c r="E401" s="1">
        <v>45304.982581018521</v>
      </c>
      <c r="F401">
        <v>1116</v>
      </c>
      <c r="G401">
        <v>0</v>
      </c>
      <c r="H401" t="s">
        <v>18</v>
      </c>
      <c r="I401" t="s">
        <v>25</v>
      </c>
      <c r="J401">
        <v>60</v>
      </c>
      <c r="K401">
        <v>18</v>
      </c>
      <c r="L401">
        <v>50</v>
      </c>
    </row>
    <row r="402" spans="1:12" x14ac:dyDescent="0.25">
      <c r="A402">
        <v>401</v>
      </c>
      <c r="B402" t="s">
        <v>742</v>
      </c>
      <c r="C402" t="s">
        <v>743</v>
      </c>
      <c r="D402" s="1">
        <v>45295.572025462963</v>
      </c>
      <c r="E402" s="1">
        <v>45295.601886574077</v>
      </c>
      <c r="F402">
        <v>287</v>
      </c>
      <c r="G402">
        <v>50</v>
      </c>
      <c r="H402" t="s">
        <v>21</v>
      </c>
      <c r="I402" t="s">
        <v>28</v>
      </c>
      <c r="J402">
        <v>122</v>
      </c>
      <c r="K402">
        <v>26</v>
      </c>
      <c r="L402">
        <v>0</v>
      </c>
    </row>
    <row r="403" spans="1:12" x14ac:dyDescent="0.25">
      <c r="A403">
        <v>402</v>
      </c>
      <c r="B403" t="s">
        <v>744</v>
      </c>
      <c r="C403" t="s">
        <v>745</v>
      </c>
      <c r="D403" s="1">
        <v>45318.251331018517</v>
      </c>
      <c r="E403" s="1">
        <v>45318.302025462966</v>
      </c>
      <c r="F403">
        <v>1981</v>
      </c>
      <c r="G403">
        <v>0</v>
      </c>
      <c r="H403" t="s">
        <v>18</v>
      </c>
      <c r="I403" s="2">
        <v>0.1</v>
      </c>
      <c r="J403">
        <v>61</v>
      </c>
      <c r="K403">
        <v>45</v>
      </c>
      <c r="L403">
        <v>0</v>
      </c>
    </row>
    <row r="404" spans="1:12" x14ac:dyDescent="0.25">
      <c r="A404">
        <v>403</v>
      </c>
      <c r="B404" t="s">
        <v>746</v>
      </c>
      <c r="C404" t="s">
        <v>747</v>
      </c>
      <c r="D404" s="1">
        <v>45305.777800925927</v>
      </c>
      <c r="E404" s="1">
        <v>45305.841689814813</v>
      </c>
      <c r="F404">
        <v>369</v>
      </c>
      <c r="G404">
        <v>40</v>
      </c>
      <c r="H404" t="s">
        <v>18</v>
      </c>
      <c r="I404" t="s">
        <v>25</v>
      </c>
      <c r="J404">
        <v>84</v>
      </c>
      <c r="K404">
        <v>26</v>
      </c>
      <c r="L404">
        <v>0</v>
      </c>
    </row>
    <row r="405" spans="1:12" x14ac:dyDescent="0.25">
      <c r="A405">
        <v>404</v>
      </c>
      <c r="B405" t="s">
        <v>748</v>
      </c>
      <c r="C405" t="s">
        <v>494</v>
      </c>
      <c r="D405" s="1">
        <v>45312.878692129627</v>
      </c>
      <c r="E405" s="1">
        <v>45312.934942129628</v>
      </c>
      <c r="F405">
        <v>1730</v>
      </c>
      <c r="G405">
        <v>40</v>
      </c>
      <c r="H405" t="s">
        <v>21</v>
      </c>
      <c r="I405" t="s">
        <v>15</v>
      </c>
      <c r="J405">
        <v>190</v>
      </c>
      <c r="K405">
        <v>21</v>
      </c>
      <c r="L405">
        <v>0</v>
      </c>
    </row>
    <row r="406" spans="1:12" x14ac:dyDescent="0.25">
      <c r="A406">
        <v>405</v>
      </c>
      <c r="B406" t="s">
        <v>749</v>
      </c>
      <c r="C406" t="s">
        <v>750</v>
      </c>
      <c r="D406" s="1">
        <v>45326.317372685182</v>
      </c>
      <c r="E406" s="1">
        <v>45326.355567129627</v>
      </c>
      <c r="F406">
        <v>409</v>
      </c>
      <c r="G406">
        <v>30</v>
      </c>
      <c r="H406" t="s">
        <v>21</v>
      </c>
      <c r="I406" t="s">
        <v>15</v>
      </c>
      <c r="J406">
        <v>72</v>
      </c>
      <c r="K406">
        <v>29</v>
      </c>
      <c r="L406">
        <v>0</v>
      </c>
    </row>
    <row r="407" spans="1:12" x14ac:dyDescent="0.25">
      <c r="A407">
        <v>406</v>
      </c>
      <c r="B407" t="s">
        <v>751</v>
      </c>
      <c r="C407" t="s">
        <v>752</v>
      </c>
      <c r="D407" s="1">
        <v>45305.276805555557</v>
      </c>
      <c r="E407" s="1">
        <v>45305.333749999998</v>
      </c>
      <c r="F407">
        <v>1255</v>
      </c>
      <c r="G407">
        <v>0</v>
      </c>
      <c r="H407" t="s">
        <v>18</v>
      </c>
      <c r="I407" s="2">
        <v>0.1</v>
      </c>
      <c r="J407">
        <v>132</v>
      </c>
      <c r="K407">
        <v>12</v>
      </c>
      <c r="L407">
        <v>0</v>
      </c>
    </row>
    <row r="408" spans="1:12" x14ac:dyDescent="0.25">
      <c r="A408">
        <v>407</v>
      </c>
      <c r="B408" t="s">
        <v>753</v>
      </c>
      <c r="C408" t="s">
        <v>754</v>
      </c>
      <c r="D408" s="1">
        <v>45326.219513888886</v>
      </c>
      <c r="E408" s="1">
        <v>45326.259791666664</v>
      </c>
      <c r="F408">
        <v>1674</v>
      </c>
      <c r="G408">
        <v>20</v>
      </c>
      <c r="H408" t="s">
        <v>21</v>
      </c>
      <c r="I408" t="s">
        <v>28</v>
      </c>
      <c r="J408">
        <v>137</v>
      </c>
      <c r="K408">
        <v>13</v>
      </c>
      <c r="L408">
        <v>150</v>
      </c>
    </row>
    <row r="409" spans="1:12" x14ac:dyDescent="0.25">
      <c r="A409">
        <v>408</v>
      </c>
      <c r="B409" t="s">
        <v>755</v>
      </c>
      <c r="C409" t="s">
        <v>756</v>
      </c>
      <c r="D409" s="1">
        <v>45318.436874999999</v>
      </c>
      <c r="E409" s="1">
        <v>45318.470208333332</v>
      </c>
      <c r="F409">
        <v>1195</v>
      </c>
      <c r="G409">
        <v>30</v>
      </c>
      <c r="H409" t="s">
        <v>14</v>
      </c>
      <c r="I409" t="s">
        <v>15</v>
      </c>
      <c r="J409">
        <v>129</v>
      </c>
      <c r="K409">
        <v>26</v>
      </c>
      <c r="L409">
        <v>0</v>
      </c>
    </row>
    <row r="410" spans="1:12" x14ac:dyDescent="0.25">
      <c r="A410">
        <v>409</v>
      </c>
      <c r="B410" t="s">
        <v>757</v>
      </c>
      <c r="C410" t="s">
        <v>390</v>
      </c>
      <c r="D410" s="1">
        <v>45295.592303240737</v>
      </c>
      <c r="E410" s="1">
        <v>45295.64508101852</v>
      </c>
      <c r="F410">
        <v>1916</v>
      </c>
      <c r="G410">
        <v>40</v>
      </c>
      <c r="H410" t="s">
        <v>21</v>
      </c>
      <c r="I410" t="s">
        <v>15</v>
      </c>
      <c r="J410">
        <v>146</v>
      </c>
      <c r="K410">
        <v>46</v>
      </c>
      <c r="L410">
        <v>0</v>
      </c>
    </row>
    <row r="411" spans="1:12" x14ac:dyDescent="0.25">
      <c r="A411">
        <v>410</v>
      </c>
      <c r="B411" t="s">
        <v>758</v>
      </c>
      <c r="C411" t="s">
        <v>190</v>
      </c>
      <c r="D411" s="1">
        <v>45316.611724537041</v>
      </c>
      <c r="E411" s="1">
        <v>45316.637418981481</v>
      </c>
      <c r="F411">
        <v>944</v>
      </c>
      <c r="G411">
        <v>0</v>
      </c>
      <c r="H411" t="s">
        <v>21</v>
      </c>
      <c r="I411" t="s">
        <v>28</v>
      </c>
      <c r="J411">
        <v>189</v>
      </c>
      <c r="K411">
        <v>24</v>
      </c>
      <c r="L411">
        <v>0</v>
      </c>
    </row>
    <row r="412" spans="1:12" x14ac:dyDescent="0.25">
      <c r="A412">
        <v>411</v>
      </c>
      <c r="B412" t="s">
        <v>759</v>
      </c>
      <c r="C412" t="s">
        <v>456</v>
      </c>
      <c r="D412" s="1">
        <v>45306.714120370372</v>
      </c>
      <c r="E412" s="1">
        <v>45306.750231481485</v>
      </c>
      <c r="F412">
        <v>1795</v>
      </c>
      <c r="G412">
        <v>50</v>
      </c>
      <c r="H412" t="s">
        <v>14</v>
      </c>
      <c r="I412" t="s">
        <v>25</v>
      </c>
      <c r="J412">
        <v>83</v>
      </c>
      <c r="K412">
        <v>42</v>
      </c>
      <c r="L412">
        <v>50</v>
      </c>
    </row>
    <row r="413" spans="1:12" x14ac:dyDescent="0.25">
      <c r="A413">
        <v>412</v>
      </c>
      <c r="B413" t="s">
        <v>760</v>
      </c>
      <c r="C413" t="s">
        <v>761</v>
      </c>
      <c r="D413" s="1">
        <v>45304.087118055555</v>
      </c>
      <c r="E413" s="1">
        <v>45304.131562499999</v>
      </c>
      <c r="F413">
        <v>1310</v>
      </c>
      <c r="G413">
        <v>20</v>
      </c>
      <c r="H413" t="s">
        <v>21</v>
      </c>
      <c r="I413" t="s">
        <v>15</v>
      </c>
      <c r="J413">
        <v>124</v>
      </c>
      <c r="K413">
        <v>25</v>
      </c>
      <c r="L413">
        <v>0</v>
      </c>
    </row>
    <row r="414" spans="1:12" x14ac:dyDescent="0.25">
      <c r="A414">
        <v>413</v>
      </c>
      <c r="B414" t="s">
        <v>762</v>
      </c>
      <c r="C414" t="s">
        <v>458</v>
      </c>
      <c r="D414" s="1">
        <v>45294.242858796293</v>
      </c>
      <c r="E414" s="1">
        <v>45294.299803240741</v>
      </c>
      <c r="F414">
        <v>585</v>
      </c>
      <c r="G414">
        <v>40</v>
      </c>
      <c r="H414" t="s">
        <v>21</v>
      </c>
      <c r="I414" t="s">
        <v>22</v>
      </c>
      <c r="J414">
        <v>177</v>
      </c>
      <c r="K414">
        <v>20</v>
      </c>
      <c r="L414">
        <v>150</v>
      </c>
    </row>
    <row r="415" spans="1:12" x14ac:dyDescent="0.25">
      <c r="A415">
        <v>414</v>
      </c>
      <c r="B415" t="s">
        <v>763</v>
      </c>
      <c r="C415" t="s">
        <v>40</v>
      </c>
      <c r="D415" s="1">
        <v>45316.489629629628</v>
      </c>
      <c r="E415" s="1">
        <v>45316.550046296295</v>
      </c>
      <c r="F415">
        <v>1314</v>
      </c>
      <c r="G415">
        <v>30</v>
      </c>
      <c r="H415" t="s">
        <v>18</v>
      </c>
      <c r="I415" t="s">
        <v>15</v>
      </c>
      <c r="J415">
        <v>190</v>
      </c>
      <c r="K415">
        <v>29</v>
      </c>
      <c r="L415">
        <v>0</v>
      </c>
    </row>
    <row r="416" spans="1:12" x14ac:dyDescent="0.25">
      <c r="A416">
        <v>415</v>
      </c>
      <c r="B416" t="s">
        <v>764</v>
      </c>
      <c r="C416" t="s">
        <v>530</v>
      </c>
      <c r="D416" s="1">
        <v>45303.752500000002</v>
      </c>
      <c r="E416" s="1">
        <v>45303.77611111111</v>
      </c>
      <c r="F416">
        <v>1545</v>
      </c>
      <c r="G416">
        <v>0</v>
      </c>
      <c r="H416" t="s">
        <v>21</v>
      </c>
      <c r="I416" t="s">
        <v>25</v>
      </c>
      <c r="J416">
        <v>80</v>
      </c>
      <c r="K416">
        <v>47</v>
      </c>
      <c r="L416">
        <v>0</v>
      </c>
    </row>
    <row r="417" spans="1:12" x14ac:dyDescent="0.25">
      <c r="A417">
        <v>416</v>
      </c>
      <c r="B417" t="s">
        <v>765</v>
      </c>
      <c r="C417" t="s">
        <v>392</v>
      </c>
      <c r="D417" s="1">
        <v>45324.809224537035</v>
      </c>
      <c r="E417" s="1">
        <v>45324.840474537035</v>
      </c>
      <c r="F417">
        <v>219</v>
      </c>
      <c r="G417">
        <v>20</v>
      </c>
      <c r="H417" t="s">
        <v>21</v>
      </c>
      <c r="I417" t="s">
        <v>25</v>
      </c>
      <c r="J417">
        <v>179</v>
      </c>
      <c r="K417">
        <v>33</v>
      </c>
      <c r="L417">
        <v>0</v>
      </c>
    </row>
    <row r="418" spans="1:12" x14ac:dyDescent="0.25">
      <c r="A418">
        <v>417</v>
      </c>
      <c r="B418" t="s">
        <v>766</v>
      </c>
      <c r="C418" t="s">
        <v>699</v>
      </c>
      <c r="D418" s="1">
        <v>45314.378009259257</v>
      </c>
      <c r="E418" s="1">
        <v>45314.409953703704</v>
      </c>
      <c r="F418">
        <v>319</v>
      </c>
      <c r="G418">
        <v>0</v>
      </c>
      <c r="H418" t="s">
        <v>14</v>
      </c>
      <c r="I418" s="2">
        <v>0.1</v>
      </c>
      <c r="J418">
        <v>152</v>
      </c>
      <c r="K418">
        <v>25</v>
      </c>
      <c r="L418">
        <v>0</v>
      </c>
    </row>
    <row r="419" spans="1:12" x14ac:dyDescent="0.25">
      <c r="A419">
        <v>418</v>
      </c>
      <c r="B419" t="s">
        <v>767</v>
      </c>
      <c r="C419" t="s">
        <v>768</v>
      </c>
      <c r="D419" s="1">
        <v>45299.740219907406</v>
      </c>
      <c r="E419" s="1">
        <v>45299.782581018517</v>
      </c>
      <c r="F419">
        <v>152</v>
      </c>
      <c r="G419">
        <v>50</v>
      </c>
      <c r="H419" t="s">
        <v>18</v>
      </c>
      <c r="I419" t="s">
        <v>22</v>
      </c>
      <c r="J419">
        <v>64</v>
      </c>
      <c r="K419">
        <v>39</v>
      </c>
      <c r="L419">
        <v>100</v>
      </c>
    </row>
    <row r="420" spans="1:12" x14ac:dyDescent="0.25">
      <c r="A420">
        <v>419</v>
      </c>
      <c r="B420" t="s">
        <v>769</v>
      </c>
      <c r="C420" t="s">
        <v>770</v>
      </c>
      <c r="D420" s="1">
        <v>45318.784502314818</v>
      </c>
      <c r="E420" s="1">
        <v>45318.840752314813</v>
      </c>
      <c r="F420">
        <v>1857</v>
      </c>
      <c r="G420">
        <v>30</v>
      </c>
      <c r="H420" t="s">
        <v>18</v>
      </c>
      <c r="I420" t="s">
        <v>25</v>
      </c>
      <c r="J420">
        <v>106</v>
      </c>
      <c r="K420">
        <v>43</v>
      </c>
      <c r="L420">
        <v>0</v>
      </c>
    </row>
    <row r="421" spans="1:12" x14ac:dyDescent="0.25">
      <c r="A421">
        <v>420</v>
      </c>
      <c r="B421" t="s">
        <v>771</v>
      </c>
      <c r="C421" t="s">
        <v>752</v>
      </c>
      <c r="D421" s="1">
        <v>45302.505428240744</v>
      </c>
      <c r="E421" s="1">
        <v>45302.539456018516</v>
      </c>
      <c r="F421">
        <v>1574</v>
      </c>
      <c r="G421">
        <v>0</v>
      </c>
      <c r="H421" t="s">
        <v>18</v>
      </c>
      <c r="I421" t="s">
        <v>28</v>
      </c>
      <c r="J421">
        <v>124</v>
      </c>
      <c r="K421">
        <v>10</v>
      </c>
      <c r="L421">
        <v>0</v>
      </c>
    </row>
    <row r="422" spans="1:12" x14ac:dyDescent="0.25">
      <c r="A422">
        <v>421</v>
      </c>
      <c r="B422" t="s">
        <v>772</v>
      </c>
      <c r="C422" t="s">
        <v>382</v>
      </c>
      <c r="D422" s="1">
        <v>45304.787604166668</v>
      </c>
      <c r="E422" s="1">
        <v>45304.853576388887</v>
      </c>
      <c r="F422">
        <v>1535</v>
      </c>
      <c r="G422">
        <v>40</v>
      </c>
      <c r="H422" t="s">
        <v>21</v>
      </c>
      <c r="I422" t="s">
        <v>22</v>
      </c>
      <c r="J422">
        <v>83</v>
      </c>
      <c r="K422">
        <v>33</v>
      </c>
      <c r="L422">
        <v>150</v>
      </c>
    </row>
    <row r="423" spans="1:12" x14ac:dyDescent="0.25">
      <c r="A423">
        <v>422</v>
      </c>
      <c r="B423" t="s">
        <v>773</v>
      </c>
      <c r="C423" t="s">
        <v>774</v>
      </c>
      <c r="D423" s="1">
        <v>45311.267847222225</v>
      </c>
      <c r="E423" s="1">
        <v>45311.346319444441</v>
      </c>
      <c r="F423">
        <v>1766</v>
      </c>
      <c r="G423">
        <v>30</v>
      </c>
      <c r="H423" t="s">
        <v>18</v>
      </c>
      <c r="I423" t="s">
        <v>22</v>
      </c>
      <c r="J423">
        <v>152</v>
      </c>
      <c r="K423">
        <v>33</v>
      </c>
      <c r="L423">
        <v>0</v>
      </c>
    </row>
    <row r="424" spans="1:12" x14ac:dyDescent="0.25">
      <c r="A424">
        <v>423</v>
      </c>
      <c r="B424" t="s">
        <v>775</v>
      </c>
      <c r="C424" t="s">
        <v>776</v>
      </c>
      <c r="D424" s="1">
        <v>45313.295173611114</v>
      </c>
      <c r="E424" s="1">
        <v>45313.372256944444</v>
      </c>
      <c r="F424">
        <v>1360</v>
      </c>
      <c r="G424">
        <v>40</v>
      </c>
      <c r="H424" t="s">
        <v>14</v>
      </c>
      <c r="I424" t="s">
        <v>28</v>
      </c>
      <c r="J424">
        <v>124</v>
      </c>
      <c r="K424">
        <v>18</v>
      </c>
      <c r="L424">
        <v>0</v>
      </c>
    </row>
    <row r="425" spans="1:12" x14ac:dyDescent="0.25">
      <c r="A425">
        <v>424</v>
      </c>
      <c r="B425" t="s">
        <v>777</v>
      </c>
      <c r="C425" t="s">
        <v>200</v>
      </c>
      <c r="D425" s="1">
        <v>45329.797407407408</v>
      </c>
      <c r="E425" s="1">
        <v>45329.818240740744</v>
      </c>
      <c r="F425">
        <v>857</v>
      </c>
      <c r="G425">
        <v>0</v>
      </c>
      <c r="H425" t="s">
        <v>18</v>
      </c>
      <c r="I425" t="s">
        <v>15</v>
      </c>
      <c r="J425">
        <v>78</v>
      </c>
      <c r="K425">
        <v>31</v>
      </c>
      <c r="L425">
        <v>100</v>
      </c>
    </row>
    <row r="426" spans="1:12" x14ac:dyDescent="0.25">
      <c r="A426">
        <v>425</v>
      </c>
      <c r="B426" t="s">
        <v>778</v>
      </c>
      <c r="C426" t="s">
        <v>301</v>
      </c>
      <c r="D426" s="1">
        <v>45296.373194444444</v>
      </c>
      <c r="E426" s="1">
        <v>45296.433611111112</v>
      </c>
      <c r="F426">
        <v>837</v>
      </c>
      <c r="G426">
        <v>30</v>
      </c>
      <c r="H426" t="s">
        <v>14</v>
      </c>
      <c r="I426" t="s">
        <v>28</v>
      </c>
      <c r="J426">
        <v>65</v>
      </c>
      <c r="K426">
        <v>21</v>
      </c>
      <c r="L426">
        <v>0</v>
      </c>
    </row>
    <row r="427" spans="1:12" x14ac:dyDescent="0.25">
      <c r="A427">
        <v>426</v>
      </c>
      <c r="B427" t="s">
        <v>779</v>
      </c>
      <c r="C427" t="s">
        <v>556</v>
      </c>
      <c r="D427" s="1">
        <v>45292.123831018522</v>
      </c>
      <c r="E427" s="1">
        <v>45292.201608796298</v>
      </c>
      <c r="F427">
        <v>819</v>
      </c>
      <c r="G427">
        <v>40</v>
      </c>
      <c r="H427" t="s">
        <v>18</v>
      </c>
      <c r="I427" t="s">
        <v>28</v>
      </c>
      <c r="J427">
        <v>126</v>
      </c>
      <c r="K427">
        <v>26</v>
      </c>
      <c r="L427">
        <v>0</v>
      </c>
    </row>
    <row r="428" spans="1:12" x14ac:dyDescent="0.25">
      <c r="A428">
        <v>427</v>
      </c>
      <c r="B428" t="s">
        <v>780</v>
      </c>
      <c r="C428" t="s">
        <v>781</v>
      </c>
      <c r="D428" s="1">
        <v>45298.180590277778</v>
      </c>
      <c r="E428" s="1">
        <v>45298.23128472222</v>
      </c>
      <c r="F428">
        <v>505</v>
      </c>
      <c r="G428">
        <v>50</v>
      </c>
      <c r="H428" t="s">
        <v>18</v>
      </c>
      <c r="I428" t="s">
        <v>15</v>
      </c>
      <c r="J428">
        <v>86</v>
      </c>
      <c r="K428">
        <v>34</v>
      </c>
      <c r="L428">
        <v>50</v>
      </c>
    </row>
    <row r="429" spans="1:12" x14ac:dyDescent="0.25">
      <c r="A429">
        <v>428</v>
      </c>
      <c r="B429" t="s">
        <v>782</v>
      </c>
      <c r="C429" t="s">
        <v>783</v>
      </c>
      <c r="D429" s="1">
        <v>45328.630752314813</v>
      </c>
      <c r="E429" s="1">
        <v>45328.655057870368</v>
      </c>
      <c r="F429">
        <v>707</v>
      </c>
      <c r="G429">
        <v>50</v>
      </c>
      <c r="H429" t="s">
        <v>14</v>
      </c>
      <c r="I429" t="s">
        <v>15</v>
      </c>
      <c r="J429">
        <v>130</v>
      </c>
      <c r="K429">
        <v>37</v>
      </c>
      <c r="L429">
        <v>0</v>
      </c>
    </row>
    <row r="430" spans="1:12" x14ac:dyDescent="0.25">
      <c r="A430">
        <v>429</v>
      </c>
      <c r="B430" t="s">
        <v>784</v>
      </c>
      <c r="C430" t="s">
        <v>542</v>
      </c>
      <c r="D430" s="1">
        <v>45322.275509259256</v>
      </c>
      <c r="E430" s="1">
        <v>45322.330370370371</v>
      </c>
      <c r="F430">
        <v>1120</v>
      </c>
      <c r="G430">
        <v>0</v>
      </c>
      <c r="H430" t="s">
        <v>18</v>
      </c>
      <c r="I430" t="s">
        <v>15</v>
      </c>
      <c r="J430">
        <v>198</v>
      </c>
      <c r="K430">
        <v>24</v>
      </c>
      <c r="L430">
        <v>100</v>
      </c>
    </row>
    <row r="431" spans="1:12" x14ac:dyDescent="0.25">
      <c r="A431">
        <v>430</v>
      </c>
      <c r="B431" t="s">
        <v>785</v>
      </c>
      <c r="C431" t="s">
        <v>786</v>
      </c>
      <c r="D431" s="1">
        <v>45293.370520833334</v>
      </c>
      <c r="E431" s="1">
        <v>45293.440659722219</v>
      </c>
      <c r="F431">
        <v>521</v>
      </c>
      <c r="G431">
        <v>30</v>
      </c>
      <c r="H431" t="s">
        <v>18</v>
      </c>
      <c r="I431" t="s">
        <v>15</v>
      </c>
      <c r="J431">
        <v>173</v>
      </c>
      <c r="K431">
        <v>39</v>
      </c>
      <c r="L431">
        <v>0</v>
      </c>
    </row>
    <row r="432" spans="1:12" x14ac:dyDescent="0.25">
      <c r="A432">
        <v>431</v>
      </c>
      <c r="B432" t="s">
        <v>787</v>
      </c>
      <c r="C432" t="s">
        <v>788</v>
      </c>
      <c r="D432" s="1">
        <v>45314.942627314813</v>
      </c>
      <c r="E432" s="1">
        <v>45315.023877314816</v>
      </c>
      <c r="F432">
        <v>811</v>
      </c>
      <c r="G432">
        <v>20</v>
      </c>
      <c r="H432" t="s">
        <v>18</v>
      </c>
      <c r="I432" t="s">
        <v>15</v>
      </c>
      <c r="J432">
        <v>68</v>
      </c>
      <c r="K432">
        <v>36</v>
      </c>
      <c r="L432">
        <v>100</v>
      </c>
    </row>
    <row r="433" spans="1:12" x14ac:dyDescent="0.25">
      <c r="A433">
        <v>432</v>
      </c>
      <c r="B433" t="s">
        <v>789</v>
      </c>
      <c r="C433" t="s">
        <v>790</v>
      </c>
      <c r="D433" s="1">
        <v>45311.584814814814</v>
      </c>
      <c r="E433" s="1">
        <v>45311.618842592594</v>
      </c>
      <c r="F433">
        <v>346</v>
      </c>
      <c r="G433">
        <v>30</v>
      </c>
      <c r="H433" t="s">
        <v>21</v>
      </c>
      <c r="I433" t="s">
        <v>28</v>
      </c>
      <c r="J433">
        <v>151</v>
      </c>
      <c r="K433">
        <v>31</v>
      </c>
      <c r="L433">
        <v>100</v>
      </c>
    </row>
    <row r="434" spans="1:12" x14ac:dyDescent="0.25">
      <c r="A434">
        <v>433</v>
      </c>
      <c r="B434" t="s">
        <v>791</v>
      </c>
      <c r="C434" t="s">
        <v>792</v>
      </c>
      <c r="D434" s="1">
        <v>45312.742048611108</v>
      </c>
      <c r="E434" s="1">
        <v>45312.771909722222</v>
      </c>
      <c r="F434">
        <v>171</v>
      </c>
      <c r="G434">
        <v>50</v>
      </c>
      <c r="H434" t="s">
        <v>14</v>
      </c>
      <c r="I434" s="2">
        <v>0.1</v>
      </c>
      <c r="J434">
        <v>185</v>
      </c>
      <c r="K434">
        <v>19</v>
      </c>
      <c r="L434">
        <v>50</v>
      </c>
    </row>
    <row r="435" spans="1:12" x14ac:dyDescent="0.25">
      <c r="A435">
        <v>434</v>
      </c>
      <c r="B435" t="s">
        <v>793</v>
      </c>
      <c r="C435" t="s">
        <v>398</v>
      </c>
      <c r="D435" s="1">
        <v>45329.849641203706</v>
      </c>
      <c r="E435" s="1">
        <v>45329.873252314814</v>
      </c>
      <c r="F435">
        <v>1953</v>
      </c>
      <c r="G435">
        <v>40</v>
      </c>
      <c r="H435" t="s">
        <v>18</v>
      </c>
      <c r="I435" s="2">
        <v>0.1</v>
      </c>
      <c r="J435">
        <v>126</v>
      </c>
      <c r="K435">
        <v>40</v>
      </c>
      <c r="L435">
        <v>0</v>
      </c>
    </row>
    <row r="436" spans="1:12" x14ac:dyDescent="0.25">
      <c r="A436">
        <v>435</v>
      </c>
      <c r="B436" t="s">
        <v>794</v>
      </c>
      <c r="C436" t="s">
        <v>795</v>
      </c>
      <c r="D436" s="1">
        <v>45294.493055555555</v>
      </c>
      <c r="E436" s="1">
        <v>45294.541666666664</v>
      </c>
      <c r="F436">
        <v>284</v>
      </c>
      <c r="G436">
        <v>20</v>
      </c>
      <c r="H436" t="s">
        <v>14</v>
      </c>
      <c r="I436" t="s">
        <v>25</v>
      </c>
      <c r="J436">
        <v>90</v>
      </c>
      <c r="K436">
        <v>36</v>
      </c>
      <c r="L436">
        <v>150</v>
      </c>
    </row>
    <row r="437" spans="1:12" x14ac:dyDescent="0.25">
      <c r="A437">
        <v>436</v>
      </c>
      <c r="B437" t="s">
        <v>796</v>
      </c>
      <c r="C437" t="s">
        <v>797</v>
      </c>
      <c r="D437" s="1">
        <v>45328.223194444443</v>
      </c>
      <c r="E437" s="1">
        <v>45328.271111111113</v>
      </c>
      <c r="F437">
        <v>105</v>
      </c>
      <c r="G437">
        <v>0</v>
      </c>
      <c r="H437" t="s">
        <v>14</v>
      </c>
      <c r="I437" s="2">
        <v>0.1</v>
      </c>
      <c r="J437">
        <v>110</v>
      </c>
      <c r="K437">
        <v>21</v>
      </c>
      <c r="L437">
        <v>0</v>
      </c>
    </row>
    <row r="438" spans="1:12" x14ac:dyDescent="0.25">
      <c r="A438">
        <v>437</v>
      </c>
      <c r="B438" t="s">
        <v>798</v>
      </c>
      <c r="C438" t="s">
        <v>654</v>
      </c>
      <c r="D438" s="1">
        <v>45322.752604166664</v>
      </c>
      <c r="E438" s="1">
        <v>45322.796354166669</v>
      </c>
      <c r="F438">
        <v>1329</v>
      </c>
      <c r="G438">
        <v>20</v>
      </c>
      <c r="H438" t="s">
        <v>14</v>
      </c>
      <c r="I438" s="2">
        <v>0.1</v>
      </c>
      <c r="J438">
        <v>75</v>
      </c>
      <c r="K438">
        <v>40</v>
      </c>
      <c r="L438">
        <v>50</v>
      </c>
    </row>
    <row r="439" spans="1:12" x14ac:dyDescent="0.25">
      <c r="A439">
        <v>438</v>
      </c>
      <c r="B439" t="s">
        <v>799</v>
      </c>
      <c r="C439" t="s">
        <v>800</v>
      </c>
      <c r="D439" s="1">
        <v>45313.593634259261</v>
      </c>
      <c r="E439" s="1">
        <v>45313.669328703705</v>
      </c>
      <c r="F439">
        <v>1667</v>
      </c>
      <c r="G439">
        <v>0</v>
      </c>
      <c r="H439" t="s">
        <v>18</v>
      </c>
      <c r="I439" t="s">
        <v>28</v>
      </c>
      <c r="J439">
        <v>120</v>
      </c>
      <c r="K439">
        <v>41</v>
      </c>
      <c r="L439">
        <v>0</v>
      </c>
    </row>
    <row r="440" spans="1:12" x14ac:dyDescent="0.25">
      <c r="A440">
        <v>439</v>
      </c>
      <c r="B440" t="s">
        <v>801</v>
      </c>
      <c r="C440" t="s">
        <v>136</v>
      </c>
      <c r="D440" s="1">
        <v>45296.538611111115</v>
      </c>
      <c r="E440" s="1">
        <v>45296.59</v>
      </c>
      <c r="F440">
        <v>1734</v>
      </c>
      <c r="G440">
        <v>20</v>
      </c>
      <c r="H440" t="s">
        <v>18</v>
      </c>
      <c r="I440" t="s">
        <v>15</v>
      </c>
      <c r="J440">
        <v>152</v>
      </c>
      <c r="K440">
        <v>41</v>
      </c>
      <c r="L440">
        <v>0</v>
      </c>
    </row>
    <row r="441" spans="1:12" x14ac:dyDescent="0.25">
      <c r="A441">
        <v>440</v>
      </c>
      <c r="B441" t="s">
        <v>802</v>
      </c>
      <c r="C441" t="s">
        <v>803</v>
      </c>
      <c r="D441" s="1">
        <v>45296.513356481482</v>
      </c>
      <c r="E441" s="1">
        <v>45296.582800925928</v>
      </c>
      <c r="F441">
        <v>1005</v>
      </c>
      <c r="G441">
        <v>0</v>
      </c>
      <c r="H441" t="s">
        <v>14</v>
      </c>
      <c r="I441" t="s">
        <v>15</v>
      </c>
      <c r="J441">
        <v>119</v>
      </c>
      <c r="K441">
        <v>50</v>
      </c>
      <c r="L441">
        <v>50</v>
      </c>
    </row>
    <row r="442" spans="1:12" x14ac:dyDescent="0.25">
      <c r="A442">
        <v>441</v>
      </c>
      <c r="B442" t="s">
        <v>804</v>
      </c>
      <c r="C442" t="s">
        <v>200</v>
      </c>
      <c r="D442" s="1">
        <v>45316.713182870371</v>
      </c>
      <c r="E442" s="1">
        <v>45316.788877314815</v>
      </c>
      <c r="F442">
        <v>486</v>
      </c>
      <c r="G442">
        <v>0</v>
      </c>
      <c r="H442" t="s">
        <v>21</v>
      </c>
      <c r="I442" t="s">
        <v>28</v>
      </c>
      <c r="J442">
        <v>156</v>
      </c>
      <c r="K442">
        <v>44</v>
      </c>
      <c r="L442">
        <v>0</v>
      </c>
    </row>
    <row r="443" spans="1:12" x14ac:dyDescent="0.25">
      <c r="A443">
        <v>442</v>
      </c>
      <c r="B443" t="s">
        <v>805</v>
      </c>
      <c r="C443" t="s">
        <v>321</v>
      </c>
      <c r="D443" s="1">
        <v>45312.215520833335</v>
      </c>
      <c r="E443" s="1">
        <v>45312.28496527778</v>
      </c>
      <c r="F443">
        <v>1891</v>
      </c>
      <c r="G443">
        <v>20</v>
      </c>
      <c r="H443" t="s">
        <v>14</v>
      </c>
      <c r="I443" s="2">
        <v>0.1</v>
      </c>
      <c r="J443">
        <v>156</v>
      </c>
      <c r="K443">
        <v>30</v>
      </c>
      <c r="L443">
        <v>0</v>
      </c>
    </row>
    <row r="444" spans="1:12" x14ac:dyDescent="0.25">
      <c r="A444">
        <v>443</v>
      </c>
      <c r="B444" t="s">
        <v>806</v>
      </c>
      <c r="C444" t="s">
        <v>807</v>
      </c>
      <c r="D444" s="1">
        <v>45292.209178240744</v>
      </c>
      <c r="E444" s="1">
        <v>45292.248067129629</v>
      </c>
      <c r="F444">
        <v>798</v>
      </c>
      <c r="G444">
        <v>20</v>
      </c>
      <c r="H444" t="s">
        <v>21</v>
      </c>
      <c r="I444" t="s">
        <v>28</v>
      </c>
      <c r="J444">
        <v>152</v>
      </c>
      <c r="K444">
        <v>19</v>
      </c>
      <c r="L444">
        <v>0</v>
      </c>
    </row>
    <row r="445" spans="1:12" x14ac:dyDescent="0.25">
      <c r="A445">
        <v>444</v>
      </c>
      <c r="B445" t="s">
        <v>808</v>
      </c>
      <c r="C445" t="s">
        <v>809</v>
      </c>
      <c r="D445" s="1">
        <v>45292.417071759257</v>
      </c>
      <c r="E445" s="1">
        <v>45292.491377314815</v>
      </c>
      <c r="F445">
        <v>1199</v>
      </c>
      <c r="G445">
        <v>0</v>
      </c>
      <c r="H445" t="s">
        <v>14</v>
      </c>
      <c r="I445" t="s">
        <v>25</v>
      </c>
      <c r="J445">
        <v>68</v>
      </c>
      <c r="K445">
        <v>25</v>
      </c>
      <c r="L445">
        <v>0</v>
      </c>
    </row>
    <row r="446" spans="1:12" x14ac:dyDescent="0.25">
      <c r="A446">
        <v>445</v>
      </c>
      <c r="B446" t="s">
        <v>810</v>
      </c>
      <c r="C446" t="s">
        <v>811</v>
      </c>
      <c r="D446" s="1">
        <v>45306.405381944445</v>
      </c>
      <c r="E446" s="1">
        <v>45306.479687500003</v>
      </c>
      <c r="F446">
        <v>1300</v>
      </c>
      <c r="G446">
        <v>50</v>
      </c>
      <c r="H446" t="s">
        <v>14</v>
      </c>
      <c r="I446" t="s">
        <v>15</v>
      </c>
      <c r="J446">
        <v>117</v>
      </c>
      <c r="K446">
        <v>16</v>
      </c>
      <c r="L446">
        <v>0</v>
      </c>
    </row>
    <row r="447" spans="1:12" x14ac:dyDescent="0.25">
      <c r="A447">
        <v>446</v>
      </c>
      <c r="B447" t="s">
        <v>812</v>
      </c>
      <c r="C447" t="s">
        <v>209</v>
      </c>
      <c r="D447" s="1">
        <v>45294.705810185187</v>
      </c>
      <c r="E447" s="1">
        <v>45294.756504629629</v>
      </c>
      <c r="F447">
        <v>926</v>
      </c>
      <c r="G447">
        <v>20</v>
      </c>
      <c r="H447" t="s">
        <v>14</v>
      </c>
      <c r="I447" t="s">
        <v>22</v>
      </c>
      <c r="J447">
        <v>119</v>
      </c>
      <c r="K447">
        <v>13</v>
      </c>
      <c r="L447">
        <v>100</v>
      </c>
    </row>
    <row r="448" spans="1:12" x14ac:dyDescent="0.25">
      <c r="A448">
        <v>447</v>
      </c>
      <c r="B448" t="s">
        <v>813</v>
      </c>
      <c r="C448" t="s">
        <v>814</v>
      </c>
      <c r="D448" s="1">
        <v>45323.386724537035</v>
      </c>
      <c r="E448" s="1">
        <v>45323.429780092592</v>
      </c>
      <c r="F448">
        <v>1922</v>
      </c>
      <c r="G448">
        <v>30</v>
      </c>
      <c r="H448" t="s">
        <v>18</v>
      </c>
      <c r="I448" t="s">
        <v>25</v>
      </c>
      <c r="J448">
        <v>162</v>
      </c>
      <c r="K448">
        <v>36</v>
      </c>
      <c r="L448">
        <v>0</v>
      </c>
    </row>
    <row r="449" spans="1:12" x14ac:dyDescent="0.25">
      <c r="A449">
        <v>448</v>
      </c>
      <c r="B449" t="s">
        <v>815</v>
      </c>
      <c r="C449" t="s">
        <v>637</v>
      </c>
      <c r="D449" s="1">
        <v>45314.203356481485</v>
      </c>
      <c r="E449" s="1">
        <v>45314.246412037035</v>
      </c>
      <c r="F449">
        <v>448</v>
      </c>
      <c r="G449">
        <v>40</v>
      </c>
      <c r="H449" t="s">
        <v>21</v>
      </c>
      <c r="I449" t="s">
        <v>25</v>
      </c>
      <c r="J449">
        <v>106</v>
      </c>
      <c r="K449">
        <v>34</v>
      </c>
      <c r="L449">
        <v>0</v>
      </c>
    </row>
    <row r="450" spans="1:12" x14ac:dyDescent="0.25">
      <c r="A450">
        <v>449</v>
      </c>
      <c r="B450" t="s">
        <v>816</v>
      </c>
      <c r="C450" t="s">
        <v>817</v>
      </c>
      <c r="D450" s="1">
        <v>45299.115798611114</v>
      </c>
      <c r="E450" s="1">
        <v>45299.166493055556</v>
      </c>
      <c r="F450">
        <v>1378</v>
      </c>
      <c r="G450">
        <v>0</v>
      </c>
      <c r="H450" t="s">
        <v>21</v>
      </c>
      <c r="I450" t="s">
        <v>28</v>
      </c>
      <c r="J450">
        <v>110</v>
      </c>
      <c r="K450">
        <v>40</v>
      </c>
      <c r="L450">
        <v>0</v>
      </c>
    </row>
    <row r="451" spans="1:12" x14ac:dyDescent="0.25">
      <c r="A451">
        <v>450</v>
      </c>
      <c r="B451" t="s">
        <v>818</v>
      </c>
      <c r="C451" t="s">
        <v>819</v>
      </c>
      <c r="D451" s="1">
        <v>45310.324606481481</v>
      </c>
      <c r="E451" s="1">
        <v>45310.358634259261</v>
      </c>
      <c r="F451">
        <v>1960</v>
      </c>
      <c r="G451">
        <v>0</v>
      </c>
      <c r="H451" t="s">
        <v>14</v>
      </c>
      <c r="I451" s="2">
        <v>0.1</v>
      </c>
      <c r="J451">
        <v>141</v>
      </c>
      <c r="K451">
        <v>20</v>
      </c>
      <c r="L451">
        <v>0</v>
      </c>
    </row>
    <row r="452" spans="1:12" x14ac:dyDescent="0.25">
      <c r="A452">
        <v>451</v>
      </c>
      <c r="B452" t="s">
        <v>820</v>
      </c>
      <c r="C452" t="s">
        <v>821</v>
      </c>
      <c r="D452" s="1">
        <v>45300.406608796293</v>
      </c>
      <c r="E452" s="1">
        <v>45300.451747685183</v>
      </c>
      <c r="F452">
        <v>1825</v>
      </c>
      <c r="G452">
        <v>40</v>
      </c>
      <c r="H452" t="s">
        <v>18</v>
      </c>
      <c r="I452" t="s">
        <v>15</v>
      </c>
      <c r="J452">
        <v>79</v>
      </c>
      <c r="K452">
        <v>29</v>
      </c>
      <c r="L452">
        <v>0</v>
      </c>
    </row>
    <row r="453" spans="1:12" x14ac:dyDescent="0.25">
      <c r="A453">
        <v>452</v>
      </c>
      <c r="B453" t="s">
        <v>822</v>
      </c>
      <c r="C453" t="s">
        <v>76</v>
      </c>
      <c r="D453" s="1">
        <v>45312.767256944448</v>
      </c>
      <c r="E453" s="1">
        <v>45312.792256944442</v>
      </c>
      <c r="F453">
        <v>407</v>
      </c>
      <c r="G453">
        <v>50</v>
      </c>
      <c r="H453" t="s">
        <v>18</v>
      </c>
      <c r="I453" t="s">
        <v>22</v>
      </c>
      <c r="J453">
        <v>176</v>
      </c>
      <c r="K453">
        <v>45</v>
      </c>
      <c r="L453">
        <v>100</v>
      </c>
    </row>
    <row r="454" spans="1:12" x14ac:dyDescent="0.25">
      <c r="A454">
        <v>453</v>
      </c>
      <c r="B454" t="s">
        <v>823</v>
      </c>
      <c r="C454" t="s">
        <v>550</v>
      </c>
      <c r="D454" s="1">
        <v>45316.989363425928</v>
      </c>
      <c r="E454" s="1">
        <v>45317.031724537039</v>
      </c>
      <c r="F454">
        <v>1468</v>
      </c>
      <c r="G454">
        <v>40</v>
      </c>
      <c r="H454" t="s">
        <v>21</v>
      </c>
      <c r="I454" t="s">
        <v>25</v>
      </c>
      <c r="J454">
        <v>164</v>
      </c>
      <c r="K454">
        <v>26</v>
      </c>
      <c r="L454">
        <v>150</v>
      </c>
    </row>
    <row r="455" spans="1:12" x14ac:dyDescent="0.25">
      <c r="A455">
        <v>454</v>
      </c>
      <c r="B455" t="s">
        <v>824</v>
      </c>
      <c r="C455" t="s">
        <v>227</v>
      </c>
      <c r="D455" s="1">
        <v>45300.770497685182</v>
      </c>
      <c r="E455" s="1">
        <v>45300.837164351855</v>
      </c>
      <c r="F455">
        <v>1250</v>
      </c>
      <c r="G455">
        <v>20</v>
      </c>
      <c r="H455" t="s">
        <v>18</v>
      </c>
      <c r="I455" t="s">
        <v>22</v>
      </c>
      <c r="J455">
        <v>55</v>
      </c>
      <c r="K455">
        <v>20</v>
      </c>
      <c r="L455">
        <v>0</v>
      </c>
    </row>
    <row r="456" spans="1:12" x14ac:dyDescent="0.25">
      <c r="A456">
        <v>455</v>
      </c>
      <c r="B456" t="s">
        <v>825</v>
      </c>
      <c r="C456" t="s">
        <v>718</v>
      </c>
      <c r="D456" s="1">
        <v>45326.519074074073</v>
      </c>
      <c r="E456" s="1">
        <v>45326.566296296296</v>
      </c>
      <c r="F456">
        <v>386</v>
      </c>
      <c r="G456">
        <v>40</v>
      </c>
      <c r="H456" t="s">
        <v>21</v>
      </c>
      <c r="I456" s="2">
        <v>0.1</v>
      </c>
      <c r="J456">
        <v>67</v>
      </c>
      <c r="K456">
        <v>39</v>
      </c>
      <c r="L456">
        <v>0</v>
      </c>
    </row>
    <row r="457" spans="1:12" x14ac:dyDescent="0.25">
      <c r="A457">
        <v>456</v>
      </c>
      <c r="B457" t="s">
        <v>826</v>
      </c>
      <c r="C457" t="s">
        <v>243</v>
      </c>
      <c r="D457" s="1">
        <v>45299.727881944447</v>
      </c>
      <c r="E457" s="1">
        <v>45299.764687499999</v>
      </c>
      <c r="F457">
        <v>865</v>
      </c>
      <c r="G457">
        <v>0</v>
      </c>
      <c r="H457" t="s">
        <v>21</v>
      </c>
      <c r="I457" s="2">
        <v>0.1</v>
      </c>
      <c r="J457">
        <v>59</v>
      </c>
      <c r="K457">
        <v>44</v>
      </c>
      <c r="L457">
        <v>0</v>
      </c>
    </row>
    <row r="458" spans="1:12" x14ac:dyDescent="0.25">
      <c r="A458">
        <v>457</v>
      </c>
      <c r="B458" t="s">
        <v>827</v>
      </c>
      <c r="C458" t="s">
        <v>828</v>
      </c>
      <c r="D458" s="1">
        <v>45325.311539351853</v>
      </c>
      <c r="E458" s="1">
        <v>45325.391400462962</v>
      </c>
      <c r="F458">
        <v>824</v>
      </c>
      <c r="G458">
        <v>40</v>
      </c>
      <c r="H458" t="s">
        <v>21</v>
      </c>
      <c r="I458" t="s">
        <v>22</v>
      </c>
      <c r="J458">
        <v>141</v>
      </c>
      <c r="K458">
        <v>50</v>
      </c>
      <c r="L458">
        <v>100</v>
      </c>
    </row>
    <row r="459" spans="1:12" x14ac:dyDescent="0.25">
      <c r="A459">
        <v>458</v>
      </c>
      <c r="B459" t="s">
        <v>829</v>
      </c>
      <c r="C459" t="s">
        <v>830</v>
      </c>
      <c r="D459" s="1">
        <v>45295.325381944444</v>
      </c>
      <c r="E459" s="1">
        <v>45295.394131944442</v>
      </c>
      <c r="F459">
        <v>861</v>
      </c>
      <c r="G459">
        <v>30</v>
      </c>
      <c r="H459" t="s">
        <v>18</v>
      </c>
      <c r="I459" t="s">
        <v>15</v>
      </c>
      <c r="J459">
        <v>188</v>
      </c>
      <c r="K459">
        <v>47</v>
      </c>
      <c r="L459">
        <v>0</v>
      </c>
    </row>
    <row r="460" spans="1:12" x14ac:dyDescent="0.25">
      <c r="A460">
        <v>459</v>
      </c>
      <c r="B460" t="s">
        <v>831</v>
      </c>
      <c r="C460" t="s">
        <v>832</v>
      </c>
      <c r="D460" s="1">
        <v>45293.012361111112</v>
      </c>
      <c r="E460" s="1">
        <v>45293.093611111108</v>
      </c>
      <c r="F460">
        <v>1719</v>
      </c>
      <c r="G460">
        <v>20</v>
      </c>
      <c r="H460" t="s">
        <v>21</v>
      </c>
      <c r="I460" s="2">
        <v>0.1</v>
      </c>
      <c r="J460">
        <v>126</v>
      </c>
      <c r="K460">
        <v>31</v>
      </c>
      <c r="L460">
        <v>0</v>
      </c>
    </row>
    <row r="461" spans="1:12" x14ac:dyDescent="0.25">
      <c r="A461">
        <v>460</v>
      </c>
      <c r="B461" t="s">
        <v>833</v>
      </c>
      <c r="C461" t="s">
        <v>811</v>
      </c>
      <c r="D461" s="1">
        <v>45328.809282407405</v>
      </c>
      <c r="E461" s="1">
        <v>45328.889837962961</v>
      </c>
      <c r="F461">
        <v>1610</v>
      </c>
      <c r="G461">
        <v>40</v>
      </c>
      <c r="H461" t="s">
        <v>21</v>
      </c>
      <c r="I461" t="s">
        <v>22</v>
      </c>
      <c r="J461">
        <v>150</v>
      </c>
      <c r="K461">
        <v>36</v>
      </c>
      <c r="L461">
        <v>150</v>
      </c>
    </row>
    <row r="462" spans="1:12" x14ac:dyDescent="0.25">
      <c r="A462">
        <v>461</v>
      </c>
      <c r="B462" t="s">
        <v>834</v>
      </c>
      <c r="C462" t="s">
        <v>835</v>
      </c>
      <c r="D462" s="1">
        <v>45315.646261574075</v>
      </c>
      <c r="E462" s="1">
        <v>45315.703900462962</v>
      </c>
      <c r="F462">
        <v>482</v>
      </c>
      <c r="G462">
        <v>0</v>
      </c>
      <c r="H462" t="s">
        <v>14</v>
      </c>
      <c r="I462" t="s">
        <v>25</v>
      </c>
      <c r="J462">
        <v>133</v>
      </c>
      <c r="K462">
        <v>46</v>
      </c>
      <c r="L462">
        <v>100</v>
      </c>
    </row>
    <row r="463" spans="1:12" x14ac:dyDescent="0.25">
      <c r="A463">
        <v>462</v>
      </c>
      <c r="B463" t="s">
        <v>802</v>
      </c>
      <c r="C463" t="s">
        <v>684</v>
      </c>
      <c r="D463" s="1">
        <v>45294.218784722223</v>
      </c>
      <c r="E463" s="1">
        <v>45294.2653125</v>
      </c>
      <c r="F463">
        <v>1529</v>
      </c>
      <c r="G463">
        <v>20</v>
      </c>
      <c r="H463" t="s">
        <v>21</v>
      </c>
      <c r="I463" t="s">
        <v>22</v>
      </c>
      <c r="J463">
        <v>101</v>
      </c>
      <c r="K463">
        <v>44</v>
      </c>
      <c r="L463">
        <v>100</v>
      </c>
    </row>
    <row r="464" spans="1:12" x14ac:dyDescent="0.25">
      <c r="A464">
        <v>463</v>
      </c>
      <c r="B464" t="s">
        <v>836</v>
      </c>
      <c r="C464" t="s">
        <v>603</v>
      </c>
      <c r="D464" s="1">
        <v>45304.657511574071</v>
      </c>
      <c r="E464" s="1">
        <v>45304.729039351849</v>
      </c>
      <c r="F464">
        <v>487</v>
      </c>
      <c r="G464">
        <v>0</v>
      </c>
      <c r="H464" t="s">
        <v>21</v>
      </c>
      <c r="I464" t="s">
        <v>22</v>
      </c>
      <c r="J464">
        <v>80</v>
      </c>
      <c r="K464">
        <v>13</v>
      </c>
      <c r="L464">
        <v>50</v>
      </c>
    </row>
    <row r="465" spans="1:12" x14ac:dyDescent="0.25">
      <c r="A465">
        <v>464</v>
      </c>
      <c r="B465" t="s">
        <v>837</v>
      </c>
      <c r="C465" t="s">
        <v>838</v>
      </c>
      <c r="D465" s="1">
        <v>45327.738668981481</v>
      </c>
      <c r="E465" s="1">
        <v>45327.814363425925</v>
      </c>
      <c r="F465">
        <v>624</v>
      </c>
      <c r="G465">
        <v>50</v>
      </c>
      <c r="H465" t="s">
        <v>14</v>
      </c>
      <c r="I465" t="s">
        <v>28</v>
      </c>
      <c r="J465">
        <v>194</v>
      </c>
      <c r="K465">
        <v>25</v>
      </c>
      <c r="L465">
        <v>0</v>
      </c>
    </row>
    <row r="466" spans="1:12" x14ac:dyDescent="0.25">
      <c r="A466">
        <v>465</v>
      </c>
      <c r="B466" t="s">
        <v>337</v>
      </c>
      <c r="C466" t="s">
        <v>839</v>
      </c>
      <c r="D466" s="1">
        <v>45304.991168981483</v>
      </c>
      <c r="E466" s="1">
        <v>45305.063391203701</v>
      </c>
      <c r="F466">
        <v>1680</v>
      </c>
      <c r="G466">
        <v>30</v>
      </c>
      <c r="H466" t="s">
        <v>14</v>
      </c>
      <c r="I466" s="2">
        <v>0.1</v>
      </c>
      <c r="J466">
        <v>159</v>
      </c>
      <c r="K466">
        <v>25</v>
      </c>
      <c r="L466">
        <v>150</v>
      </c>
    </row>
    <row r="467" spans="1:12" x14ac:dyDescent="0.25">
      <c r="A467">
        <v>466</v>
      </c>
      <c r="B467" t="s">
        <v>840</v>
      </c>
      <c r="C467" t="s">
        <v>841</v>
      </c>
      <c r="D467" s="1">
        <v>45324.46298611111</v>
      </c>
      <c r="E467" s="1">
        <v>45324.505347222221</v>
      </c>
      <c r="F467">
        <v>738</v>
      </c>
      <c r="G467">
        <v>50</v>
      </c>
      <c r="H467" t="s">
        <v>18</v>
      </c>
      <c r="I467" t="s">
        <v>15</v>
      </c>
      <c r="J467">
        <v>142</v>
      </c>
      <c r="K467">
        <v>30</v>
      </c>
      <c r="L467">
        <v>0</v>
      </c>
    </row>
    <row r="468" spans="1:12" x14ac:dyDescent="0.25">
      <c r="A468">
        <v>467</v>
      </c>
      <c r="B468" t="s">
        <v>842</v>
      </c>
      <c r="C468" t="s">
        <v>774</v>
      </c>
      <c r="D468" s="1">
        <v>45295.401550925926</v>
      </c>
      <c r="E468" s="1">
        <v>45295.452939814815</v>
      </c>
      <c r="F468">
        <v>1037</v>
      </c>
      <c r="G468">
        <v>30</v>
      </c>
      <c r="H468" t="s">
        <v>21</v>
      </c>
      <c r="I468" t="s">
        <v>15</v>
      </c>
      <c r="J468">
        <v>102</v>
      </c>
      <c r="K468">
        <v>35</v>
      </c>
      <c r="L468">
        <v>0</v>
      </c>
    </row>
    <row r="469" spans="1:12" x14ac:dyDescent="0.25">
      <c r="A469">
        <v>468</v>
      </c>
      <c r="B469" t="s">
        <v>445</v>
      </c>
      <c r="C469" t="s">
        <v>843</v>
      </c>
      <c r="D469" s="1">
        <v>45310.672743055555</v>
      </c>
      <c r="E469" s="1">
        <v>45310.735243055555</v>
      </c>
      <c r="F469">
        <v>1749</v>
      </c>
      <c r="G469">
        <v>40</v>
      </c>
      <c r="H469" t="s">
        <v>18</v>
      </c>
      <c r="I469" t="s">
        <v>28</v>
      </c>
      <c r="J469">
        <v>194</v>
      </c>
      <c r="K469">
        <v>45</v>
      </c>
      <c r="L469">
        <v>100</v>
      </c>
    </row>
    <row r="470" spans="1:12" x14ac:dyDescent="0.25">
      <c r="A470">
        <v>469</v>
      </c>
      <c r="B470" t="s">
        <v>844</v>
      </c>
      <c r="C470" t="s">
        <v>511</v>
      </c>
      <c r="D470" s="1">
        <v>45305.041643518518</v>
      </c>
      <c r="E470" s="1">
        <v>45305.110393518517</v>
      </c>
      <c r="F470">
        <v>375</v>
      </c>
      <c r="G470">
        <v>20</v>
      </c>
      <c r="H470" t="s">
        <v>18</v>
      </c>
      <c r="I470" t="s">
        <v>15</v>
      </c>
      <c r="J470">
        <v>135</v>
      </c>
      <c r="K470">
        <v>28</v>
      </c>
      <c r="L470">
        <v>0</v>
      </c>
    </row>
    <row r="471" spans="1:12" x14ac:dyDescent="0.25">
      <c r="A471">
        <v>470</v>
      </c>
      <c r="B471" t="s">
        <v>845</v>
      </c>
      <c r="C471" t="s">
        <v>720</v>
      </c>
      <c r="D471" s="1">
        <v>45323.63726851852</v>
      </c>
      <c r="E471" s="1">
        <v>45323.718518518515</v>
      </c>
      <c r="F471">
        <v>599</v>
      </c>
      <c r="G471">
        <v>40</v>
      </c>
      <c r="H471" t="s">
        <v>14</v>
      </c>
      <c r="I471" t="s">
        <v>22</v>
      </c>
      <c r="J471">
        <v>51</v>
      </c>
      <c r="K471">
        <v>26</v>
      </c>
      <c r="L471">
        <v>50</v>
      </c>
    </row>
    <row r="472" spans="1:12" x14ac:dyDescent="0.25">
      <c r="A472">
        <v>471</v>
      </c>
      <c r="B472" t="s">
        <v>846</v>
      </c>
      <c r="C472" t="s">
        <v>847</v>
      </c>
      <c r="D472" s="1">
        <v>45313.518912037034</v>
      </c>
      <c r="E472" s="1">
        <v>45313.575856481482</v>
      </c>
      <c r="F472">
        <v>816</v>
      </c>
      <c r="G472">
        <v>30</v>
      </c>
      <c r="H472" t="s">
        <v>18</v>
      </c>
      <c r="I472" t="s">
        <v>28</v>
      </c>
      <c r="J472">
        <v>135</v>
      </c>
      <c r="K472">
        <v>35</v>
      </c>
      <c r="L472">
        <v>100</v>
      </c>
    </row>
    <row r="473" spans="1:12" x14ac:dyDescent="0.25">
      <c r="A473">
        <v>472</v>
      </c>
      <c r="B473" t="s">
        <v>848</v>
      </c>
      <c r="C473" t="s">
        <v>425</v>
      </c>
      <c r="D473" s="1">
        <v>45325.452604166669</v>
      </c>
      <c r="E473" s="1">
        <v>45325.508159722223</v>
      </c>
      <c r="F473">
        <v>436</v>
      </c>
      <c r="G473">
        <v>30</v>
      </c>
      <c r="H473" t="s">
        <v>21</v>
      </c>
      <c r="I473" t="s">
        <v>25</v>
      </c>
      <c r="J473">
        <v>182</v>
      </c>
      <c r="K473">
        <v>31</v>
      </c>
      <c r="L473">
        <v>0</v>
      </c>
    </row>
    <row r="474" spans="1:12" x14ac:dyDescent="0.25">
      <c r="A474">
        <v>473</v>
      </c>
      <c r="B474" t="s">
        <v>849</v>
      </c>
      <c r="C474" t="s">
        <v>303</v>
      </c>
      <c r="D474" s="1">
        <v>45315.405486111114</v>
      </c>
      <c r="E474" s="1">
        <v>45315.478402777779</v>
      </c>
      <c r="F474">
        <v>1031</v>
      </c>
      <c r="G474">
        <v>30</v>
      </c>
      <c r="H474" t="s">
        <v>14</v>
      </c>
      <c r="I474" s="2">
        <v>0.1</v>
      </c>
      <c r="J474">
        <v>53</v>
      </c>
      <c r="K474">
        <v>37</v>
      </c>
      <c r="L474">
        <v>0</v>
      </c>
    </row>
    <row r="475" spans="1:12" x14ac:dyDescent="0.25">
      <c r="A475">
        <v>474</v>
      </c>
      <c r="B475" t="s">
        <v>850</v>
      </c>
      <c r="C475" t="s">
        <v>673</v>
      </c>
      <c r="D475" s="1">
        <v>45322.579270833332</v>
      </c>
      <c r="E475" s="1">
        <v>45322.638298611113</v>
      </c>
      <c r="F475">
        <v>580</v>
      </c>
      <c r="G475">
        <v>0</v>
      </c>
      <c r="H475" t="s">
        <v>21</v>
      </c>
      <c r="I475" s="2">
        <v>0.1</v>
      </c>
      <c r="J475">
        <v>55</v>
      </c>
      <c r="K475">
        <v>10</v>
      </c>
      <c r="L475">
        <v>100</v>
      </c>
    </row>
    <row r="476" spans="1:12" x14ac:dyDescent="0.25">
      <c r="A476">
        <v>475</v>
      </c>
      <c r="B476" t="s">
        <v>851</v>
      </c>
      <c r="C476" t="s">
        <v>106</v>
      </c>
      <c r="D476" s="1">
        <v>45311.715011574073</v>
      </c>
      <c r="E476" s="1">
        <v>45311.753900462965</v>
      </c>
      <c r="F476">
        <v>1010</v>
      </c>
      <c r="G476">
        <v>20</v>
      </c>
      <c r="H476" t="s">
        <v>21</v>
      </c>
      <c r="I476" s="2">
        <v>0.1</v>
      </c>
      <c r="J476">
        <v>198</v>
      </c>
      <c r="K476">
        <v>45</v>
      </c>
      <c r="L476">
        <v>0</v>
      </c>
    </row>
    <row r="477" spans="1:12" x14ac:dyDescent="0.25">
      <c r="A477">
        <v>476</v>
      </c>
      <c r="B477" t="s">
        <v>105</v>
      </c>
      <c r="C477" t="s">
        <v>852</v>
      </c>
      <c r="D477" s="1">
        <v>45306.497187499997</v>
      </c>
      <c r="E477" s="1">
        <v>45306.543715277781</v>
      </c>
      <c r="F477">
        <v>1396</v>
      </c>
      <c r="G477">
        <v>40</v>
      </c>
      <c r="H477" t="s">
        <v>14</v>
      </c>
      <c r="I477" t="s">
        <v>22</v>
      </c>
      <c r="J477">
        <v>167</v>
      </c>
      <c r="K477">
        <v>46</v>
      </c>
      <c r="L477">
        <v>0</v>
      </c>
    </row>
    <row r="478" spans="1:12" x14ac:dyDescent="0.25">
      <c r="A478">
        <v>477</v>
      </c>
      <c r="B478" t="s">
        <v>853</v>
      </c>
      <c r="C478" t="s">
        <v>538</v>
      </c>
      <c r="D478" s="1">
        <v>45293.206145833334</v>
      </c>
      <c r="E478" s="1">
        <v>45293.26934027778</v>
      </c>
      <c r="F478">
        <v>1181</v>
      </c>
      <c r="G478">
        <v>40</v>
      </c>
      <c r="H478" t="s">
        <v>21</v>
      </c>
      <c r="I478" t="s">
        <v>25</v>
      </c>
      <c r="J478">
        <v>138</v>
      </c>
      <c r="K478">
        <v>11</v>
      </c>
      <c r="L478">
        <v>100</v>
      </c>
    </row>
    <row r="479" spans="1:12" x14ac:dyDescent="0.25">
      <c r="A479">
        <v>478</v>
      </c>
      <c r="B479" t="s">
        <v>854</v>
      </c>
      <c r="C479" t="s">
        <v>855</v>
      </c>
      <c r="D479" s="1">
        <v>45309.253321759257</v>
      </c>
      <c r="E479" s="1">
        <v>45309.285960648151</v>
      </c>
      <c r="F479">
        <v>1451</v>
      </c>
      <c r="G479">
        <v>50</v>
      </c>
      <c r="H479" t="s">
        <v>14</v>
      </c>
      <c r="I479" t="s">
        <v>28</v>
      </c>
      <c r="J479">
        <v>63</v>
      </c>
      <c r="K479">
        <v>26</v>
      </c>
      <c r="L479">
        <v>0</v>
      </c>
    </row>
    <row r="480" spans="1:12" x14ac:dyDescent="0.25">
      <c r="A480">
        <v>479</v>
      </c>
      <c r="B480" t="s">
        <v>856</v>
      </c>
      <c r="C480" t="s">
        <v>857</v>
      </c>
      <c r="D480" s="1">
        <v>45297.644548611112</v>
      </c>
      <c r="E480" s="1">
        <v>45297.709131944444</v>
      </c>
      <c r="F480">
        <v>1854</v>
      </c>
      <c r="G480">
        <v>30</v>
      </c>
      <c r="H480" t="s">
        <v>21</v>
      </c>
      <c r="I480" t="s">
        <v>28</v>
      </c>
      <c r="J480">
        <v>105</v>
      </c>
      <c r="K480">
        <v>49</v>
      </c>
      <c r="L480">
        <v>150</v>
      </c>
    </row>
    <row r="481" spans="1:12" x14ac:dyDescent="0.25">
      <c r="A481">
        <v>480</v>
      </c>
      <c r="B481" t="s">
        <v>858</v>
      </c>
      <c r="C481" t="s">
        <v>124</v>
      </c>
      <c r="D481" s="1">
        <v>45302.68472222222</v>
      </c>
      <c r="E481" s="1">
        <v>45302.758333333331</v>
      </c>
      <c r="F481">
        <v>208</v>
      </c>
      <c r="G481">
        <v>30</v>
      </c>
      <c r="H481" t="s">
        <v>14</v>
      </c>
      <c r="I481" s="2">
        <v>0.1</v>
      </c>
      <c r="J481">
        <v>130</v>
      </c>
      <c r="K481">
        <v>47</v>
      </c>
      <c r="L481">
        <v>100</v>
      </c>
    </row>
    <row r="482" spans="1:12" x14ac:dyDescent="0.25">
      <c r="A482">
        <v>481</v>
      </c>
      <c r="B482" t="s">
        <v>859</v>
      </c>
      <c r="C482" t="s">
        <v>860</v>
      </c>
      <c r="D482" s="1">
        <v>45326.237314814818</v>
      </c>
      <c r="E482" s="1">
        <v>45326.278287037036</v>
      </c>
      <c r="F482">
        <v>1402</v>
      </c>
      <c r="G482">
        <v>30</v>
      </c>
      <c r="H482" t="s">
        <v>18</v>
      </c>
      <c r="I482" t="s">
        <v>25</v>
      </c>
      <c r="J482">
        <v>198</v>
      </c>
      <c r="K482">
        <v>30</v>
      </c>
      <c r="L482">
        <v>0</v>
      </c>
    </row>
    <row r="483" spans="1:12" x14ac:dyDescent="0.25">
      <c r="A483">
        <v>482</v>
      </c>
      <c r="B483" t="s">
        <v>861</v>
      </c>
      <c r="C483" t="s">
        <v>275</v>
      </c>
      <c r="D483" s="1">
        <v>45326.119131944448</v>
      </c>
      <c r="E483" s="1">
        <v>45326.173298611109</v>
      </c>
      <c r="F483">
        <v>1809</v>
      </c>
      <c r="G483">
        <v>40</v>
      </c>
      <c r="H483" t="s">
        <v>21</v>
      </c>
      <c r="I483" t="s">
        <v>25</v>
      </c>
      <c r="J483">
        <v>95</v>
      </c>
      <c r="K483">
        <v>18</v>
      </c>
      <c r="L483">
        <v>0</v>
      </c>
    </row>
    <row r="484" spans="1:12" x14ac:dyDescent="0.25">
      <c r="A484">
        <v>483</v>
      </c>
      <c r="B484" t="s">
        <v>862</v>
      </c>
      <c r="C484" t="s">
        <v>863</v>
      </c>
      <c r="D484" s="1">
        <v>45304.48333333333</v>
      </c>
      <c r="E484" s="1">
        <v>45304.531944444447</v>
      </c>
      <c r="F484">
        <v>427</v>
      </c>
      <c r="G484">
        <v>50</v>
      </c>
      <c r="H484" t="s">
        <v>14</v>
      </c>
      <c r="I484" t="s">
        <v>25</v>
      </c>
      <c r="J484">
        <v>193</v>
      </c>
      <c r="K484">
        <v>22</v>
      </c>
      <c r="L484">
        <v>0</v>
      </c>
    </row>
    <row r="485" spans="1:12" x14ac:dyDescent="0.25">
      <c r="A485">
        <v>484</v>
      </c>
      <c r="B485" t="s">
        <v>864</v>
      </c>
      <c r="C485" t="s">
        <v>865</v>
      </c>
      <c r="D485" s="1">
        <v>45328.477187500001</v>
      </c>
      <c r="E485" s="1">
        <v>45328.506354166668</v>
      </c>
      <c r="F485">
        <v>1899</v>
      </c>
      <c r="G485">
        <v>0</v>
      </c>
      <c r="H485" t="s">
        <v>21</v>
      </c>
      <c r="I485" t="s">
        <v>15</v>
      </c>
      <c r="J485">
        <v>65</v>
      </c>
      <c r="K485">
        <v>20</v>
      </c>
      <c r="L485">
        <v>0</v>
      </c>
    </row>
    <row r="486" spans="1:12" x14ac:dyDescent="0.25">
      <c r="A486">
        <v>485</v>
      </c>
      <c r="B486" t="s">
        <v>866</v>
      </c>
      <c r="C486" t="s">
        <v>867</v>
      </c>
      <c r="D486" s="1">
        <v>45318.154814814814</v>
      </c>
      <c r="E486" s="1">
        <v>45318.198564814818</v>
      </c>
      <c r="F486">
        <v>414</v>
      </c>
      <c r="G486">
        <v>20</v>
      </c>
      <c r="H486" t="s">
        <v>21</v>
      </c>
      <c r="I486" t="s">
        <v>15</v>
      </c>
      <c r="J486">
        <v>169</v>
      </c>
      <c r="K486">
        <v>25</v>
      </c>
      <c r="L486">
        <v>0</v>
      </c>
    </row>
    <row r="487" spans="1:12" x14ac:dyDescent="0.25">
      <c r="A487">
        <v>486</v>
      </c>
      <c r="B487" t="s">
        <v>868</v>
      </c>
      <c r="C487" t="s">
        <v>869</v>
      </c>
      <c r="D487" s="1">
        <v>45300.021354166667</v>
      </c>
      <c r="E487" s="1">
        <v>45300.058854166666</v>
      </c>
      <c r="F487">
        <v>1597</v>
      </c>
      <c r="G487">
        <v>0</v>
      </c>
      <c r="H487" t="s">
        <v>21</v>
      </c>
      <c r="I487" s="2">
        <v>0.1</v>
      </c>
      <c r="J487">
        <v>133</v>
      </c>
      <c r="K487">
        <v>25</v>
      </c>
      <c r="L487">
        <v>0</v>
      </c>
    </row>
    <row r="488" spans="1:12" x14ac:dyDescent="0.25">
      <c r="A488">
        <v>487</v>
      </c>
      <c r="B488" t="s">
        <v>870</v>
      </c>
      <c r="C488" t="s">
        <v>871</v>
      </c>
      <c r="D488" s="1">
        <v>45303.475335648145</v>
      </c>
      <c r="E488" s="1">
        <v>45303.541307870371</v>
      </c>
      <c r="F488">
        <v>1234</v>
      </c>
      <c r="G488">
        <v>40</v>
      </c>
      <c r="H488" t="s">
        <v>14</v>
      </c>
      <c r="I488" t="s">
        <v>25</v>
      </c>
      <c r="J488">
        <v>57</v>
      </c>
      <c r="K488">
        <v>11</v>
      </c>
      <c r="L488">
        <v>50</v>
      </c>
    </row>
    <row r="489" spans="1:12" x14ac:dyDescent="0.25">
      <c r="A489">
        <v>488</v>
      </c>
      <c r="B489" t="s">
        <v>872</v>
      </c>
      <c r="C489" t="s">
        <v>873</v>
      </c>
      <c r="D489" s="1">
        <v>45293.687361111108</v>
      </c>
      <c r="E489" s="1">
        <v>45293.72</v>
      </c>
      <c r="F489">
        <v>798</v>
      </c>
      <c r="G489">
        <v>30</v>
      </c>
      <c r="H489" t="s">
        <v>18</v>
      </c>
      <c r="I489" t="s">
        <v>25</v>
      </c>
      <c r="J489">
        <v>137</v>
      </c>
      <c r="K489">
        <v>17</v>
      </c>
      <c r="L489">
        <v>0</v>
      </c>
    </row>
    <row r="490" spans="1:12" x14ac:dyDescent="0.25">
      <c r="A490">
        <v>489</v>
      </c>
      <c r="B490" t="s">
        <v>874</v>
      </c>
      <c r="C490" t="s">
        <v>875</v>
      </c>
      <c r="D490" s="1">
        <v>45299.388738425929</v>
      </c>
      <c r="E490" s="1">
        <v>45299.412349537037</v>
      </c>
      <c r="F490">
        <v>880</v>
      </c>
      <c r="G490">
        <v>20</v>
      </c>
      <c r="H490" t="s">
        <v>18</v>
      </c>
      <c r="I490" t="s">
        <v>28</v>
      </c>
      <c r="J490">
        <v>180</v>
      </c>
      <c r="K490">
        <v>22</v>
      </c>
      <c r="L490">
        <v>0</v>
      </c>
    </row>
    <row r="491" spans="1:12" x14ac:dyDescent="0.25">
      <c r="A491">
        <v>490</v>
      </c>
      <c r="B491" t="s">
        <v>876</v>
      </c>
      <c r="C491" t="s">
        <v>877</v>
      </c>
      <c r="D491" s="1">
        <v>45322.469652777778</v>
      </c>
      <c r="E491" s="1">
        <v>45322.502986111111</v>
      </c>
      <c r="F491">
        <v>1352</v>
      </c>
      <c r="G491">
        <v>40</v>
      </c>
      <c r="H491" t="s">
        <v>18</v>
      </c>
      <c r="I491" t="s">
        <v>28</v>
      </c>
      <c r="J491">
        <v>68</v>
      </c>
      <c r="K491">
        <v>26</v>
      </c>
      <c r="L491">
        <v>50</v>
      </c>
    </row>
    <row r="492" spans="1:12" x14ac:dyDescent="0.25">
      <c r="A492">
        <v>491</v>
      </c>
      <c r="B492" t="s">
        <v>878</v>
      </c>
      <c r="C492" t="s">
        <v>879</v>
      </c>
      <c r="D492" s="1">
        <v>45324.266319444447</v>
      </c>
      <c r="E492" s="1">
        <v>45324.315625000003</v>
      </c>
      <c r="F492">
        <v>1620</v>
      </c>
      <c r="G492">
        <v>40</v>
      </c>
      <c r="H492" t="s">
        <v>14</v>
      </c>
      <c r="I492" s="2">
        <v>0.1</v>
      </c>
      <c r="J492">
        <v>146</v>
      </c>
      <c r="K492">
        <v>48</v>
      </c>
      <c r="L492">
        <v>0</v>
      </c>
    </row>
    <row r="493" spans="1:12" x14ac:dyDescent="0.25">
      <c r="A493">
        <v>492</v>
      </c>
      <c r="B493" t="s">
        <v>880</v>
      </c>
      <c r="C493" t="s">
        <v>645</v>
      </c>
      <c r="D493" s="1">
        <v>45303.210833333331</v>
      </c>
      <c r="E493" s="1">
        <v>45303.243472222224</v>
      </c>
      <c r="F493">
        <v>255</v>
      </c>
      <c r="G493">
        <v>40</v>
      </c>
      <c r="H493" t="s">
        <v>18</v>
      </c>
      <c r="I493" t="s">
        <v>25</v>
      </c>
      <c r="J493">
        <v>115</v>
      </c>
      <c r="K493">
        <v>33</v>
      </c>
      <c r="L493">
        <v>0</v>
      </c>
    </row>
    <row r="494" spans="1:12" x14ac:dyDescent="0.25">
      <c r="A494">
        <v>493</v>
      </c>
      <c r="B494" t="s">
        <v>881</v>
      </c>
      <c r="C494" t="s">
        <v>882</v>
      </c>
      <c r="D494" s="1">
        <v>45292.271168981482</v>
      </c>
      <c r="E494" s="1">
        <v>45292.313530092593</v>
      </c>
      <c r="F494">
        <v>1596</v>
      </c>
      <c r="G494">
        <v>20</v>
      </c>
      <c r="H494" t="s">
        <v>14</v>
      </c>
      <c r="I494" s="2">
        <v>0.1</v>
      </c>
      <c r="J494">
        <v>128</v>
      </c>
      <c r="K494">
        <v>12</v>
      </c>
      <c r="L494">
        <v>0</v>
      </c>
    </row>
    <row r="495" spans="1:12" x14ac:dyDescent="0.25">
      <c r="A495">
        <v>494</v>
      </c>
      <c r="B495" t="s">
        <v>883</v>
      </c>
      <c r="C495" t="s">
        <v>884</v>
      </c>
      <c r="D495" s="1">
        <v>45306.47865740741</v>
      </c>
      <c r="E495" s="1">
        <v>45306.513379629629</v>
      </c>
      <c r="F495">
        <v>1824</v>
      </c>
      <c r="G495">
        <v>20</v>
      </c>
      <c r="H495" t="s">
        <v>21</v>
      </c>
      <c r="I495" t="s">
        <v>28</v>
      </c>
      <c r="J495">
        <v>135</v>
      </c>
      <c r="K495">
        <v>39</v>
      </c>
      <c r="L495">
        <v>0</v>
      </c>
    </row>
    <row r="496" spans="1:12" x14ac:dyDescent="0.25">
      <c r="A496">
        <v>495</v>
      </c>
      <c r="B496" t="s">
        <v>885</v>
      </c>
      <c r="C496" t="s">
        <v>665</v>
      </c>
      <c r="D496" s="1">
        <v>45309.245787037034</v>
      </c>
      <c r="E496" s="1">
        <v>45309.272870370369</v>
      </c>
      <c r="F496">
        <v>1395</v>
      </c>
      <c r="G496">
        <v>50</v>
      </c>
      <c r="H496" t="s">
        <v>21</v>
      </c>
      <c r="I496" t="s">
        <v>28</v>
      </c>
      <c r="J496">
        <v>173</v>
      </c>
      <c r="K496">
        <v>22</v>
      </c>
      <c r="L496">
        <v>150</v>
      </c>
    </row>
    <row r="497" spans="1:12" x14ac:dyDescent="0.25">
      <c r="A497">
        <v>496</v>
      </c>
      <c r="B497" t="s">
        <v>886</v>
      </c>
      <c r="C497" t="s">
        <v>243</v>
      </c>
      <c r="D497" s="1">
        <v>45325.214456018519</v>
      </c>
      <c r="E497" s="1">
        <v>45325.260289351849</v>
      </c>
      <c r="F497">
        <v>986</v>
      </c>
      <c r="G497">
        <v>50</v>
      </c>
      <c r="H497" t="s">
        <v>18</v>
      </c>
      <c r="I497" t="s">
        <v>15</v>
      </c>
      <c r="J497">
        <v>199</v>
      </c>
      <c r="K497">
        <v>28</v>
      </c>
      <c r="L497">
        <v>0</v>
      </c>
    </row>
    <row r="498" spans="1:12" x14ac:dyDescent="0.25">
      <c r="A498">
        <v>497</v>
      </c>
      <c r="B498" t="s">
        <v>887</v>
      </c>
      <c r="C498" t="s">
        <v>888</v>
      </c>
      <c r="D498" s="1">
        <v>45326.546898148146</v>
      </c>
      <c r="E498" s="1">
        <v>45326.601064814815</v>
      </c>
      <c r="F498">
        <v>1125</v>
      </c>
      <c r="G498">
        <v>0</v>
      </c>
      <c r="H498" t="s">
        <v>14</v>
      </c>
      <c r="I498" s="2">
        <v>0.1</v>
      </c>
      <c r="J498">
        <v>95</v>
      </c>
      <c r="K498">
        <v>16</v>
      </c>
      <c r="L498">
        <v>50</v>
      </c>
    </row>
    <row r="499" spans="1:12" x14ac:dyDescent="0.25">
      <c r="A499">
        <v>498</v>
      </c>
      <c r="B499" t="s">
        <v>889</v>
      </c>
      <c r="C499" t="s">
        <v>890</v>
      </c>
      <c r="D499" s="1">
        <v>45312.941863425927</v>
      </c>
      <c r="E499" s="1">
        <v>45313.021724537037</v>
      </c>
      <c r="F499">
        <v>857</v>
      </c>
      <c r="G499">
        <v>20</v>
      </c>
      <c r="H499" t="s">
        <v>21</v>
      </c>
      <c r="I499" s="2">
        <v>0.1</v>
      </c>
      <c r="J499">
        <v>162</v>
      </c>
      <c r="K499">
        <v>18</v>
      </c>
      <c r="L499">
        <v>0</v>
      </c>
    </row>
    <row r="500" spans="1:12" x14ac:dyDescent="0.25">
      <c r="A500">
        <v>499</v>
      </c>
      <c r="B500" t="s">
        <v>891</v>
      </c>
      <c r="C500" t="s">
        <v>534</v>
      </c>
      <c r="D500" s="1">
        <v>45304.337071759262</v>
      </c>
      <c r="E500" s="1">
        <v>45304.366238425922</v>
      </c>
      <c r="F500">
        <v>821</v>
      </c>
      <c r="G500">
        <v>20</v>
      </c>
      <c r="H500" t="s">
        <v>14</v>
      </c>
      <c r="I500" t="s">
        <v>25</v>
      </c>
      <c r="J500">
        <v>140</v>
      </c>
      <c r="K500">
        <v>28</v>
      </c>
      <c r="L500">
        <v>50</v>
      </c>
    </row>
    <row r="501" spans="1:12" x14ac:dyDescent="0.25">
      <c r="A501">
        <v>500</v>
      </c>
      <c r="B501" t="s">
        <v>892</v>
      </c>
      <c r="C501" t="s">
        <v>188</v>
      </c>
      <c r="D501" s="1">
        <v>45311.917314814818</v>
      </c>
      <c r="E501" s="1">
        <v>45311.975648148145</v>
      </c>
      <c r="F501">
        <v>1634</v>
      </c>
      <c r="G501">
        <v>20</v>
      </c>
      <c r="H501" t="s">
        <v>14</v>
      </c>
      <c r="I501" t="s">
        <v>25</v>
      </c>
      <c r="J501">
        <v>190</v>
      </c>
      <c r="K501">
        <v>49</v>
      </c>
      <c r="L501">
        <v>150</v>
      </c>
    </row>
    <row r="502" spans="1:12" x14ac:dyDescent="0.25">
      <c r="A502">
        <v>501</v>
      </c>
      <c r="B502" t="s">
        <v>893</v>
      </c>
      <c r="C502" t="s">
        <v>894</v>
      </c>
      <c r="D502" s="1">
        <v>45298.43645833333</v>
      </c>
      <c r="E502" s="1">
        <v>45298.468402777777</v>
      </c>
      <c r="F502">
        <v>1012</v>
      </c>
      <c r="G502">
        <v>50</v>
      </c>
      <c r="H502" t="s">
        <v>21</v>
      </c>
      <c r="I502" t="s">
        <v>15</v>
      </c>
      <c r="J502">
        <v>82</v>
      </c>
      <c r="K502">
        <v>31</v>
      </c>
      <c r="L502">
        <v>100</v>
      </c>
    </row>
    <row r="503" spans="1:12" x14ac:dyDescent="0.25">
      <c r="A503">
        <v>502</v>
      </c>
      <c r="B503" t="s">
        <v>895</v>
      </c>
      <c r="C503" t="s">
        <v>492</v>
      </c>
      <c r="D503" s="1">
        <v>45303.15929398148</v>
      </c>
      <c r="E503" s="1">
        <v>45303.185682870368</v>
      </c>
      <c r="F503">
        <v>1409</v>
      </c>
      <c r="G503">
        <v>40</v>
      </c>
      <c r="H503" t="s">
        <v>14</v>
      </c>
      <c r="I503" t="s">
        <v>22</v>
      </c>
      <c r="J503">
        <v>182</v>
      </c>
      <c r="K503">
        <v>27</v>
      </c>
      <c r="L503">
        <v>50</v>
      </c>
    </row>
    <row r="504" spans="1:12" x14ac:dyDescent="0.25">
      <c r="A504">
        <v>503</v>
      </c>
      <c r="B504" t="s">
        <v>896</v>
      </c>
      <c r="C504" t="s">
        <v>200</v>
      </c>
      <c r="D504" s="1">
        <v>45326.867349537039</v>
      </c>
      <c r="E504" s="1">
        <v>45326.948599537034</v>
      </c>
      <c r="F504">
        <v>970</v>
      </c>
      <c r="G504">
        <v>30</v>
      </c>
      <c r="H504" t="s">
        <v>21</v>
      </c>
      <c r="I504" t="s">
        <v>22</v>
      </c>
      <c r="J504">
        <v>126</v>
      </c>
      <c r="K504">
        <v>32</v>
      </c>
      <c r="L504">
        <v>0</v>
      </c>
    </row>
    <row r="505" spans="1:12" x14ac:dyDescent="0.25">
      <c r="A505">
        <v>504</v>
      </c>
      <c r="B505" t="s">
        <v>897</v>
      </c>
      <c r="C505" t="s">
        <v>66</v>
      </c>
      <c r="D505" s="1">
        <v>45309.718645833331</v>
      </c>
      <c r="E505" s="1">
        <v>45309.76934027778</v>
      </c>
      <c r="F505">
        <v>112</v>
      </c>
      <c r="G505">
        <v>50</v>
      </c>
      <c r="H505" t="s">
        <v>21</v>
      </c>
      <c r="I505" t="s">
        <v>22</v>
      </c>
      <c r="J505">
        <v>170</v>
      </c>
      <c r="K505">
        <v>11</v>
      </c>
      <c r="L505">
        <v>0</v>
      </c>
    </row>
    <row r="506" spans="1:12" x14ac:dyDescent="0.25">
      <c r="A506">
        <v>505</v>
      </c>
      <c r="B506" t="s">
        <v>898</v>
      </c>
      <c r="C506" t="s">
        <v>899</v>
      </c>
      <c r="D506" s="1">
        <v>45292.092210648145</v>
      </c>
      <c r="E506" s="1">
        <v>45292.166516203702</v>
      </c>
      <c r="F506">
        <v>707</v>
      </c>
      <c r="G506">
        <v>20</v>
      </c>
      <c r="H506" t="s">
        <v>21</v>
      </c>
      <c r="I506" s="2">
        <v>0.1</v>
      </c>
      <c r="J506">
        <v>177</v>
      </c>
      <c r="K506">
        <v>20</v>
      </c>
      <c r="L506">
        <v>0</v>
      </c>
    </row>
    <row r="507" spans="1:12" x14ac:dyDescent="0.25">
      <c r="A507">
        <v>506</v>
      </c>
      <c r="B507" t="s">
        <v>900</v>
      </c>
      <c r="C507" t="s">
        <v>743</v>
      </c>
      <c r="D507" s="1">
        <v>45318.881053240744</v>
      </c>
      <c r="E507" s="1">
        <v>45318.933136574073</v>
      </c>
      <c r="F507">
        <v>597</v>
      </c>
      <c r="G507">
        <v>50</v>
      </c>
      <c r="H507" t="s">
        <v>14</v>
      </c>
      <c r="I507" s="2">
        <v>0.1</v>
      </c>
      <c r="J507">
        <v>127</v>
      </c>
      <c r="K507">
        <v>40</v>
      </c>
      <c r="L507">
        <v>50</v>
      </c>
    </row>
    <row r="508" spans="1:12" x14ac:dyDescent="0.25">
      <c r="A508">
        <v>507</v>
      </c>
      <c r="B508" t="s">
        <v>901</v>
      </c>
      <c r="C508" t="s">
        <v>902</v>
      </c>
      <c r="D508" s="1">
        <v>45306.549768518518</v>
      </c>
      <c r="E508" s="1">
        <v>45306.575462962966</v>
      </c>
      <c r="F508">
        <v>1856</v>
      </c>
      <c r="G508">
        <v>0</v>
      </c>
      <c r="H508" t="s">
        <v>21</v>
      </c>
      <c r="I508" t="s">
        <v>28</v>
      </c>
      <c r="J508">
        <v>116</v>
      </c>
      <c r="K508">
        <v>42</v>
      </c>
      <c r="L508">
        <v>0</v>
      </c>
    </row>
    <row r="509" spans="1:12" x14ac:dyDescent="0.25">
      <c r="A509">
        <v>508</v>
      </c>
      <c r="B509" t="s">
        <v>903</v>
      </c>
      <c r="C509" t="s">
        <v>74</v>
      </c>
      <c r="D509" s="1">
        <v>45306.042372685188</v>
      </c>
      <c r="E509" s="1">
        <v>45306.088206018518</v>
      </c>
      <c r="F509">
        <v>337</v>
      </c>
      <c r="G509">
        <v>20</v>
      </c>
      <c r="H509" t="s">
        <v>14</v>
      </c>
      <c r="I509" s="2">
        <v>0.1</v>
      </c>
      <c r="J509">
        <v>164</v>
      </c>
      <c r="K509">
        <v>23</v>
      </c>
      <c r="L509">
        <v>0</v>
      </c>
    </row>
    <row r="510" spans="1:12" x14ac:dyDescent="0.25">
      <c r="A510">
        <v>509</v>
      </c>
      <c r="B510" t="s">
        <v>230</v>
      </c>
      <c r="C510" t="s">
        <v>671</v>
      </c>
      <c r="D510" s="1">
        <v>45298.394293981481</v>
      </c>
      <c r="E510" s="1">
        <v>45298.427627314813</v>
      </c>
      <c r="F510">
        <v>1217</v>
      </c>
      <c r="G510">
        <v>0</v>
      </c>
      <c r="H510" t="s">
        <v>21</v>
      </c>
      <c r="I510" s="2">
        <v>0.1</v>
      </c>
      <c r="J510">
        <v>112</v>
      </c>
      <c r="K510">
        <v>25</v>
      </c>
      <c r="L510">
        <v>0</v>
      </c>
    </row>
    <row r="511" spans="1:12" x14ac:dyDescent="0.25">
      <c r="A511">
        <v>510</v>
      </c>
      <c r="B511" t="s">
        <v>904</v>
      </c>
      <c r="C511" t="s">
        <v>905</v>
      </c>
      <c r="D511" s="1">
        <v>45294.911307870374</v>
      </c>
      <c r="E511" s="1">
        <v>45294.97519675926</v>
      </c>
      <c r="F511">
        <v>1461</v>
      </c>
      <c r="G511">
        <v>20</v>
      </c>
      <c r="H511" t="s">
        <v>21</v>
      </c>
      <c r="I511" s="2">
        <v>0.1</v>
      </c>
      <c r="J511">
        <v>162</v>
      </c>
      <c r="K511">
        <v>20</v>
      </c>
      <c r="L511">
        <v>0</v>
      </c>
    </row>
    <row r="512" spans="1:12" x14ac:dyDescent="0.25">
      <c r="A512">
        <v>511</v>
      </c>
      <c r="B512" t="s">
        <v>906</v>
      </c>
      <c r="C512" t="s">
        <v>907</v>
      </c>
      <c r="D512" s="1">
        <v>45312.325509259259</v>
      </c>
      <c r="E512" s="1">
        <v>45312.377592592595</v>
      </c>
      <c r="F512">
        <v>880</v>
      </c>
      <c r="G512">
        <v>50</v>
      </c>
      <c r="H512" t="s">
        <v>18</v>
      </c>
      <c r="I512" t="s">
        <v>15</v>
      </c>
      <c r="J512">
        <v>143</v>
      </c>
      <c r="K512">
        <v>42</v>
      </c>
      <c r="L512">
        <v>0</v>
      </c>
    </row>
    <row r="513" spans="1:12" x14ac:dyDescent="0.25">
      <c r="A513">
        <v>512</v>
      </c>
      <c r="B513" t="s">
        <v>908</v>
      </c>
      <c r="C513" t="s">
        <v>909</v>
      </c>
      <c r="D513" s="1">
        <v>45301.739942129629</v>
      </c>
      <c r="E513" s="1">
        <v>45301.809386574074</v>
      </c>
      <c r="F513">
        <v>1294</v>
      </c>
      <c r="G513">
        <v>40</v>
      </c>
      <c r="H513" t="s">
        <v>18</v>
      </c>
      <c r="I513" s="2">
        <v>0.1</v>
      </c>
      <c r="J513">
        <v>97</v>
      </c>
      <c r="K513">
        <v>16</v>
      </c>
      <c r="L513">
        <v>0</v>
      </c>
    </row>
    <row r="514" spans="1:12" x14ac:dyDescent="0.25">
      <c r="A514">
        <v>513</v>
      </c>
      <c r="B514" t="s">
        <v>910</v>
      </c>
      <c r="C514" t="s">
        <v>911</v>
      </c>
      <c r="D514" s="1">
        <v>45302.007465277777</v>
      </c>
      <c r="E514" s="1">
        <v>45302.045659722222</v>
      </c>
      <c r="F514">
        <v>705</v>
      </c>
      <c r="G514">
        <v>30</v>
      </c>
      <c r="H514" t="s">
        <v>18</v>
      </c>
      <c r="I514" t="s">
        <v>25</v>
      </c>
      <c r="J514">
        <v>61</v>
      </c>
      <c r="K514">
        <v>40</v>
      </c>
      <c r="L514">
        <v>0</v>
      </c>
    </row>
    <row r="515" spans="1:12" x14ac:dyDescent="0.25">
      <c r="A515">
        <v>514</v>
      </c>
      <c r="B515" t="s">
        <v>836</v>
      </c>
      <c r="C515" t="s">
        <v>912</v>
      </c>
      <c r="D515" s="1">
        <v>45308.529247685183</v>
      </c>
      <c r="E515" s="1">
        <v>45308.581331018519</v>
      </c>
      <c r="F515">
        <v>760</v>
      </c>
      <c r="G515">
        <v>0</v>
      </c>
      <c r="H515" t="s">
        <v>14</v>
      </c>
      <c r="I515" t="s">
        <v>25</v>
      </c>
      <c r="J515">
        <v>194</v>
      </c>
      <c r="K515">
        <v>23</v>
      </c>
      <c r="L515">
        <v>150</v>
      </c>
    </row>
    <row r="516" spans="1:12" x14ac:dyDescent="0.25">
      <c r="A516">
        <v>515</v>
      </c>
      <c r="B516" t="s">
        <v>913</v>
      </c>
      <c r="C516" t="s">
        <v>914</v>
      </c>
      <c r="D516" s="1">
        <v>45302.830694444441</v>
      </c>
      <c r="E516" s="1">
        <v>45302.882777777777</v>
      </c>
      <c r="F516">
        <v>1747</v>
      </c>
      <c r="G516">
        <v>50</v>
      </c>
      <c r="H516" t="s">
        <v>14</v>
      </c>
      <c r="I516" t="s">
        <v>28</v>
      </c>
      <c r="J516">
        <v>89</v>
      </c>
      <c r="K516">
        <v>37</v>
      </c>
      <c r="L516">
        <v>0</v>
      </c>
    </row>
    <row r="517" spans="1:12" x14ac:dyDescent="0.25">
      <c r="A517">
        <v>516</v>
      </c>
      <c r="B517" t="s">
        <v>915</v>
      </c>
      <c r="C517" t="s">
        <v>916</v>
      </c>
      <c r="D517" s="1">
        <v>45297.452337962961</v>
      </c>
      <c r="E517" s="1">
        <v>45297.524560185186</v>
      </c>
      <c r="F517">
        <v>1690</v>
      </c>
      <c r="G517">
        <v>40</v>
      </c>
      <c r="H517" t="s">
        <v>21</v>
      </c>
      <c r="I517" t="s">
        <v>15</v>
      </c>
      <c r="J517">
        <v>134</v>
      </c>
      <c r="K517">
        <v>25</v>
      </c>
      <c r="L517">
        <v>50</v>
      </c>
    </row>
    <row r="518" spans="1:12" x14ac:dyDescent="0.25">
      <c r="A518">
        <v>517</v>
      </c>
      <c r="B518" t="s">
        <v>917</v>
      </c>
      <c r="C518" t="s">
        <v>578</v>
      </c>
      <c r="D518" s="1">
        <v>45314.237002314818</v>
      </c>
      <c r="E518" s="1">
        <v>45314.266863425924</v>
      </c>
      <c r="F518">
        <v>948</v>
      </c>
      <c r="G518">
        <v>50</v>
      </c>
      <c r="H518" t="s">
        <v>21</v>
      </c>
      <c r="I518" t="s">
        <v>25</v>
      </c>
      <c r="J518">
        <v>106</v>
      </c>
      <c r="K518">
        <v>28</v>
      </c>
      <c r="L518">
        <v>0</v>
      </c>
    </row>
    <row r="519" spans="1:12" x14ac:dyDescent="0.25">
      <c r="A519">
        <v>518</v>
      </c>
      <c r="B519" t="s">
        <v>918</v>
      </c>
      <c r="C519" t="s">
        <v>919</v>
      </c>
      <c r="D519" s="1">
        <v>45292.700752314813</v>
      </c>
      <c r="E519" s="1">
        <v>45292.779918981483</v>
      </c>
      <c r="F519">
        <v>1035</v>
      </c>
      <c r="G519">
        <v>0</v>
      </c>
      <c r="H519" t="s">
        <v>21</v>
      </c>
      <c r="I519" t="s">
        <v>15</v>
      </c>
      <c r="J519">
        <v>136</v>
      </c>
      <c r="K519">
        <v>26</v>
      </c>
      <c r="L519">
        <v>150</v>
      </c>
    </row>
    <row r="520" spans="1:12" x14ac:dyDescent="0.25">
      <c r="A520">
        <v>519</v>
      </c>
      <c r="B520" t="s">
        <v>920</v>
      </c>
      <c r="C520" t="s">
        <v>921</v>
      </c>
      <c r="D520" s="1">
        <v>45318.863958333335</v>
      </c>
      <c r="E520" s="1">
        <v>45318.927847222221</v>
      </c>
      <c r="F520">
        <v>1590</v>
      </c>
      <c r="G520">
        <v>30</v>
      </c>
      <c r="H520" t="s">
        <v>21</v>
      </c>
      <c r="I520" t="s">
        <v>15</v>
      </c>
      <c r="J520">
        <v>133</v>
      </c>
      <c r="K520">
        <v>35</v>
      </c>
      <c r="L520">
        <v>100</v>
      </c>
    </row>
    <row r="521" spans="1:12" x14ac:dyDescent="0.25">
      <c r="A521">
        <v>520</v>
      </c>
      <c r="B521" t="s">
        <v>922</v>
      </c>
      <c r="C521" t="s">
        <v>923</v>
      </c>
      <c r="D521" s="1">
        <v>45324.692800925928</v>
      </c>
      <c r="E521" s="1">
        <v>45324.762939814813</v>
      </c>
      <c r="F521">
        <v>727</v>
      </c>
      <c r="G521">
        <v>50</v>
      </c>
      <c r="H521" t="s">
        <v>14</v>
      </c>
      <c r="I521" t="s">
        <v>28</v>
      </c>
      <c r="J521">
        <v>170</v>
      </c>
      <c r="K521">
        <v>15</v>
      </c>
      <c r="L521">
        <v>100</v>
      </c>
    </row>
    <row r="522" spans="1:12" x14ac:dyDescent="0.25">
      <c r="A522">
        <v>521</v>
      </c>
      <c r="B522" t="s">
        <v>924</v>
      </c>
      <c r="C522" t="s">
        <v>919</v>
      </c>
      <c r="D522" s="1">
        <v>45327.724791666667</v>
      </c>
      <c r="E522" s="1">
        <v>45327.747013888889</v>
      </c>
      <c r="F522">
        <v>242</v>
      </c>
      <c r="G522">
        <v>20</v>
      </c>
      <c r="H522" t="s">
        <v>21</v>
      </c>
      <c r="I522" t="s">
        <v>15</v>
      </c>
      <c r="J522">
        <v>123</v>
      </c>
      <c r="K522">
        <v>18</v>
      </c>
      <c r="L522">
        <v>100</v>
      </c>
    </row>
    <row r="523" spans="1:12" x14ac:dyDescent="0.25">
      <c r="A523">
        <v>522</v>
      </c>
      <c r="B523" t="s">
        <v>925</v>
      </c>
      <c r="C523" t="s">
        <v>217</v>
      </c>
      <c r="D523" s="1">
        <v>45316.266134259262</v>
      </c>
      <c r="E523" s="1">
        <v>45316.305717592593</v>
      </c>
      <c r="F523">
        <v>1324</v>
      </c>
      <c r="G523">
        <v>40</v>
      </c>
      <c r="H523" t="s">
        <v>21</v>
      </c>
      <c r="I523" s="2">
        <v>0.1</v>
      </c>
      <c r="J523">
        <v>156</v>
      </c>
      <c r="K523">
        <v>26</v>
      </c>
      <c r="L523">
        <v>0</v>
      </c>
    </row>
    <row r="524" spans="1:12" x14ac:dyDescent="0.25">
      <c r="A524">
        <v>523</v>
      </c>
      <c r="B524" t="s">
        <v>926</v>
      </c>
      <c r="C524" t="s">
        <v>927</v>
      </c>
      <c r="D524" s="1">
        <v>45310.701122685183</v>
      </c>
      <c r="E524" s="1">
        <v>45310.741400462961</v>
      </c>
      <c r="F524">
        <v>1303</v>
      </c>
      <c r="G524">
        <v>50</v>
      </c>
      <c r="H524" t="s">
        <v>18</v>
      </c>
      <c r="I524" t="s">
        <v>15</v>
      </c>
      <c r="J524">
        <v>173</v>
      </c>
      <c r="K524">
        <v>40</v>
      </c>
      <c r="L524">
        <v>100</v>
      </c>
    </row>
    <row r="525" spans="1:12" x14ac:dyDescent="0.25">
      <c r="A525">
        <v>524</v>
      </c>
      <c r="B525" t="s">
        <v>928</v>
      </c>
      <c r="C525" t="s">
        <v>890</v>
      </c>
      <c r="D525" s="1">
        <v>45319.171863425923</v>
      </c>
      <c r="E525" s="1">
        <v>45319.252418981479</v>
      </c>
      <c r="F525">
        <v>813</v>
      </c>
      <c r="G525">
        <v>40</v>
      </c>
      <c r="H525" t="s">
        <v>21</v>
      </c>
      <c r="I525" t="s">
        <v>28</v>
      </c>
      <c r="J525">
        <v>149</v>
      </c>
      <c r="K525">
        <v>21</v>
      </c>
      <c r="L525">
        <v>0</v>
      </c>
    </row>
    <row r="526" spans="1:12" x14ac:dyDescent="0.25">
      <c r="A526">
        <v>525</v>
      </c>
      <c r="B526" t="s">
        <v>929</v>
      </c>
      <c r="C526" t="s">
        <v>930</v>
      </c>
      <c r="D526" s="1">
        <v>45303.263668981483</v>
      </c>
      <c r="E526" s="1">
        <v>45303.296307870369</v>
      </c>
      <c r="F526">
        <v>1487</v>
      </c>
      <c r="G526">
        <v>20</v>
      </c>
      <c r="H526" t="s">
        <v>21</v>
      </c>
      <c r="I526" t="s">
        <v>28</v>
      </c>
      <c r="J526">
        <v>92</v>
      </c>
      <c r="K526">
        <v>32</v>
      </c>
      <c r="L526">
        <v>0</v>
      </c>
    </row>
    <row r="527" spans="1:12" x14ac:dyDescent="0.25">
      <c r="A527">
        <v>526</v>
      </c>
      <c r="B527" t="s">
        <v>931</v>
      </c>
      <c r="C527" t="s">
        <v>932</v>
      </c>
      <c r="D527" s="1">
        <v>45328.074189814812</v>
      </c>
      <c r="E527" s="1">
        <v>45328.118634259263</v>
      </c>
      <c r="F527">
        <v>578</v>
      </c>
      <c r="G527">
        <v>30</v>
      </c>
      <c r="H527" t="s">
        <v>21</v>
      </c>
      <c r="I527" t="s">
        <v>28</v>
      </c>
      <c r="J527">
        <v>168</v>
      </c>
      <c r="K527">
        <v>14</v>
      </c>
      <c r="L527">
        <v>0</v>
      </c>
    </row>
    <row r="528" spans="1:12" x14ac:dyDescent="0.25">
      <c r="A528">
        <v>527</v>
      </c>
      <c r="B528" t="s">
        <v>933</v>
      </c>
      <c r="C528" t="s">
        <v>507</v>
      </c>
      <c r="D528" s="1">
        <v>45309.264270833337</v>
      </c>
      <c r="E528" s="1">
        <v>45309.337881944448</v>
      </c>
      <c r="F528">
        <v>664</v>
      </c>
      <c r="G528">
        <v>30</v>
      </c>
      <c r="H528" t="s">
        <v>14</v>
      </c>
      <c r="I528" t="s">
        <v>25</v>
      </c>
      <c r="J528">
        <v>72</v>
      </c>
      <c r="K528">
        <v>45</v>
      </c>
      <c r="L528">
        <v>100</v>
      </c>
    </row>
    <row r="529" spans="1:12" x14ac:dyDescent="0.25">
      <c r="A529">
        <v>528</v>
      </c>
      <c r="B529" t="s">
        <v>934</v>
      </c>
      <c r="C529" t="s">
        <v>54</v>
      </c>
      <c r="D529" s="1">
        <v>45300.121435185189</v>
      </c>
      <c r="E529" s="1">
        <v>45300.194351851853</v>
      </c>
      <c r="F529">
        <v>570</v>
      </c>
      <c r="G529">
        <v>20</v>
      </c>
      <c r="H529" t="s">
        <v>18</v>
      </c>
      <c r="I529" s="2">
        <v>0.1</v>
      </c>
      <c r="J529">
        <v>86</v>
      </c>
      <c r="K529">
        <v>45</v>
      </c>
      <c r="L529">
        <v>0</v>
      </c>
    </row>
    <row r="530" spans="1:12" x14ac:dyDescent="0.25">
      <c r="A530">
        <v>529</v>
      </c>
      <c r="B530" t="s">
        <v>238</v>
      </c>
      <c r="C530" t="s">
        <v>237</v>
      </c>
      <c r="D530" s="1">
        <v>45309.752939814818</v>
      </c>
      <c r="E530" s="1">
        <v>45309.805717592593</v>
      </c>
      <c r="F530">
        <v>483</v>
      </c>
      <c r="G530">
        <v>40</v>
      </c>
      <c r="H530" t="s">
        <v>21</v>
      </c>
      <c r="I530" t="s">
        <v>25</v>
      </c>
      <c r="J530">
        <v>183</v>
      </c>
      <c r="K530">
        <v>12</v>
      </c>
      <c r="L530">
        <v>150</v>
      </c>
    </row>
    <row r="531" spans="1:12" x14ac:dyDescent="0.25">
      <c r="A531">
        <v>530</v>
      </c>
      <c r="B531" t="s">
        <v>935</v>
      </c>
      <c r="C531" t="s">
        <v>936</v>
      </c>
      <c r="D531" s="1">
        <v>45326.762118055558</v>
      </c>
      <c r="E531" s="1">
        <v>45326.785729166666</v>
      </c>
      <c r="F531">
        <v>1815</v>
      </c>
      <c r="G531">
        <v>50</v>
      </c>
      <c r="H531" t="s">
        <v>21</v>
      </c>
      <c r="I531" t="s">
        <v>22</v>
      </c>
      <c r="J531">
        <v>114</v>
      </c>
      <c r="K531">
        <v>33</v>
      </c>
      <c r="L531">
        <v>0</v>
      </c>
    </row>
    <row r="532" spans="1:12" x14ac:dyDescent="0.25">
      <c r="A532">
        <v>531</v>
      </c>
      <c r="B532" t="s">
        <v>937</v>
      </c>
      <c r="C532" t="s">
        <v>869</v>
      </c>
      <c r="D532" s="1">
        <v>45315.863125000003</v>
      </c>
      <c r="E532" s="1">
        <v>45315.935347222221</v>
      </c>
      <c r="F532">
        <v>1025</v>
      </c>
      <c r="G532">
        <v>20</v>
      </c>
      <c r="H532" t="s">
        <v>18</v>
      </c>
      <c r="I532" s="2">
        <v>0.1</v>
      </c>
      <c r="J532">
        <v>183</v>
      </c>
      <c r="K532">
        <v>26</v>
      </c>
      <c r="L532">
        <v>150</v>
      </c>
    </row>
    <row r="533" spans="1:12" x14ac:dyDescent="0.25">
      <c r="A533">
        <v>532</v>
      </c>
      <c r="B533" t="s">
        <v>938</v>
      </c>
      <c r="C533" t="s">
        <v>939</v>
      </c>
      <c r="D533" s="1">
        <v>45305.943055555559</v>
      </c>
      <c r="E533" s="1">
        <v>45306.004166666666</v>
      </c>
      <c r="F533">
        <v>516</v>
      </c>
      <c r="G533">
        <v>0</v>
      </c>
      <c r="H533" t="s">
        <v>21</v>
      </c>
      <c r="I533" t="s">
        <v>15</v>
      </c>
      <c r="J533">
        <v>71</v>
      </c>
      <c r="K533">
        <v>48</v>
      </c>
      <c r="L533">
        <v>50</v>
      </c>
    </row>
    <row r="534" spans="1:12" x14ac:dyDescent="0.25">
      <c r="A534">
        <v>533</v>
      </c>
      <c r="B534" t="s">
        <v>940</v>
      </c>
      <c r="C534" t="s">
        <v>890</v>
      </c>
      <c r="D534" s="1">
        <v>45324.295810185184</v>
      </c>
      <c r="E534" s="1">
        <v>45324.368032407408</v>
      </c>
      <c r="F534">
        <v>1948</v>
      </c>
      <c r="G534">
        <v>40</v>
      </c>
      <c r="H534" t="s">
        <v>14</v>
      </c>
      <c r="I534" t="s">
        <v>28</v>
      </c>
      <c r="J534">
        <v>154</v>
      </c>
      <c r="K534">
        <v>35</v>
      </c>
      <c r="L534">
        <v>150</v>
      </c>
    </row>
    <row r="535" spans="1:12" x14ac:dyDescent="0.25">
      <c r="A535">
        <v>534</v>
      </c>
      <c r="B535" t="s">
        <v>941</v>
      </c>
      <c r="C535" t="s">
        <v>482</v>
      </c>
      <c r="D535" s="1">
        <v>45328.928981481484</v>
      </c>
      <c r="E535" s="1">
        <v>45328.99009259259</v>
      </c>
      <c r="F535">
        <v>407</v>
      </c>
      <c r="G535">
        <v>30</v>
      </c>
      <c r="H535" t="s">
        <v>21</v>
      </c>
      <c r="I535" t="s">
        <v>22</v>
      </c>
      <c r="J535">
        <v>137</v>
      </c>
      <c r="K535">
        <v>13</v>
      </c>
      <c r="L535">
        <v>0</v>
      </c>
    </row>
    <row r="536" spans="1:12" x14ac:dyDescent="0.25">
      <c r="A536">
        <v>535</v>
      </c>
      <c r="B536" t="s">
        <v>942</v>
      </c>
      <c r="C536" t="s">
        <v>890</v>
      </c>
      <c r="D536" s="1">
        <v>45324.202615740738</v>
      </c>
      <c r="E536" s="1">
        <v>45324.255393518521</v>
      </c>
      <c r="F536">
        <v>748</v>
      </c>
      <c r="G536">
        <v>20</v>
      </c>
      <c r="H536" t="s">
        <v>14</v>
      </c>
      <c r="I536" s="2">
        <v>0.1</v>
      </c>
      <c r="J536">
        <v>174</v>
      </c>
      <c r="K536">
        <v>21</v>
      </c>
      <c r="L536">
        <v>0</v>
      </c>
    </row>
    <row r="537" spans="1:12" x14ac:dyDescent="0.25">
      <c r="A537">
        <v>536</v>
      </c>
      <c r="B537" t="s">
        <v>943</v>
      </c>
      <c r="C537" t="s">
        <v>944</v>
      </c>
      <c r="D537" s="1">
        <v>45312.434305555558</v>
      </c>
      <c r="E537" s="1">
        <v>45312.463472222225</v>
      </c>
      <c r="F537">
        <v>1817</v>
      </c>
      <c r="G537">
        <v>30</v>
      </c>
      <c r="H537" t="s">
        <v>14</v>
      </c>
      <c r="I537" t="s">
        <v>25</v>
      </c>
      <c r="J537">
        <v>128</v>
      </c>
      <c r="K537">
        <v>10</v>
      </c>
      <c r="L537">
        <v>0</v>
      </c>
    </row>
    <row r="538" spans="1:12" x14ac:dyDescent="0.25">
      <c r="A538">
        <v>537</v>
      </c>
      <c r="B538" t="s">
        <v>945</v>
      </c>
      <c r="C538" t="s">
        <v>919</v>
      </c>
      <c r="D538" s="1">
        <v>45306.474907407406</v>
      </c>
      <c r="E538" s="1">
        <v>45306.549212962964</v>
      </c>
      <c r="F538">
        <v>1490</v>
      </c>
      <c r="G538">
        <v>40</v>
      </c>
      <c r="H538" t="s">
        <v>21</v>
      </c>
      <c r="I538" t="s">
        <v>28</v>
      </c>
      <c r="J538">
        <v>139</v>
      </c>
      <c r="K538">
        <v>30</v>
      </c>
      <c r="L538">
        <v>0</v>
      </c>
    </row>
    <row r="539" spans="1:12" x14ac:dyDescent="0.25">
      <c r="A539">
        <v>538</v>
      </c>
      <c r="B539" t="s">
        <v>946</v>
      </c>
      <c r="C539" t="s">
        <v>334</v>
      </c>
      <c r="D539" s="1">
        <v>45315.338090277779</v>
      </c>
      <c r="E539" s="1">
        <v>45315.420034722221</v>
      </c>
      <c r="F539">
        <v>1124</v>
      </c>
      <c r="G539">
        <v>30</v>
      </c>
      <c r="H539" t="s">
        <v>18</v>
      </c>
      <c r="I539" t="s">
        <v>25</v>
      </c>
      <c r="J539">
        <v>100</v>
      </c>
      <c r="K539">
        <v>28</v>
      </c>
      <c r="L539">
        <v>150</v>
      </c>
    </row>
    <row r="540" spans="1:12" x14ac:dyDescent="0.25">
      <c r="A540">
        <v>539</v>
      </c>
      <c r="B540" t="s">
        <v>947</v>
      </c>
      <c r="C540" t="s">
        <v>414</v>
      </c>
      <c r="D540" s="1">
        <v>45318.882187499999</v>
      </c>
      <c r="E540" s="1">
        <v>45318.925243055557</v>
      </c>
      <c r="F540">
        <v>1167</v>
      </c>
      <c r="G540">
        <v>20</v>
      </c>
      <c r="H540" t="s">
        <v>14</v>
      </c>
      <c r="I540" s="2">
        <v>0.1</v>
      </c>
      <c r="J540">
        <v>151</v>
      </c>
      <c r="K540">
        <v>30</v>
      </c>
      <c r="L540">
        <v>0</v>
      </c>
    </row>
    <row r="541" spans="1:12" x14ac:dyDescent="0.25">
      <c r="A541">
        <v>540</v>
      </c>
      <c r="B541" t="s">
        <v>948</v>
      </c>
      <c r="C541" t="s">
        <v>949</v>
      </c>
      <c r="D541" s="1">
        <v>45328.734594907408</v>
      </c>
      <c r="E541" s="1">
        <v>45328.797789351855</v>
      </c>
      <c r="F541">
        <v>838</v>
      </c>
      <c r="G541">
        <v>40</v>
      </c>
      <c r="H541" t="s">
        <v>18</v>
      </c>
      <c r="I541" s="2">
        <v>0.1</v>
      </c>
      <c r="J541">
        <v>155</v>
      </c>
      <c r="K541">
        <v>27</v>
      </c>
      <c r="L541">
        <v>0</v>
      </c>
    </row>
    <row r="542" spans="1:12" x14ac:dyDescent="0.25">
      <c r="A542">
        <v>541</v>
      </c>
      <c r="B542" t="s">
        <v>950</v>
      </c>
      <c r="C542" t="s">
        <v>511</v>
      </c>
      <c r="D542" s="1">
        <v>45314.860578703701</v>
      </c>
      <c r="E542" s="1">
        <v>45314.935578703706</v>
      </c>
      <c r="F542">
        <v>1966</v>
      </c>
      <c r="G542">
        <v>0</v>
      </c>
      <c r="H542" t="s">
        <v>21</v>
      </c>
      <c r="I542" t="s">
        <v>22</v>
      </c>
      <c r="J542">
        <v>109</v>
      </c>
      <c r="K542">
        <v>12</v>
      </c>
      <c r="L542">
        <v>0</v>
      </c>
    </row>
    <row r="543" spans="1:12" x14ac:dyDescent="0.25">
      <c r="A543">
        <v>542</v>
      </c>
      <c r="B543" t="s">
        <v>951</v>
      </c>
      <c r="C543" t="s">
        <v>146</v>
      </c>
      <c r="D543" s="1">
        <v>45293.591180555559</v>
      </c>
      <c r="E543" s="1">
        <v>45293.622430555559</v>
      </c>
      <c r="F543">
        <v>1221</v>
      </c>
      <c r="G543">
        <v>20</v>
      </c>
      <c r="H543" t="s">
        <v>14</v>
      </c>
      <c r="I543" t="s">
        <v>15</v>
      </c>
      <c r="J543">
        <v>95</v>
      </c>
      <c r="K543">
        <v>41</v>
      </c>
      <c r="L543">
        <v>0</v>
      </c>
    </row>
    <row r="544" spans="1:12" x14ac:dyDescent="0.25">
      <c r="A544">
        <v>543</v>
      </c>
      <c r="B544" t="s">
        <v>952</v>
      </c>
      <c r="C544" t="s">
        <v>953</v>
      </c>
      <c r="D544" s="1">
        <v>45329.535729166666</v>
      </c>
      <c r="E544" s="1">
        <v>45329.586423611108</v>
      </c>
      <c r="F544">
        <v>1843</v>
      </c>
      <c r="G544">
        <v>50</v>
      </c>
      <c r="H544" t="s">
        <v>21</v>
      </c>
      <c r="I544" t="s">
        <v>25</v>
      </c>
      <c r="J544">
        <v>85</v>
      </c>
      <c r="K544">
        <v>19</v>
      </c>
      <c r="L544">
        <v>100</v>
      </c>
    </row>
    <row r="545" spans="1:12" x14ac:dyDescent="0.25">
      <c r="A545">
        <v>544</v>
      </c>
      <c r="B545" t="s">
        <v>954</v>
      </c>
      <c r="C545" t="s">
        <v>329</v>
      </c>
      <c r="D545" s="1">
        <v>45302.529062499998</v>
      </c>
      <c r="E545" s="1">
        <v>45302.589479166665</v>
      </c>
      <c r="F545">
        <v>1388</v>
      </c>
      <c r="G545">
        <v>20</v>
      </c>
      <c r="H545" t="s">
        <v>18</v>
      </c>
      <c r="I545" t="s">
        <v>22</v>
      </c>
      <c r="J545">
        <v>60</v>
      </c>
      <c r="K545">
        <v>49</v>
      </c>
      <c r="L545">
        <v>0</v>
      </c>
    </row>
    <row r="546" spans="1:12" x14ac:dyDescent="0.25">
      <c r="A546">
        <v>545</v>
      </c>
      <c r="B546" t="s">
        <v>955</v>
      </c>
      <c r="C546" t="s">
        <v>956</v>
      </c>
      <c r="D546" s="1">
        <v>45323.469664351855</v>
      </c>
      <c r="E546" s="1">
        <v>45323.493969907409</v>
      </c>
      <c r="F546">
        <v>1923</v>
      </c>
      <c r="G546">
        <v>40</v>
      </c>
      <c r="H546" t="s">
        <v>21</v>
      </c>
      <c r="I546" t="s">
        <v>28</v>
      </c>
      <c r="J546">
        <v>61</v>
      </c>
      <c r="K546">
        <v>24</v>
      </c>
      <c r="L546">
        <v>0</v>
      </c>
    </row>
    <row r="547" spans="1:12" x14ac:dyDescent="0.25">
      <c r="A547">
        <v>546</v>
      </c>
      <c r="B547" t="s">
        <v>957</v>
      </c>
      <c r="C547" t="s">
        <v>958</v>
      </c>
      <c r="D547" s="1">
        <v>45310.746701388889</v>
      </c>
      <c r="E547" s="1">
        <v>45310.828645833331</v>
      </c>
      <c r="F547">
        <v>1906</v>
      </c>
      <c r="G547">
        <v>20</v>
      </c>
      <c r="H547" t="s">
        <v>21</v>
      </c>
      <c r="I547" t="s">
        <v>15</v>
      </c>
      <c r="J547">
        <v>88</v>
      </c>
      <c r="K547">
        <v>14</v>
      </c>
      <c r="L547">
        <v>0</v>
      </c>
    </row>
    <row r="548" spans="1:12" x14ac:dyDescent="0.25">
      <c r="A548">
        <v>547</v>
      </c>
      <c r="B548" t="s">
        <v>282</v>
      </c>
      <c r="C548" t="s">
        <v>542</v>
      </c>
      <c r="D548" s="1">
        <v>45321.980439814812</v>
      </c>
      <c r="E548" s="1">
        <v>45322.010995370372</v>
      </c>
      <c r="F548">
        <v>239</v>
      </c>
      <c r="G548">
        <v>0</v>
      </c>
      <c r="H548" t="s">
        <v>14</v>
      </c>
      <c r="I548" t="s">
        <v>22</v>
      </c>
      <c r="J548">
        <v>188</v>
      </c>
      <c r="K548">
        <v>13</v>
      </c>
      <c r="L548">
        <v>150</v>
      </c>
    </row>
    <row r="549" spans="1:12" x14ac:dyDescent="0.25">
      <c r="A549">
        <v>548</v>
      </c>
      <c r="B549" t="s">
        <v>959</v>
      </c>
      <c r="C549" t="s">
        <v>542</v>
      </c>
      <c r="D549" s="1">
        <v>45310.838969907411</v>
      </c>
      <c r="E549" s="1">
        <v>45310.861886574072</v>
      </c>
      <c r="F549">
        <v>1604</v>
      </c>
      <c r="G549">
        <v>0</v>
      </c>
      <c r="H549" t="s">
        <v>21</v>
      </c>
      <c r="I549" t="s">
        <v>25</v>
      </c>
      <c r="J549">
        <v>85</v>
      </c>
      <c r="K549">
        <v>37</v>
      </c>
      <c r="L549">
        <v>150</v>
      </c>
    </row>
    <row r="550" spans="1:12" x14ac:dyDescent="0.25">
      <c r="A550">
        <v>549</v>
      </c>
      <c r="B550" t="s">
        <v>960</v>
      </c>
      <c r="C550" t="s">
        <v>961</v>
      </c>
      <c r="D550" s="1">
        <v>45316.542407407411</v>
      </c>
      <c r="E550" s="1">
        <v>45316.601435185185</v>
      </c>
      <c r="F550">
        <v>1360</v>
      </c>
      <c r="G550">
        <v>50</v>
      </c>
      <c r="H550" t="s">
        <v>21</v>
      </c>
      <c r="I550" s="2">
        <v>0.1</v>
      </c>
      <c r="J550">
        <v>101</v>
      </c>
      <c r="K550">
        <v>13</v>
      </c>
      <c r="L550">
        <v>0</v>
      </c>
    </row>
    <row r="551" spans="1:12" x14ac:dyDescent="0.25">
      <c r="A551">
        <v>550</v>
      </c>
      <c r="B551" t="s">
        <v>962</v>
      </c>
      <c r="C551" t="s">
        <v>963</v>
      </c>
      <c r="D551" s="1">
        <v>45303.118194444447</v>
      </c>
      <c r="E551" s="1">
        <v>45303.18277777778</v>
      </c>
      <c r="F551">
        <v>1073</v>
      </c>
      <c r="G551">
        <v>30</v>
      </c>
      <c r="H551" t="s">
        <v>21</v>
      </c>
      <c r="I551" t="s">
        <v>28</v>
      </c>
      <c r="J551">
        <v>80</v>
      </c>
      <c r="K551">
        <v>24</v>
      </c>
      <c r="L551">
        <v>0</v>
      </c>
    </row>
    <row r="552" spans="1:12" x14ac:dyDescent="0.25">
      <c r="A552">
        <v>551</v>
      </c>
      <c r="B552" t="s">
        <v>964</v>
      </c>
      <c r="C552" t="s">
        <v>673</v>
      </c>
      <c r="D552" s="1">
        <v>45296.946608796294</v>
      </c>
      <c r="E552" s="1">
        <v>45297.013969907406</v>
      </c>
      <c r="F552">
        <v>1116</v>
      </c>
      <c r="G552">
        <v>40</v>
      </c>
      <c r="H552" t="s">
        <v>14</v>
      </c>
      <c r="I552" t="s">
        <v>25</v>
      </c>
      <c r="J552">
        <v>82</v>
      </c>
      <c r="K552">
        <v>26</v>
      </c>
      <c r="L552">
        <v>0</v>
      </c>
    </row>
    <row r="553" spans="1:12" x14ac:dyDescent="0.25">
      <c r="A553">
        <v>552</v>
      </c>
      <c r="B553" t="s">
        <v>965</v>
      </c>
      <c r="C553" t="s">
        <v>361</v>
      </c>
      <c r="D553" s="1">
        <v>45321.307256944441</v>
      </c>
      <c r="E553" s="1">
        <v>45321.351006944446</v>
      </c>
      <c r="F553">
        <v>1052</v>
      </c>
      <c r="G553">
        <v>40</v>
      </c>
      <c r="H553" t="s">
        <v>18</v>
      </c>
      <c r="I553" t="s">
        <v>15</v>
      </c>
      <c r="J553">
        <v>190</v>
      </c>
      <c r="K553">
        <v>12</v>
      </c>
      <c r="L553">
        <v>50</v>
      </c>
    </row>
    <row r="554" spans="1:12" x14ac:dyDescent="0.25">
      <c r="A554">
        <v>553</v>
      </c>
      <c r="B554" t="s">
        <v>966</v>
      </c>
      <c r="C554" t="s">
        <v>967</v>
      </c>
      <c r="D554" s="1">
        <v>45314.381145833337</v>
      </c>
      <c r="E554" s="1">
        <v>45314.44017361111</v>
      </c>
      <c r="F554">
        <v>1003</v>
      </c>
      <c r="G554">
        <v>30</v>
      </c>
      <c r="H554" t="s">
        <v>18</v>
      </c>
      <c r="I554" t="s">
        <v>15</v>
      </c>
      <c r="J554">
        <v>195</v>
      </c>
      <c r="K554">
        <v>19</v>
      </c>
      <c r="L554">
        <v>0</v>
      </c>
    </row>
    <row r="555" spans="1:12" x14ac:dyDescent="0.25">
      <c r="A555">
        <v>554</v>
      </c>
      <c r="B555" t="s">
        <v>968</v>
      </c>
      <c r="C555" t="s">
        <v>969</v>
      </c>
      <c r="D555" s="1">
        <v>45325.518460648149</v>
      </c>
      <c r="E555" s="1">
        <v>45325.56082175926</v>
      </c>
      <c r="F555">
        <v>171</v>
      </c>
      <c r="G555">
        <v>0</v>
      </c>
      <c r="H555" t="s">
        <v>21</v>
      </c>
      <c r="I555" s="2">
        <v>0.1</v>
      </c>
      <c r="J555">
        <v>107</v>
      </c>
      <c r="K555">
        <v>32</v>
      </c>
      <c r="L555">
        <v>50</v>
      </c>
    </row>
    <row r="556" spans="1:12" x14ac:dyDescent="0.25">
      <c r="A556">
        <v>555</v>
      </c>
      <c r="B556" t="s">
        <v>970</v>
      </c>
      <c r="C556" t="s">
        <v>367</v>
      </c>
      <c r="D556" s="1">
        <v>45309.877465277779</v>
      </c>
      <c r="E556" s="1">
        <v>45309.903854166667</v>
      </c>
      <c r="F556">
        <v>1790</v>
      </c>
      <c r="G556">
        <v>0</v>
      </c>
      <c r="H556" t="s">
        <v>14</v>
      </c>
      <c r="I556" s="2">
        <v>0.1</v>
      </c>
      <c r="J556">
        <v>177</v>
      </c>
      <c r="K556">
        <v>27</v>
      </c>
      <c r="L556">
        <v>0</v>
      </c>
    </row>
    <row r="557" spans="1:12" x14ac:dyDescent="0.25">
      <c r="A557">
        <v>556</v>
      </c>
      <c r="B557" t="s">
        <v>971</v>
      </c>
      <c r="C557" t="s">
        <v>665</v>
      </c>
      <c r="D557" s="1">
        <v>45307.018958333334</v>
      </c>
      <c r="E557" s="1">
        <v>45307.08284722222</v>
      </c>
      <c r="F557">
        <v>1313</v>
      </c>
      <c r="G557">
        <v>20</v>
      </c>
      <c r="H557" t="s">
        <v>21</v>
      </c>
      <c r="I557" t="s">
        <v>28</v>
      </c>
      <c r="J557">
        <v>80</v>
      </c>
      <c r="K557">
        <v>10</v>
      </c>
      <c r="L557">
        <v>0</v>
      </c>
    </row>
    <row r="558" spans="1:12" x14ac:dyDescent="0.25">
      <c r="A558">
        <v>557</v>
      </c>
      <c r="B558" t="s">
        <v>925</v>
      </c>
      <c r="C558" t="s">
        <v>290</v>
      </c>
      <c r="D558" s="1">
        <v>45326.034641203703</v>
      </c>
      <c r="E558" s="1">
        <v>45326.104780092595</v>
      </c>
      <c r="F558">
        <v>1391</v>
      </c>
      <c r="G558">
        <v>50</v>
      </c>
      <c r="H558" t="s">
        <v>18</v>
      </c>
      <c r="I558" t="s">
        <v>28</v>
      </c>
      <c r="J558">
        <v>104</v>
      </c>
      <c r="K558">
        <v>44</v>
      </c>
      <c r="L558">
        <v>0</v>
      </c>
    </row>
    <row r="559" spans="1:12" x14ac:dyDescent="0.25">
      <c r="A559">
        <v>558</v>
      </c>
      <c r="B559" t="s">
        <v>972</v>
      </c>
      <c r="C559" t="s">
        <v>973</v>
      </c>
      <c r="D559" s="1">
        <v>45297.042638888888</v>
      </c>
      <c r="E559" s="1">
        <v>45297.116944444446</v>
      </c>
      <c r="F559">
        <v>1444</v>
      </c>
      <c r="G559">
        <v>50</v>
      </c>
      <c r="H559" t="s">
        <v>14</v>
      </c>
      <c r="I559" s="2">
        <v>0.1</v>
      </c>
      <c r="J559">
        <v>59</v>
      </c>
      <c r="K559">
        <v>40</v>
      </c>
      <c r="L559">
        <v>0</v>
      </c>
    </row>
    <row r="560" spans="1:12" x14ac:dyDescent="0.25">
      <c r="A560">
        <v>559</v>
      </c>
      <c r="B560" t="s">
        <v>974</v>
      </c>
      <c r="C560" t="s">
        <v>975</v>
      </c>
      <c r="D560" s="1">
        <v>45316.932569444441</v>
      </c>
      <c r="E560" s="1">
        <v>45316.975624999999</v>
      </c>
      <c r="F560">
        <v>206</v>
      </c>
      <c r="G560">
        <v>50</v>
      </c>
      <c r="H560" t="s">
        <v>18</v>
      </c>
      <c r="I560" s="2">
        <v>0.1</v>
      </c>
      <c r="J560">
        <v>179</v>
      </c>
      <c r="K560">
        <v>10</v>
      </c>
      <c r="L560">
        <v>0</v>
      </c>
    </row>
    <row r="561" spans="1:12" x14ac:dyDescent="0.25">
      <c r="A561">
        <v>560</v>
      </c>
      <c r="B561" t="s">
        <v>976</v>
      </c>
      <c r="C561" t="s">
        <v>977</v>
      </c>
      <c r="D561" s="1">
        <v>45320.131076388891</v>
      </c>
      <c r="E561" s="1">
        <v>45320.211631944447</v>
      </c>
      <c r="F561">
        <v>1355</v>
      </c>
      <c r="G561">
        <v>20</v>
      </c>
      <c r="H561" t="s">
        <v>18</v>
      </c>
      <c r="I561" t="s">
        <v>15</v>
      </c>
      <c r="J561">
        <v>64</v>
      </c>
      <c r="K561">
        <v>12</v>
      </c>
      <c r="L561">
        <v>0</v>
      </c>
    </row>
    <row r="562" spans="1:12" x14ac:dyDescent="0.25">
      <c r="A562">
        <v>561</v>
      </c>
      <c r="B562" t="s">
        <v>978</v>
      </c>
      <c r="C562" t="s">
        <v>158</v>
      </c>
      <c r="D562" s="1">
        <v>45329.555543981478</v>
      </c>
      <c r="E562" s="1">
        <v>45329.590266203704</v>
      </c>
      <c r="F562">
        <v>1165</v>
      </c>
      <c r="G562">
        <v>50</v>
      </c>
      <c r="H562" t="s">
        <v>14</v>
      </c>
      <c r="I562" s="2">
        <v>0.1</v>
      </c>
      <c r="J562">
        <v>52</v>
      </c>
      <c r="K562">
        <v>12</v>
      </c>
      <c r="L562">
        <v>150</v>
      </c>
    </row>
    <row r="563" spans="1:12" x14ac:dyDescent="0.25">
      <c r="A563">
        <v>562</v>
      </c>
      <c r="B563" t="s">
        <v>979</v>
      </c>
      <c r="C563" t="s">
        <v>134</v>
      </c>
      <c r="D563" s="1">
        <v>45306.245879629627</v>
      </c>
      <c r="E563" s="1">
        <v>45306.304212962961</v>
      </c>
      <c r="F563">
        <v>1825</v>
      </c>
      <c r="G563">
        <v>30</v>
      </c>
      <c r="H563" t="s">
        <v>14</v>
      </c>
      <c r="I563" t="s">
        <v>22</v>
      </c>
      <c r="J563">
        <v>92</v>
      </c>
      <c r="K563">
        <v>46</v>
      </c>
      <c r="L563">
        <v>0</v>
      </c>
    </row>
    <row r="564" spans="1:12" x14ac:dyDescent="0.25">
      <c r="A564">
        <v>563</v>
      </c>
      <c r="B564" t="s">
        <v>424</v>
      </c>
      <c r="C564" t="s">
        <v>980</v>
      </c>
      <c r="D564" s="1">
        <v>45327.821875000001</v>
      </c>
      <c r="E564" s="1">
        <v>45327.894791666666</v>
      </c>
      <c r="F564">
        <v>982</v>
      </c>
      <c r="G564">
        <v>20</v>
      </c>
      <c r="H564" t="s">
        <v>21</v>
      </c>
      <c r="I564" t="s">
        <v>25</v>
      </c>
      <c r="J564">
        <v>116</v>
      </c>
      <c r="K564">
        <v>28</v>
      </c>
      <c r="L564">
        <v>0</v>
      </c>
    </row>
    <row r="565" spans="1:12" x14ac:dyDescent="0.25">
      <c r="A565">
        <v>564</v>
      </c>
      <c r="B565" t="s">
        <v>981</v>
      </c>
      <c r="C565" t="s">
        <v>982</v>
      </c>
      <c r="D565" s="1">
        <v>45320.426736111112</v>
      </c>
      <c r="E565" s="1">
        <v>45320.486458333333</v>
      </c>
      <c r="F565">
        <v>238</v>
      </c>
      <c r="G565">
        <v>30</v>
      </c>
      <c r="H565" t="s">
        <v>21</v>
      </c>
      <c r="I565" s="2">
        <v>0.1</v>
      </c>
      <c r="J565">
        <v>105</v>
      </c>
      <c r="K565">
        <v>38</v>
      </c>
      <c r="L565">
        <v>0</v>
      </c>
    </row>
    <row r="566" spans="1:12" x14ac:dyDescent="0.25">
      <c r="A566">
        <v>565</v>
      </c>
      <c r="B566" t="s">
        <v>983</v>
      </c>
      <c r="C566" t="s">
        <v>967</v>
      </c>
      <c r="D566" s="1">
        <v>45297.666967592595</v>
      </c>
      <c r="E566" s="1">
        <v>45297.68849537037</v>
      </c>
      <c r="F566">
        <v>714</v>
      </c>
      <c r="G566">
        <v>20</v>
      </c>
      <c r="H566" t="s">
        <v>18</v>
      </c>
      <c r="I566" t="s">
        <v>28</v>
      </c>
      <c r="J566">
        <v>112</v>
      </c>
      <c r="K566">
        <v>34</v>
      </c>
      <c r="L566">
        <v>100</v>
      </c>
    </row>
    <row r="567" spans="1:12" x14ac:dyDescent="0.25">
      <c r="A567">
        <v>566</v>
      </c>
      <c r="B567" t="s">
        <v>984</v>
      </c>
      <c r="C567" t="s">
        <v>985</v>
      </c>
      <c r="D567" s="1">
        <v>45295.343275462961</v>
      </c>
      <c r="E567" s="1">
        <v>45295.372442129628</v>
      </c>
      <c r="F567">
        <v>1806</v>
      </c>
      <c r="G567">
        <v>50</v>
      </c>
      <c r="H567" t="s">
        <v>14</v>
      </c>
      <c r="I567" t="s">
        <v>22</v>
      </c>
      <c r="J567">
        <v>64</v>
      </c>
      <c r="K567">
        <v>42</v>
      </c>
      <c r="L567">
        <v>0</v>
      </c>
    </row>
    <row r="568" spans="1:12" x14ac:dyDescent="0.25">
      <c r="A568">
        <v>567</v>
      </c>
      <c r="B568" t="s">
        <v>986</v>
      </c>
      <c r="C568" t="s">
        <v>78</v>
      </c>
      <c r="D568" s="1">
        <v>45301.421724537038</v>
      </c>
      <c r="E568" s="1">
        <v>45301.444641203707</v>
      </c>
      <c r="F568">
        <v>962</v>
      </c>
      <c r="G568">
        <v>30</v>
      </c>
      <c r="H568" t="s">
        <v>14</v>
      </c>
      <c r="I568" t="s">
        <v>28</v>
      </c>
      <c r="J568">
        <v>158</v>
      </c>
      <c r="K568">
        <v>45</v>
      </c>
      <c r="L568">
        <v>0</v>
      </c>
    </row>
    <row r="569" spans="1:12" x14ac:dyDescent="0.25">
      <c r="A569">
        <v>568</v>
      </c>
      <c r="B569" t="s">
        <v>987</v>
      </c>
      <c r="C569" t="s">
        <v>988</v>
      </c>
      <c r="D569" s="1">
        <v>45311.360150462962</v>
      </c>
      <c r="E569" s="1">
        <v>45311.438622685186</v>
      </c>
      <c r="F569">
        <v>372</v>
      </c>
      <c r="G569">
        <v>30</v>
      </c>
      <c r="H569" t="s">
        <v>21</v>
      </c>
      <c r="I569" t="s">
        <v>22</v>
      </c>
      <c r="J569">
        <v>165</v>
      </c>
      <c r="K569">
        <v>38</v>
      </c>
      <c r="L569">
        <v>0</v>
      </c>
    </row>
    <row r="570" spans="1:12" x14ac:dyDescent="0.25">
      <c r="A570">
        <v>569</v>
      </c>
      <c r="B570" t="s">
        <v>989</v>
      </c>
      <c r="C570" t="s">
        <v>990</v>
      </c>
      <c r="D570" s="1">
        <v>45298.42895833333</v>
      </c>
      <c r="E570" s="1">
        <v>45298.483819444446</v>
      </c>
      <c r="F570">
        <v>1604</v>
      </c>
      <c r="G570">
        <v>30</v>
      </c>
      <c r="H570" t="s">
        <v>18</v>
      </c>
      <c r="I570" s="2">
        <v>0.1</v>
      </c>
      <c r="J570">
        <v>141</v>
      </c>
      <c r="K570">
        <v>35</v>
      </c>
      <c r="L570">
        <v>0</v>
      </c>
    </row>
    <row r="571" spans="1:12" x14ac:dyDescent="0.25">
      <c r="A571">
        <v>570</v>
      </c>
      <c r="B571" t="s">
        <v>991</v>
      </c>
      <c r="C571" t="s">
        <v>656</v>
      </c>
      <c r="D571" s="1">
        <v>45302.734490740739</v>
      </c>
      <c r="E571" s="1">
        <v>45302.787962962961</v>
      </c>
      <c r="F571">
        <v>515</v>
      </c>
      <c r="G571">
        <v>20</v>
      </c>
      <c r="H571" t="s">
        <v>18</v>
      </c>
      <c r="I571" t="s">
        <v>25</v>
      </c>
      <c r="J571">
        <v>187</v>
      </c>
      <c r="K571">
        <v>13</v>
      </c>
      <c r="L571">
        <v>50</v>
      </c>
    </row>
    <row r="572" spans="1:12" x14ac:dyDescent="0.25">
      <c r="A572">
        <v>571</v>
      </c>
      <c r="B572" t="s">
        <v>992</v>
      </c>
      <c r="C572" t="s">
        <v>993</v>
      </c>
      <c r="D572" s="1">
        <v>45309.896249999998</v>
      </c>
      <c r="E572" s="1">
        <v>45309.970555555556</v>
      </c>
      <c r="F572">
        <v>605</v>
      </c>
      <c r="G572">
        <v>40</v>
      </c>
      <c r="H572" t="s">
        <v>21</v>
      </c>
      <c r="I572" t="s">
        <v>28</v>
      </c>
      <c r="J572">
        <v>96</v>
      </c>
      <c r="K572">
        <v>23</v>
      </c>
      <c r="L572">
        <v>0</v>
      </c>
    </row>
    <row r="573" spans="1:12" x14ac:dyDescent="0.25">
      <c r="A573">
        <v>572</v>
      </c>
      <c r="B573" t="s">
        <v>994</v>
      </c>
      <c r="C573" t="s">
        <v>995</v>
      </c>
      <c r="D573" s="1">
        <v>45329.29283564815</v>
      </c>
      <c r="E573" s="1">
        <v>45329.333807870367</v>
      </c>
      <c r="F573">
        <v>832</v>
      </c>
      <c r="G573">
        <v>50</v>
      </c>
      <c r="H573" t="s">
        <v>14</v>
      </c>
      <c r="I573" t="s">
        <v>22</v>
      </c>
      <c r="J573">
        <v>106</v>
      </c>
      <c r="K573">
        <v>36</v>
      </c>
      <c r="L573">
        <v>0</v>
      </c>
    </row>
    <row r="574" spans="1:12" x14ac:dyDescent="0.25">
      <c r="A574">
        <v>573</v>
      </c>
      <c r="B574" t="s">
        <v>996</v>
      </c>
      <c r="C574" t="s">
        <v>361</v>
      </c>
      <c r="D574" s="1">
        <v>45306.370335648149</v>
      </c>
      <c r="E574" s="1">
        <v>45306.410613425927</v>
      </c>
      <c r="F574">
        <v>1848</v>
      </c>
      <c r="G574">
        <v>30</v>
      </c>
      <c r="H574" t="s">
        <v>21</v>
      </c>
      <c r="I574" t="s">
        <v>15</v>
      </c>
      <c r="J574">
        <v>99</v>
      </c>
      <c r="K574">
        <v>42</v>
      </c>
      <c r="L574">
        <v>0</v>
      </c>
    </row>
    <row r="575" spans="1:12" x14ac:dyDescent="0.25">
      <c r="A575">
        <v>574</v>
      </c>
      <c r="B575" t="s">
        <v>997</v>
      </c>
      <c r="C575" t="s">
        <v>998</v>
      </c>
      <c r="D575" s="1">
        <v>45318.514699074076</v>
      </c>
      <c r="E575" s="1">
        <v>45318.540393518517</v>
      </c>
      <c r="F575">
        <v>1976</v>
      </c>
      <c r="G575">
        <v>40</v>
      </c>
      <c r="H575" t="s">
        <v>21</v>
      </c>
      <c r="I575" s="2">
        <v>0.1</v>
      </c>
      <c r="J575">
        <v>120</v>
      </c>
      <c r="K575">
        <v>31</v>
      </c>
      <c r="L575">
        <v>0</v>
      </c>
    </row>
    <row r="576" spans="1:12" x14ac:dyDescent="0.25">
      <c r="A576">
        <v>575</v>
      </c>
      <c r="B576" t="s">
        <v>999</v>
      </c>
      <c r="C576" t="s">
        <v>728</v>
      </c>
      <c r="D576" s="1">
        <v>45298.878530092596</v>
      </c>
      <c r="E576" s="1">
        <v>45298.907002314816</v>
      </c>
      <c r="F576">
        <v>523</v>
      </c>
      <c r="G576">
        <v>50</v>
      </c>
      <c r="H576" t="s">
        <v>21</v>
      </c>
      <c r="I576" t="s">
        <v>25</v>
      </c>
      <c r="J576">
        <v>192</v>
      </c>
      <c r="K576">
        <v>12</v>
      </c>
      <c r="L576">
        <v>0</v>
      </c>
    </row>
    <row r="577" spans="1:12" x14ac:dyDescent="0.25">
      <c r="A577">
        <v>576</v>
      </c>
      <c r="B577" t="s">
        <v>1000</v>
      </c>
      <c r="C577" t="s">
        <v>1001</v>
      </c>
      <c r="D577" s="1">
        <v>45292.729594907411</v>
      </c>
      <c r="E577" s="1">
        <v>45292.77820601852</v>
      </c>
      <c r="F577">
        <v>1530</v>
      </c>
      <c r="G577">
        <v>50</v>
      </c>
      <c r="H577" t="s">
        <v>21</v>
      </c>
      <c r="I577" s="2">
        <v>0.1</v>
      </c>
      <c r="J577">
        <v>195</v>
      </c>
      <c r="K577">
        <v>32</v>
      </c>
      <c r="L577">
        <v>150</v>
      </c>
    </row>
    <row r="578" spans="1:12" x14ac:dyDescent="0.25">
      <c r="A578">
        <v>577</v>
      </c>
      <c r="B578" t="s">
        <v>1002</v>
      </c>
      <c r="C578" t="s">
        <v>1003</v>
      </c>
      <c r="D578" s="1">
        <v>45322.416527777779</v>
      </c>
      <c r="E578" s="1">
        <v>45322.454722222225</v>
      </c>
      <c r="F578">
        <v>1691</v>
      </c>
      <c r="G578">
        <v>30</v>
      </c>
      <c r="H578" t="s">
        <v>14</v>
      </c>
      <c r="I578" t="s">
        <v>15</v>
      </c>
      <c r="J578">
        <v>131</v>
      </c>
      <c r="K578">
        <v>30</v>
      </c>
      <c r="L578">
        <v>0</v>
      </c>
    </row>
    <row r="579" spans="1:12" x14ac:dyDescent="0.25">
      <c r="A579">
        <v>578</v>
      </c>
      <c r="B579" t="s">
        <v>1004</v>
      </c>
      <c r="C579" t="s">
        <v>160</v>
      </c>
      <c r="D579" s="1">
        <v>45323.694687499999</v>
      </c>
      <c r="E579" s="1">
        <v>45323.749548611115</v>
      </c>
      <c r="F579">
        <v>489</v>
      </c>
      <c r="G579">
        <v>30</v>
      </c>
      <c r="H579" t="s">
        <v>21</v>
      </c>
      <c r="I579" t="s">
        <v>25</v>
      </c>
      <c r="J579">
        <v>165</v>
      </c>
      <c r="K579">
        <v>50</v>
      </c>
      <c r="L579">
        <v>0</v>
      </c>
    </row>
    <row r="580" spans="1:12" x14ac:dyDescent="0.25">
      <c r="A580">
        <v>579</v>
      </c>
      <c r="B580" t="s">
        <v>1005</v>
      </c>
      <c r="C580" t="s">
        <v>290</v>
      </c>
      <c r="D580" s="1">
        <v>45306.847094907411</v>
      </c>
      <c r="E580" s="1">
        <v>45306.868622685186</v>
      </c>
      <c r="F580">
        <v>441</v>
      </c>
      <c r="G580">
        <v>20</v>
      </c>
      <c r="H580" t="s">
        <v>14</v>
      </c>
      <c r="I580" t="s">
        <v>15</v>
      </c>
      <c r="J580">
        <v>154</v>
      </c>
      <c r="K580">
        <v>32</v>
      </c>
      <c r="L580">
        <v>50</v>
      </c>
    </row>
    <row r="581" spans="1:12" x14ac:dyDescent="0.25">
      <c r="A581">
        <v>580</v>
      </c>
      <c r="B581" t="s">
        <v>1006</v>
      </c>
      <c r="C581" t="s">
        <v>1007</v>
      </c>
      <c r="D581" s="1">
        <v>45294.365347222221</v>
      </c>
      <c r="E581" s="1">
        <v>45294.423680555556</v>
      </c>
      <c r="F581">
        <v>1045</v>
      </c>
      <c r="G581">
        <v>40</v>
      </c>
      <c r="H581" t="s">
        <v>21</v>
      </c>
      <c r="I581" s="2">
        <v>0.1</v>
      </c>
      <c r="J581">
        <v>137</v>
      </c>
      <c r="K581">
        <v>13</v>
      </c>
      <c r="L581">
        <v>0</v>
      </c>
    </row>
    <row r="582" spans="1:12" x14ac:dyDescent="0.25">
      <c r="A582">
        <v>581</v>
      </c>
      <c r="B582" t="s">
        <v>1008</v>
      </c>
      <c r="C582" t="s">
        <v>1009</v>
      </c>
      <c r="D582" s="1">
        <v>45297.815046296295</v>
      </c>
      <c r="E582" s="1">
        <v>45297.874074074076</v>
      </c>
      <c r="F582">
        <v>713</v>
      </c>
      <c r="G582">
        <v>40</v>
      </c>
      <c r="H582" t="s">
        <v>18</v>
      </c>
      <c r="I582" t="s">
        <v>22</v>
      </c>
      <c r="J582">
        <v>51</v>
      </c>
      <c r="K582">
        <v>30</v>
      </c>
      <c r="L582">
        <v>50</v>
      </c>
    </row>
    <row r="583" spans="1:12" x14ac:dyDescent="0.25">
      <c r="A583">
        <v>582</v>
      </c>
      <c r="B583" t="s">
        <v>1010</v>
      </c>
      <c r="C583" t="s">
        <v>1011</v>
      </c>
      <c r="D583" s="1">
        <v>45318.057881944442</v>
      </c>
      <c r="E583" s="1">
        <v>45318.087743055556</v>
      </c>
      <c r="F583">
        <v>592</v>
      </c>
      <c r="G583">
        <v>30</v>
      </c>
      <c r="H583" t="s">
        <v>14</v>
      </c>
      <c r="I583" s="2">
        <v>0.1</v>
      </c>
      <c r="J583">
        <v>153</v>
      </c>
      <c r="K583">
        <v>46</v>
      </c>
      <c r="L583">
        <v>150</v>
      </c>
    </row>
    <row r="584" spans="1:12" x14ac:dyDescent="0.25">
      <c r="A584">
        <v>583</v>
      </c>
      <c r="B584" t="s">
        <v>1012</v>
      </c>
      <c r="C584" t="s">
        <v>1013</v>
      </c>
      <c r="D584" s="1">
        <v>45307.44840277778</v>
      </c>
      <c r="E584" s="1">
        <v>45307.472708333335</v>
      </c>
      <c r="F584">
        <v>291</v>
      </c>
      <c r="G584">
        <v>50</v>
      </c>
      <c r="H584" t="s">
        <v>18</v>
      </c>
      <c r="I584" s="2">
        <v>0.1</v>
      </c>
      <c r="J584">
        <v>133</v>
      </c>
      <c r="K584">
        <v>40</v>
      </c>
      <c r="L584">
        <v>0</v>
      </c>
    </row>
    <row r="585" spans="1:12" x14ac:dyDescent="0.25">
      <c r="A585">
        <v>584</v>
      </c>
      <c r="B585" t="s">
        <v>1014</v>
      </c>
      <c r="C585" t="s">
        <v>484</v>
      </c>
      <c r="D585" s="1">
        <v>45311.434733796297</v>
      </c>
      <c r="E585" s="1">
        <v>45311.511122685188</v>
      </c>
      <c r="F585">
        <v>598</v>
      </c>
      <c r="G585">
        <v>30</v>
      </c>
      <c r="H585" t="s">
        <v>21</v>
      </c>
      <c r="I585" s="2">
        <v>0.1</v>
      </c>
      <c r="J585">
        <v>92</v>
      </c>
      <c r="K585">
        <v>30</v>
      </c>
      <c r="L585">
        <v>0</v>
      </c>
    </row>
    <row r="586" spans="1:12" x14ac:dyDescent="0.25">
      <c r="A586">
        <v>585</v>
      </c>
      <c r="B586" t="s">
        <v>1015</v>
      </c>
      <c r="C586" t="s">
        <v>1016</v>
      </c>
      <c r="D586" s="1">
        <v>45304.016192129631</v>
      </c>
      <c r="E586" s="1">
        <v>45304.098136574074</v>
      </c>
      <c r="F586">
        <v>921</v>
      </c>
      <c r="G586">
        <v>50</v>
      </c>
      <c r="H586" t="s">
        <v>21</v>
      </c>
      <c r="I586" t="s">
        <v>28</v>
      </c>
      <c r="J586">
        <v>120</v>
      </c>
      <c r="K586">
        <v>35</v>
      </c>
      <c r="L586">
        <v>100</v>
      </c>
    </row>
    <row r="587" spans="1:12" x14ac:dyDescent="0.25">
      <c r="A587">
        <v>586</v>
      </c>
      <c r="B587" t="s">
        <v>1017</v>
      </c>
      <c r="C587" t="s">
        <v>247</v>
      </c>
      <c r="D587" s="1">
        <v>45299.649328703701</v>
      </c>
      <c r="E587" s="1">
        <v>45299.711828703701</v>
      </c>
      <c r="F587">
        <v>1835</v>
      </c>
      <c r="G587">
        <v>50</v>
      </c>
      <c r="H587" t="s">
        <v>21</v>
      </c>
      <c r="I587" t="s">
        <v>15</v>
      </c>
      <c r="J587">
        <v>143</v>
      </c>
      <c r="K587">
        <v>50</v>
      </c>
      <c r="L587">
        <v>0</v>
      </c>
    </row>
    <row r="588" spans="1:12" x14ac:dyDescent="0.25">
      <c r="A588">
        <v>587</v>
      </c>
      <c r="B588" t="s">
        <v>1018</v>
      </c>
      <c r="C588" t="s">
        <v>932</v>
      </c>
      <c r="D588" s="1">
        <v>45309.802222222221</v>
      </c>
      <c r="E588" s="1">
        <v>45309.830694444441</v>
      </c>
      <c r="F588">
        <v>1356</v>
      </c>
      <c r="G588">
        <v>30</v>
      </c>
      <c r="H588" t="s">
        <v>14</v>
      </c>
      <c r="I588" t="s">
        <v>15</v>
      </c>
      <c r="J588">
        <v>91</v>
      </c>
      <c r="K588">
        <v>44</v>
      </c>
      <c r="L588">
        <v>0</v>
      </c>
    </row>
    <row r="589" spans="1:12" x14ac:dyDescent="0.25">
      <c r="A589">
        <v>588</v>
      </c>
      <c r="B589" t="s">
        <v>1019</v>
      </c>
      <c r="C589" t="s">
        <v>1020</v>
      </c>
      <c r="D589" s="1">
        <v>45304.835694444446</v>
      </c>
      <c r="E589" s="1">
        <v>45304.864861111113</v>
      </c>
      <c r="F589">
        <v>326</v>
      </c>
      <c r="G589">
        <v>0</v>
      </c>
      <c r="H589" t="s">
        <v>18</v>
      </c>
      <c r="I589" t="s">
        <v>15</v>
      </c>
      <c r="J589">
        <v>182</v>
      </c>
      <c r="K589">
        <v>47</v>
      </c>
      <c r="L589">
        <v>0</v>
      </c>
    </row>
    <row r="590" spans="1:12" x14ac:dyDescent="0.25">
      <c r="A590">
        <v>589</v>
      </c>
      <c r="B590" t="s">
        <v>1021</v>
      </c>
      <c r="C590" t="s">
        <v>1022</v>
      </c>
      <c r="D590" s="1">
        <v>45311.984675925924</v>
      </c>
      <c r="E590" s="1">
        <v>45312.018009259256</v>
      </c>
      <c r="F590">
        <v>1494</v>
      </c>
      <c r="G590">
        <v>40</v>
      </c>
      <c r="H590" t="s">
        <v>14</v>
      </c>
      <c r="I590" t="s">
        <v>28</v>
      </c>
      <c r="J590">
        <v>188</v>
      </c>
      <c r="K590">
        <v>33</v>
      </c>
      <c r="L590">
        <v>0</v>
      </c>
    </row>
    <row r="591" spans="1:12" x14ac:dyDescent="0.25">
      <c r="A591">
        <v>590</v>
      </c>
      <c r="B591" t="s">
        <v>1023</v>
      </c>
      <c r="C591" t="s">
        <v>975</v>
      </c>
      <c r="D591" s="1">
        <v>45307.85732638889</v>
      </c>
      <c r="E591" s="1">
        <v>45307.908020833333</v>
      </c>
      <c r="F591">
        <v>238</v>
      </c>
      <c r="G591">
        <v>50</v>
      </c>
      <c r="H591" t="s">
        <v>14</v>
      </c>
      <c r="I591" t="s">
        <v>22</v>
      </c>
      <c r="J591">
        <v>114</v>
      </c>
      <c r="K591">
        <v>20</v>
      </c>
      <c r="L591">
        <v>0</v>
      </c>
    </row>
    <row r="592" spans="1:12" x14ac:dyDescent="0.25">
      <c r="A592">
        <v>591</v>
      </c>
      <c r="B592" t="s">
        <v>1024</v>
      </c>
      <c r="C592" t="s">
        <v>388</v>
      </c>
      <c r="D592" s="1">
        <v>45311.513842592591</v>
      </c>
      <c r="E592" s="1">
        <v>45311.59578703704</v>
      </c>
      <c r="F592">
        <v>955</v>
      </c>
      <c r="G592">
        <v>50</v>
      </c>
      <c r="H592" t="s">
        <v>21</v>
      </c>
      <c r="I592" s="2">
        <v>0.1</v>
      </c>
      <c r="J592">
        <v>83</v>
      </c>
      <c r="K592">
        <v>50</v>
      </c>
      <c r="L592">
        <v>100</v>
      </c>
    </row>
    <row r="593" spans="1:12" x14ac:dyDescent="0.25">
      <c r="A593">
        <v>592</v>
      </c>
      <c r="B593" t="s">
        <v>1025</v>
      </c>
      <c r="C593" t="s">
        <v>1026</v>
      </c>
      <c r="D593" s="1">
        <v>45306.307638888888</v>
      </c>
      <c r="E593" s="1">
        <v>45306.368750000001</v>
      </c>
      <c r="F593">
        <v>916</v>
      </c>
      <c r="G593">
        <v>0</v>
      </c>
      <c r="H593" t="s">
        <v>18</v>
      </c>
      <c r="I593" t="s">
        <v>22</v>
      </c>
      <c r="J593">
        <v>169</v>
      </c>
      <c r="K593">
        <v>38</v>
      </c>
      <c r="L593">
        <v>100</v>
      </c>
    </row>
    <row r="594" spans="1:12" x14ac:dyDescent="0.25">
      <c r="A594">
        <v>593</v>
      </c>
      <c r="B594" t="s">
        <v>1027</v>
      </c>
      <c r="C594" t="s">
        <v>297</v>
      </c>
      <c r="D594" s="1">
        <v>45322.52652777778</v>
      </c>
      <c r="E594" s="1">
        <v>45322.57236111111</v>
      </c>
      <c r="F594">
        <v>1272</v>
      </c>
      <c r="G594">
        <v>20</v>
      </c>
      <c r="H594" t="s">
        <v>21</v>
      </c>
      <c r="I594" t="s">
        <v>28</v>
      </c>
      <c r="J594">
        <v>50</v>
      </c>
      <c r="K594">
        <v>12</v>
      </c>
      <c r="L594">
        <v>0</v>
      </c>
    </row>
    <row r="595" spans="1:12" x14ac:dyDescent="0.25">
      <c r="A595">
        <v>594</v>
      </c>
      <c r="B595" t="s">
        <v>1028</v>
      </c>
      <c r="C595" t="s">
        <v>1029</v>
      </c>
      <c r="D595" s="1">
        <v>45329.574270833335</v>
      </c>
      <c r="E595" s="1">
        <v>45329.611770833333</v>
      </c>
      <c r="F595">
        <v>1238</v>
      </c>
      <c r="G595">
        <v>0</v>
      </c>
      <c r="H595" t="s">
        <v>14</v>
      </c>
      <c r="I595" t="s">
        <v>15</v>
      </c>
      <c r="J595">
        <v>179</v>
      </c>
      <c r="K595">
        <v>10</v>
      </c>
      <c r="L595">
        <v>0</v>
      </c>
    </row>
    <row r="596" spans="1:12" x14ac:dyDescent="0.25">
      <c r="A596">
        <v>595</v>
      </c>
      <c r="B596" t="s">
        <v>1030</v>
      </c>
      <c r="C596" t="s">
        <v>590</v>
      </c>
      <c r="D596" s="1">
        <v>45300.130046296297</v>
      </c>
      <c r="E596" s="1">
        <v>45300.161296296297</v>
      </c>
      <c r="F596">
        <v>1573</v>
      </c>
      <c r="G596">
        <v>0</v>
      </c>
      <c r="H596" t="s">
        <v>21</v>
      </c>
      <c r="I596" s="2">
        <v>0.1</v>
      </c>
      <c r="J596">
        <v>197</v>
      </c>
      <c r="K596">
        <v>28</v>
      </c>
      <c r="L596">
        <v>0</v>
      </c>
    </row>
    <row r="597" spans="1:12" x14ac:dyDescent="0.25">
      <c r="A597">
        <v>596</v>
      </c>
      <c r="B597" t="s">
        <v>1031</v>
      </c>
      <c r="C597" t="s">
        <v>482</v>
      </c>
      <c r="D597" s="1">
        <v>45321.441990740743</v>
      </c>
      <c r="E597" s="1">
        <v>45321.488518518519</v>
      </c>
      <c r="F597">
        <v>1186</v>
      </c>
      <c r="G597">
        <v>50</v>
      </c>
      <c r="H597" t="s">
        <v>18</v>
      </c>
      <c r="I597" t="s">
        <v>25</v>
      </c>
      <c r="J597">
        <v>110</v>
      </c>
      <c r="K597">
        <v>31</v>
      </c>
      <c r="L597">
        <v>0</v>
      </c>
    </row>
    <row r="598" spans="1:12" x14ac:dyDescent="0.25">
      <c r="A598">
        <v>597</v>
      </c>
      <c r="B598" t="s">
        <v>1032</v>
      </c>
      <c r="C598" t="s">
        <v>158</v>
      </c>
      <c r="D598" s="1">
        <v>45323.865543981483</v>
      </c>
      <c r="E598" s="1">
        <v>45323.915543981479</v>
      </c>
      <c r="F598">
        <v>203</v>
      </c>
      <c r="G598">
        <v>40</v>
      </c>
      <c r="H598" t="s">
        <v>21</v>
      </c>
      <c r="I598" t="s">
        <v>25</v>
      </c>
      <c r="J598">
        <v>198</v>
      </c>
      <c r="K598">
        <v>23</v>
      </c>
      <c r="L598">
        <v>0</v>
      </c>
    </row>
    <row r="599" spans="1:12" x14ac:dyDescent="0.25">
      <c r="A599">
        <v>598</v>
      </c>
      <c r="B599" t="s">
        <v>1033</v>
      </c>
      <c r="C599" t="s">
        <v>1034</v>
      </c>
      <c r="D599" s="1">
        <v>45319.308553240742</v>
      </c>
      <c r="E599" s="1">
        <v>45319.389108796298</v>
      </c>
      <c r="F599">
        <v>1974</v>
      </c>
      <c r="G599">
        <v>0</v>
      </c>
      <c r="H599" t="s">
        <v>18</v>
      </c>
      <c r="I599" t="s">
        <v>22</v>
      </c>
      <c r="J599">
        <v>137</v>
      </c>
      <c r="K599">
        <v>23</v>
      </c>
      <c r="L599">
        <v>100</v>
      </c>
    </row>
    <row r="600" spans="1:12" x14ac:dyDescent="0.25">
      <c r="A600">
        <v>599</v>
      </c>
      <c r="B600" t="s">
        <v>1035</v>
      </c>
      <c r="C600" t="s">
        <v>1036</v>
      </c>
      <c r="D600" s="1">
        <v>45307.649814814817</v>
      </c>
      <c r="E600" s="1">
        <v>45307.679675925923</v>
      </c>
      <c r="F600">
        <v>970</v>
      </c>
      <c r="G600">
        <v>20</v>
      </c>
      <c r="H600" t="s">
        <v>18</v>
      </c>
      <c r="I600" t="s">
        <v>15</v>
      </c>
      <c r="J600">
        <v>117</v>
      </c>
      <c r="K600">
        <v>25</v>
      </c>
      <c r="L600">
        <v>0</v>
      </c>
    </row>
    <row r="601" spans="1:12" x14ac:dyDescent="0.25">
      <c r="A601">
        <v>600</v>
      </c>
      <c r="B601" t="s">
        <v>1037</v>
      </c>
      <c r="C601" t="s">
        <v>435</v>
      </c>
      <c r="D601" s="1">
        <v>45309.955208333333</v>
      </c>
      <c r="E601" s="1">
        <v>45309.979513888888</v>
      </c>
      <c r="F601">
        <v>767</v>
      </c>
      <c r="G601">
        <v>30</v>
      </c>
      <c r="H601" t="s">
        <v>21</v>
      </c>
      <c r="I601" t="s">
        <v>25</v>
      </c>
      <c r="J601">
        <v>176</v>
      </c>
      <c r="K601">
        <v>42</v>
      </c>
      <c r="L601">
        <v>0</v>
      </c>
    </row>
    <row r="602" spans="1:12" x14ac:dyDescent="0.25">
      <c r="A602">
        <v>601</v>
      </c>
      <c r="B602" t="s">
        <v>1038</v>
      </c>
      <c r="C602" t="s">
        <v>1039</v>
      </c>
      <c r="D602" s="1">
        <v>45303.241296296299</v>
      </c>
      <c r="E602" s="1">
        <v>45303.323240740741</v>
      </c>
      <c r="F602">
        <v>372</v>
      </c>
      <c r="G602">
        <v>0</v>
      </c>
      <c r="H602" t="s">
        <v>14</v>
      </c>
      <c r="I602" t="s">
        <v>22</v>
      </c>
      <c r="J602">
        <v>189</v>
      </c>
      <c r="K602">
        <v>22</v>
      </c>
      <c r="L602">
        <v>0</v>
      </c>
    </row>
    <row r="603" spans="1:12" x14ac:dyDescent="0.25">
      <c r="A603">
        <v>602</v>
      </c>
      <c r="B603" t="s">
        <v>1040</v>
      </c>
      <c r="C603" t="s">
        <v>1041</v>
      </c>
      <c r="D603" s="1">
        <v>45297.365127314813</v>
      </c>
      <c r="E603" s="1">
        <v>45297.401238425926</v>
      </c>
      <c r="F603">
        <v>1129</v>
      </c>
      <c r="G603">
        <v>0</v>
      </c>
      <c r="H603" t="s">
        <v>21</v>
      </c>
      <c r="I603" t="s">
        <v>28</v>
      </c>
      <c r="J603">
        <v>71</v>
      </c>
      <c r="K603">
        <v>47</v>
      </c>
      <c r="L603">
        <v>0</v>
      </c>
    </row>
    <row r="604" spans="1:12" x14ac:dyDescent="0.25">
      <c r="A604">
        <v>603</v>
      </c>
      <c r="B604" t="s">
        <v>1042</v>
      </c>
      <c r="C604" t="s">
        <v>423</v>
      </c>
      <c r="D604" s="1">
        <v>45320.946782407409</v>
      </c>
      <c r="E604" s="1">
        <v>45321.008587962962</v>
      </c>
      <c r="F604">
        <v>1270</v>
      </c>
      <c r="G604">
        <v>20</v>
      </c>
      <c r="H604" t="s">
        <v>14</v>
      </c>
      <c r="I604" t="s">
        <v>22</v>
      </c>
      <c r="J604">
        <v>197</v>
      </c>
      <c r="K604">
        <v>21</v>
      </c>
      <c r="L604">
        <v>0</v>
      </c>
    </row>
    <row r="605" spans="1:12" x14ac:dyDescent="0.25">
      <c r="A605">
        <v>604</v>
      </c>
      <c r="B605" t="s">
        <v>1043</v>
      </c>
      <c r="C605" t="s">
        <v>669</v>
      </c>
      <c r="D605" s="1">
        <v>45305.708865740744</v>
      </c>
      <c r="E605" s="1">
        <v>45305.737337962964</v>
      </c>
      <c r="F605">
        <v>283</v>
      </c>
      <c r="G605">
        <v>40</v>
      </c>
      <c r="H605" t="s">
        <v>14</v>
      </c>
      <c r="I605" t="s">
        <v>22</v>
      </c>
      <c r="J605">
        <v>131</v>
      </c>
      <c r="K605">
        <v>47</v>
      </c>
      <c r="L605">
        <v>150</v>
      </c>
    </row>
    <row r="606" spans="1:12" x14ac:dyDescent="0.25">
      <c r="A606">
        <v>605</v>
      </c>
      <c r="B606" t="s">
        <v>1044</v>
      </c>
      <c r="C606" t="s">
        <v>338</v>
      </c>
      <c r="D606" s="1">
        <v>45307.429861111108</v>
      </c>
      <c r="E606" s="1">
        <v>45307.459027777775</v>
      </c>
      <c r="F606">
        <v>1151</v>
      </c>
      <c r="G606">
        <v>0</v>
      </c>
      <c r="H606" t="s">
        <v>21</v>
      </c>
      <c r="I606" t="s">
        <v>22</v>
      </c>
      <c r="J606">
        <v>178</v>
      </c>
      <c r="K606">
        <v>48</v>
      </c>
      <c r="L606">
        <v>0</v>
      </c>
    </row>
    <row r="607" spans="1:12" x14ac:dyDescent="0.25">
      <c r="A607">
        <v>606</v>
      </c>
      <c r="B607" t="s">
        <v>1045</v>
      </c>
      <c r="C607" t="s">
        <v>1046</v>
      </c>
      <c r="D607" s="1">
        <v>45322.178368055553</v>
      </c>
      <c r="E607" s="1">
        <v>45322.202673611115</v>
      </c>
      <c r="F607">
        <v>1673</v>
      </c>
      <c r="G607">
        <v>0</v>
      </c>
      <c r="H607" t="s">
        <v>14</v>
      </c>
      <c r="I607" s="2">
        <v>0.1</v>
      </c>
      <c r="J607">
        <v>79</v>
      </c>
      <c r="K607">
        <v>42</v>
      </c>
      <c r="L607">
        <v>150</v>
      </c>
    </row>
    <row r="608" spans="1:12" x14ac:dyDescent="0.25">
      <c r="A608">
        <v>607</v>
      </c>
      <c r="B608" t="s">
        <v>1047</v>
      </c>
      <c r="C608" t="s">
        <v>1026</v>
      </c>
      <c r="D608" s="1">
        <v>45311.599988425929</v>
      </c>
      <c r="E608" s="1">
        <v>45311.663877314815</v>
      </c>
      <c r="F608">
        <v>1242</v>
      </c>
      <c r="G608">
        <v>40</v>
      </c>
      <c r="H608" t="s">
        <v>14</v>
      </c>
      <c r="I608" t="s">
        <v>22</v>
      </c>
      <c r="J608">
        <v>175</v>
      </c>
      <c r="K608">
        <v>42</v>
      </c>
      <c r="L608">
        <v>0</v>
      </c>
    </row>
    <row r="609" spans="1:12" x14ac:dyDescent="0.25">
      <c r="A609">
        <v>608</v>
      </c>
      <c r="B609" t="s">
        <v>230</v>
      </c>
      <c r="C609" t="s">
        <v>932</v>
      </c>
      <c r="D609" s="1">
        <v>45313.19321759259</v>
      </c>
      <c r="E609" s="1">
        <v>45313.239745370367</v>
      </c>
      <c r="F609">
        <v>392</v>
      </c>
      <c r="G609">
        <v>20</v>
      </c>
      <c r="H609" t="s">
        <v>21</v>
      </c>
      <c r="I609" t="s">
        <v>22</v>
      </c>
      <c r="J609">
        <v>146</v>
      </c>
      <c r="K609">
        <v>38</v>
      </c>
      <c r="L609">
        <v>0</v>
      </c>
    </row>
    <row r="610" spans="1:12" x14ac:dyDescent="0.25">
      <c r="A610">
        <v>609</v>
      </c>
      <c r="B610" t="s">
        <v>1048</v>
      </c>
      <c r="C610" t="s">
        <v>1049</v>
      </c>
      <c r="D610" s="1">
        <v>45304.260706018518</v>
      </c>
      <c r="E610" s="1">
        <v>45304.315567129626</v>
      </c>
      <c r="F610">
        <v>1494</v>
      </c>
      <c r="G610">
        <v>0</v>
      </c>
      <c r="H610" t="s">
        <v>21</v>
      </c>
      <c r="I610" s="2">
        <v>0.1</v>
      </c>
      <c r="J610">
        <v>73</v>
      </c>
      <c r="K610">
        <v>14</v>
      </c>
      <c r="L610">
        <v>0</v>
      </c>
    </row>
    <row r="611" spans="1:12" x14ac:dyDescent="0.25">
      <c r="A611">
        <v>610</v>
      </c>
      <c r="B611" t="s">
        <v>759</v>
      </c>
      <c r="C611" t="s">
        <v>1050</v>
      </c>
      <c r="D611" s="1">
        <v>45323.545960648145</v>
      </c>
      <c r="E611" s="1">
        <v>45323.602210648147</v>
      </c>
      <c r="F611">
        <v>1367</v>
      </c>
      <c r="G611">
        <v>40</v>
      </c>
      <c r="H611" t="s">
        <v>21</v>
      </c>
      <c r="I611" s="2">
        <v>0.1</v>
      </c>
      <c r="J611">
        <v>63</v>
      </c>
      <c r="K611">
        <v>15</v>
      </c>
      <c r="L611">
        <v>0</v>
      </c>
    </row>
    <row r="612" spans="1:12" x14ac:dyDescent="0.25">
      <c r="A612">
        <v>611</v>
      </c>
      <c r="B612" t="s">
        <v>1051</v>
      </c>
      <c r="C612" t="s">
        <v>1052</v>
      </c>
      <c r="D612" s="1">
        <v>45312.012233796297</v>
      </c>
      <c r="E612" s="1">
        <v>45312.060150462959</v>
      </c>
      <c r="F612">
        <v>1703</v>
      </c>
      <c r="G612">
        <v>0</v>
      </c>
      <c r="H612" t="s">
        <v>14</v>
      </c>
      <c r="I612" t="s">
        <v>28</v>
      </c>
      <c r="J612">
        <v>85</v>
      </c>
      <c r="K612">
        <v>40</v>
      </c>
      <c r="L612">
        <v>100</v>
      </c>
    </row>
    <row r="613" spans="1:12" x14ac:dyDescent="0.25">
      <c r="A613">
        <v>612</v>
      </c>
      <c r="B613" t="s">
        <v>856</v>
      </c>
      <c r="C613" t="s">
        <v>1053</v>
      </c>
      <c r="D613" s="1">
        <v>45314.7265162037</v>
      </c>
      <c r="E613" s="1">
        <v>45314.752210648148</v>
      </c>
      <c r="F613">
        <v>1849</v>
      </c>
      <c r="G613">
        <v>30</v>
      </c>
      <c r="H613" t="s">
        <v>18</v>
      </c>
      <c r="I613" t="s">
        <v>15</v>
      </c>
      <c r="J613">
        <v>73</v>
      </c>
      <c r="K613">
        <v>25</v>
      </c>
      <c r="L613">
        <v>0</v>
      </c>
    </row>
    <row r="614" spans="1:12" x14ac:dyDescent="0.25">
      <c r="A614">
        <v>613</v>
      </c>
      <c r="B614" t="s">
        <v>915</v>
      </c>
      <c r="C614" t="s">
        <v>569</v>
      </c>
      <c r="D614" s="1">
        <v>45307.604247685187</v>
      </c>
      <c r="E614" s="1">
        <v>45307.666747685187</v>
      </c>
      <c r="F614">
        <v>1341</v>
      </c>
      <c r="G614">
        <v>50</v>
      </c>
      <c r="H614" t="s">
        <v>14</v>
      </c>
      <c r="I614" t="s">
        <v>25</v>
      </c>
      <c r="J614">
        <v>144</v>
      </c>
      <c r="K614">
        <v>40</v>
      </c>
      <c r="L614">
        <v>100</v>
      </c>
    </row>
    <row r="615" spans="1:12" x14ac:dyDescent="0.25">
      <c r="A615">
        <v>614</v>
      </c>
      <c r="B615" t="s">
        <v>1054</v>
      </c>
      <c r="C615" t="s">
        <v>1055</v>
      </c>
      <c r="D615" s="1">
        <v>45294.604386574072</v>
      </c>
      <c r="E615" s="1">
        <v>45294.63008101852</v>
      </c>
      <c r="F615">
        <v>276</v>
      </c>
      <c r="G615">
        <v>30</v>
      </c>
      <c r="H615" t="s">
        <v>18</v>
      </c>
      <c r="I615" t="s">
        <v>25</v>
      </c>
      <c r="J615">
        <v>104</v>
      </c>
      <c r="K615">
        <v>34</v>
      </c>
      <c r="L615">
        <v>0</v>
      </c>
    </row>
    <row r="616" spans="1:12" x14ac:dyDescent="0.25">
      <c r="A616">
        <v>615</v>
      </c>
      <c r="B616" t="s">
        <v>1056</v>
      </c>
      <c r="C616" t="s">
        <v>914</v>
      </c>
      <c r="D616" s="1">
        <v>45309.073530092595</v>
      </c>
      <c r="E616" s="1">
        <v>45309.117280092592</v>
      </c>
      <c r="F616">
        <v>1422</v>
      </c>
      <c r="G616">
        <v>0</v>
      </c>
      <c r="H616" t="s">
        <v>21</v>
      </c>
      <c r="I616" t="s">
        <v>22</v>
      </c>
      <c r="J616">
        <v>73</v>
      </c>
      <c r="K616">
        <v>42</v>
      </c>
      <c r="L616">
        <v>0</v>
      </c>
    </row>
    <row r="617" spans="1:12" x14ac:dyDescent="0.25">
      <c r="A617">
        <v>616</v>
      </c>
      <c r="B617" t="s">
        <v>1057</v>
      </c>
      <c r="C617" t="s">
        <v>1013</v>
      </c>
      <c r="D617" s="1">
        <v>45313.484155092592</v>
      </c>
      <c r="E617" s="1">
        <v>45313.559155092589</v>
      </c>
      <c r="F617">
        <v>1799</v>
      </c>
      <c r="G617">
        <v>20</v>
      </c>
      <c r="H617" t="s">
        <v>18</v>
      </c>
      <c r="I617" t="s">
        <v>28</v>
      </c>
      <c r="J617">
        <v>75</v>
      </c>
      <c r="K617">
        <v>22</v>
      </c>
      <c r="L617">
        <v>50</v>
      </c>
    </row>
    <row r="618" spans="1:12" x14ac:dyDescent="0.25">
      <c r="A618">
        <v>617</v>
      </c>
      <c r="B618" t="s">
        <v>1058</v>
      </c>
      <c r="C618" t="s">
        <v>259</v>
      </c>
      <c r="D618" s="1">
        <v>45298.912245370368</v>
      </c>
      <c r="E618" s="1">
        <v>45298.974050925928</v>
      </c>
      <c r="F618">
        <v>157</v>
      </c>
      <c r="G618">
        <v>50</v>
      </c>
      <c r="H618" t="s">
        <v>21</v>
      </c>
      <c r="I618" t="s">
        <v>22</v>
      </c>
      <c r="J618">
        <v>129</v>
      </c>
      <c r="K618">
        <v>19</v>
      </c>
      <c r="L618">
        <v>0</v>
      </c>
    </row>
    <row r="619" spans="1:12" x14ac:dyDescent="0.25">
      <c r="A619">
        <v>618</v>
      </c>
      <c r="B619" t="s">
        <v>1059</v>
      </c>
      <c r="C619" t="s">
        <v>1060</v>
      </c>
      <c r="D619" s="1">
        <v>45301.456620370373</v>
      </c>
      <c r="E619" s="1">
        <v>45301.516342592593</v>
      </c>
      <c r="F619">
        <v>1392</v>
      </c>
      <c r="G619">
        <v>30</v>
      </c>
      <c r="H619" t="s">
        <v>21</v>
      </c>
      <c r="I619" t="s">
        <v>25</v>
      </c>
      <c r="J619">
        <v>114</v>
      </c>
      <c r="K619">
        <v>33</v>
      </c>
      <c r="L619">
        <v>0</v>
      </c>
    </row>
    <row r="620" spans="1:12" x14ac:dyDescent="0.25">
      <c r="A620">
        <v>619</v>
      </c>
      <c r="B620" t="s">
        <v>1061</v>
      </c>
      <c r="C620" t="s">
        <v>170</v>
      </c>
      <c r="D620" s="1">
        <v>45314.985613425924</v>
      </c>
      <c r="E620" s="1">
        <v>45315.03769675926</v>
      </c>
      <c r="F620">
        <v>407</v>
      </c>
      <c r="G620">
        <v>40</v>
      </c>
      <c r="H620" t="s">
        <v>18</v>
      </c>
      <c r="I620" s="2">
        <v>0.1</v>
      </c>
      <c r="J620">
        <v>124</v>
      </c>
      <c r="K620">
        <v>19</v>
      </c>
      <c r="L620">
        <v>100</v>
      </c>
    </row>
    <row r="621" spans="1:12" x14ac:dyDescent="0.25">
      <c r="A621">
        <v>620</v>
      </c>
      <c r="B621" t="s">
        <v>1062</v>
      </c>
      <c r="C621" t="s">
        <v>1063</v>
      </c>
      <c r="D621" s="1">
        <v>45300.32640046296</v>
      </c>
      <c r="E621" s="1">
        <v>45300.361817129633</v>
      </c>
      <c r="F621">
        <v>1693</v>
      </c>
      <c r="G621">
        <v>20</v>
      </c>
      <c r="H621" t="s">
        <v>21</v>
      </c>
      <c r="I621" t="s">
        <v>15</v>
      </c>
      <c r="J621">
        <v>92</v>
      </c>
      <c r="K621">
        <v>50</v>
      </c>
      <c r="L621">
        <v>0</v>
      </c>
    </row>
    <row r="622" spans="1:12" x14ac:dyDescent="0.25">
      <c r="A622">
        <v>621</v>
      </c>
      <c r="B622" t="s">
        <v>1064</v>
      </c>
      <c r="C622" t="s">
        <v>1065</v>
      </c>
      <c r="D622" s="1">
        <v>45316.016435185185</v>
      </c>
      <c r="E622" s="1">
        <v>45316.096990740742</v>
      </c>
      <c r="F622">
        <v>1411</v>
      </c>
      <c r="G622">
        <v>30</v>
      </c>
      <c r="H622" t="s">
        <v>18</v>
      </c>
      <c r="I622" t="s">
        <v>28</v>
      </c>
      <c r="J622">
        <v>78</v>
      </c>
      <c r="K622">
        <v>40</v>
      </c>
      <c r="L622">
        <v>0</v>
      </c>
    </row>
    <row r="623" spans="1:12" x14ac:dyDescent="0.25">
      <c r="A623">
        <v>622</v>
      </c>
      <c r="B623" t="s">
        <v>864</v>
      </c>
      <c r="C623" t="s">
        <v>1066</v>
      </c>
      <c r="D623" s="1">
        <v>45308.528703703705</v>
      </c>
      <c r="E623" s="1">
        <v>45308.576620370368</v>
      </c>
      <c r="F623">
        <v>1076</v>
      </c>
      <c r="G623">
        <v>40</v>
      </c>
      <c r="H623" t="s">
        <v>21</v>
      </c>
      <c r="I623" s="2">
        <v>0.1</v>
      </c>
      <c r="J623">
        <v>130</v>
      </c>
      <c r="K623">
        <v>22</v>
      </c>
      <c r="L623">
        <v>0</v>
      </c>
    </row>
    <row r="624" spans="1:12" x14ac:dyDescent="0.25">
      <c r="A624">
        <v>623</v>
      </c>
      <c r="B624" t="s">
        <v>1067</v>
      </c>
      <c r="C624" t="s">
        <v>730</v>
      </c>
      <c r="D624" s="1">
        <v>45304.753796296296</v>
      </c>
      <c r="E624" s="1">
        <v>45304.805185185185</v>
      </c>
      <c r="F624">
        <v>1228</v>
      </c>
      <c r="G624">
        <v>0</v>
      </c>
      <c r="H624" t="s">
        <v>14</v>
      </c>
      <c r="I624" t="s">
        <v>15</v>
      </c>
      <c r="J624">
        <v>103</v>
      </c>
      <c r="K624">
        <v>12</v>
      </c>
      <c r="L624">
        <v>0</v>
      </c>
    </row>
    <row r="625" spans="1:12" x14ac:dyDescent="0.25">
      <c r="A625">
        <v>624</v>
      </c>
      <c r="B625" t="s">
        <v>1068</v>
      </c>
      <c r="C625" t="s">
        <v>327</v>
      </c>
      <c r="D625" s="1">
        <v>45321.181469907409</v>
      </c>
      <c r="E625" s="1">
        <v>45321.239803240744</v>
      </c>
      <c r="F625">
        <v>1351</v>
      </c>
      <c r="G625">
        <v>40</v>
      </c>
      <c r="H625" t="s">
        <v>14</v>
      </c>
      <c r="I625" t="s">
        <v>28</v>
      </c>
      <c r="J625">
        <v>88</v>
      </c>
      <c r="K625">
        <v>43</v>
      </c>
      <c r="L625">
        <v>0</v>
      </c>
    </row>
    <row r="626" spans="1:12" x14ac:dyDescent="0.25">
      <c r="A626">
        <v>625</v>
      </c>
      <c r="B626" t="s">
        <v>1069</v>
      </c>
      <c r="C626" t="s">
        <v>1070</v>
      </c>
      <c r="D626" s="1">
        <v>45316.309525462966</v>
      </c>
      <c r="E626" s="1">
        <v>45316.365081018521</v>
      </c>
      <c r="F626">
        <v>1370</v>
      </c>
      <c r="G626">
        <v>30</v>
      </c>
      <c r="H626" t="s">
        <v>21</v>
      </c>
      <c r="I626" t="s">
        <v>28</v>
      </c>
      <c r="J626">
        <v>91</v>
      </c>
      <c r="K626">
        <v>37</v>
      </c>
      <c r="L626">
        <v>0</v>
      </c>
    </row>
    <row r="627" spans="1:12" x14ac:dyDescent="0.25">
      <c r="A627">
        <v>626</v>
      </c>
      <c r="B627" t="s">
        <v>1071</v>
      </c>
      <c r="C627" t="s">
        <v>297</v>
      </c>
      <c r="D627" s="1">
        <v>45314.28638888889</v>
      </c>
      <c r="E627" s="1">
        <v>45314.366249999999</v>
      </c>
      <c r="F627">
        <v>799</v>
      </c>
      <c r="G627">
        <v>30</v>
      </c>
      <c r="H627" t="s">
        <v>21</v>
      </c>
      <c r="I627" t="s">
        <v>25</v>
      </c>
      <c r="J627">
        <v>78</v>
      </c>
      <c r="K627">
        <v>28</v>
      </c>
      <c r="L627">
        <v>100</v>
      </c>
    </row>
    <row r="628" spans="1:12" x14ac:dyDescent="0.25">
      <c r="A628">
        <v>627</v>
      </c>
      <c r="B628" t="s">
        <v>1072</v>
      </c>
      <c r="C628" t="s">
        <v>484</v>
      </c>
      <c r="D628" s="1">
        <v>45323.551111111112</v>
      </c>
      <c r="E628" s="1">
        <v>45323.57472222222</v>
      </c>
      <c r="F628">
        <v>1617</v>
      </c>
      <c r="G628">
        <v>0</v>
      </c>
      <c r="H628" t="s">
        <v>18</v>
      </c>
      <c r="I628" s="2">
        <v>0.1</v>
      </c>
      <c r="J628">
        <v>180</v>
      </c>
      <c r="K628">
        <v>32</v>
      </c>
      <c r="L628">
        <v>0</v>
      </c>
    </row>
    <row r="629" spans="1:12" x14ac:dyDescent="0.25">
      <c r="A629">
        <v>628</v>
      </c>
      <c r="B629" t="s">
        <v>1073</v>
      </c>
      <c r="C629" t="s">
        <v>1074</v>
      </c>
      <c r="D629" s="1">
        <v>45306.401493055557</v>
      </c>
      <c r="E629" s="1">
        <v>45306.430659722224</v>
      </c>
      <c r="F629">
        <v>182</v>
      </c>
      <c r="G629">
        <v>40</v>
      </c>
      <c r="H629" t="s">
        <v>14</v>
      </c>
      <c r="I629" t="s">
        <v>28</v>
      </c>
      <c r="J629">
        <v>187</v>
      </c>
      <c r="K629">
        <v>41</v>
      </c>
      <c r="L629">
        <v>100</v>
      </c>
    </row>
    <row r="630" spans="1:12" x14ac:dyDescent="0.25">
      <c r="A630">
        <v>629</v>
      </c>
      <c r="B630" t="s">
        <v>616</v>
      </c>
      <c r="C630" t="s">
        <v>344</v>
      </c>
      <c r="D630" s="1">
        <v>45297.126608796294</v>
      </c>
      <c r="E630" s="1">
        <v>45297.166192129633</v>
      </c>
      <c r="F630">
        <v>1309</v>
      </c>
      <c r="G630">
        <v>40</v>
      </c>
      <c r="H630" t="s">
        <v>18</v>
      </c>
      <c r="I630" t="s">
        <v>28</v>
      </c>
      <c r="J630">
        <v>191</v>
      </c>
      <c r="K630">
        <v>22</v>
      </c>
      <c r="L630">
        <v>0</v>
      </c>
    </row>
    <row r="631" spans="1:12" x14ac:dyDescent="0.25">
      <c r="A631">
        <v>630</v>
      </c>
      <c r="B631" t="s">
        <v>1075</v>
      </c>
      <c r="C631" t="s">
        <v>340</v>
      </c>
      <c r="D631" s="1">
        <v>45304.17832175926</v>
      </c>
      <c r="E631" s="1">
        <v>45304.256793981483</v>
      </c>
      <c r="F631">
        <v>351</v>
      </c>
      <c r="G631">
        <v>0</v>
      </c>
      <c r="H631" t="s">
        <v>21</v>
      </c>
      <c r="I631" t="s">
        <v>15</v>
      </c>
      <c r="J631">
        <v>91</v>
      </c>
      <c r="K631">
        <v>42</v>
      </c>
      <c r="L631">
        <v>100</v>
      </c>
    </row>
    <row r="632" spans="1:12" x14ac:dyDescent="0.25">
      <c r="A632">
        <v>631</v>
      </c>
      <c r="B632" t="s">
        <v>1076</v>
      </c>
      <c r="C632" t="s">
        <v>1077</v>
      </c>
      <c r="D632" s="1">
        <v>45329.997361111113</v>
      </c>
      <c r="E632" s="1">
        <v>45330.073055555556</v>
      </c>
      <c r="F632">
        <v>1478</v>
      </c>
      <c r="G632">
        <v>40</v>
      </c>
      <c r="H632" t="s">
        <v>21</v>
      </c>
      <c r="I632" t="s">
        <v>25</v>
      </c>
      <c r="J632">
        <v>143</v>
      </c>
      <c r="K632">
        <v>43</v>
      </c>
      <c r="L632">
        <v>100</v>
      </c>
    </row>
    <row r="633" spans="1:12" x14ac:dyDescent="0.25">
      <c r="A633">
        <v>632</v>
      </c>
      <c r="B633" t="s">
        <v>1078</v>
      </c>
      <c r="C633" t="s">
        <v>363</v>
      </c>
      <c r="D633" s="1">
        <v>45295.521111111113</v>
      </c>
      <c r="E633" s="1">
        <v>45295.584305555552</v>
      </c>
      <c r="F633">
        <v>1873</v>
      </c>
      <c r="G633">
        <v>0</v>
      </c>
      <c r="H633" t="s">
        <v>18</v>
      </c>
      <c r="I633" t="s">
        <v>22</v>
      </c>
      <c r="J633">
        <v>81</v>
      </c>
      <c r="K633">
        <v>42</v>
      </c>
      <c r="L633">
        <v>0</v>
      </c>
    </row>
    <row r="634" spans="1:12" x14ac:dyDescent="0.25">
      <c r="A634">
        <v>633</v>
      </c>
      <c r="B634" t="s">
        <v>1079</v>
      </c>
      <c r="C634" t="s">
        <v>1080</v>
      </c>
      <c r="D634" s="1">
        <v>45294.548252314817</v>
      </c>
      <c r="E634" s="1">
        <v>45294.628807870373</v>
      </c>
      <c r="F634">
        <v>1995</v>
      </c>
      <c r="G634">
        <v>20</v>
      </c>
      <c r="H634" t="s">
        <v>21</v>
      </c>
      <c r="I634" t="s">
        <v>25</v>
      </c>
      <c r="J634">
        <v>75</v>
      </c>
      <c r="K634">
        <v>14</v>
      </c>
      <c r="L634">
        <v>0</v>
      </c>
    </row>
    <row r="635" spans="1:12" x14ac:dyDescent="0.25">
      <c r="A635">
        <v>634</v>
      </c>
      <c r="B635" t="s">
        <v>1081</v>
      </c>
      <c r="C635" t="s">
        <v>1082</v>
      </c>
      <c r="D635" s="1">
        <v>45323.386493055557</v>
      </c>
      <c r="E635" s="1">
        <v>45323.423298611109</v>
      </c>
      <c r="F635">
        <v>1819</v>
      </c>
      <c r="G635">
        <v>30</v>
      </c>
      <c r="H635" t="s">
        <v>14</v>
      </c>
      <c r="I635" t="s">
        <v>22</v>
      </c>
      <c r="J635">
        <v>164</v>
      </c>
      <c r="K635">
        <v>12</v>
      </c>
      <c r="L635">
        <v>0</v>
      </c>
    </row>
    <row r="636" spans="1:12" x14ac:dyDescent="0.25">
      <c r="A636">
        <v>635</v>
      </c>
      <c r="B636" t="s">
        <v>1083</v>
      </c>
      <c r="C636" t="s">
        <v>106</v>
      </c>
      <c r="D636" s="1">
        <v>45308.9221412037</v>
      </c>
      <c r="E636" s="1">
        <v>45308.947141203702</v>
      </c>
      <c r="F636">
        <v>895</v>
      </c>
      <c r="G636">
        <v>20</v>
      </c>
      <c r="H636" t="s">
        <v>18</v>
      </c>
      <c r="I636" s="2">
        <v>0.1</v>
      </c>
      <c r="J636">
        <v>178</v>
      </c>
      <c r="K636">
        <v>16</v>
      </c>
      <c r="L636">
        <v>0</v>
      </c>
    </row>
    <row r="637" spans="1:12" x14ac:dyDescent="0.25">
      <c r="A637">
        <v>636</v>
      </c>
      <c r="B637" t="s">
        <v>1084</v>
      </c>
      <c r="C637" t="s">
        <v>1085</v>
      </c>
      <c r="D637" s="1">
        <v>45298.399988425925</v>
      </c>
      <c r="E637" s="1">
        <v>45298.446516203701</v>
      </c>
      <c r="F637">
        <v>996</v>
      </c>
      <c r="G637">
        <v>50</v>
      </c>
      <c r="H637" t="s">
        <v>14</v>
      </c>
      <c r="I637" s="2">
        <v>0.1</v>
      </c>
      <c r="J637">
        <v>105</v>
      </c>
      <c r="K637">
        <v>33</v>
      </c>
      <c r="L637">
        <v>0</v>
      </c>
    </row>
    <row r="638" spans="1:12" x14ac:dyDescent="0.25">
      <c r="A638">
        <v>637</v>
      </c>
      <c r="B638" t="s">
        <v>1086</v>
      </c>
      <c r="C638" t="s">
        <v>1087</v>
      </c>
      <c r="D638" s="1">
        <v>45311.625868055555</v>
      </c>
      <c r="E638" s="1">
        <v>45311.671701388892</v>
      </c>
      <c r="F638">
        <v>309</v>
      </c>
      <c r="G638">
        <v>50</v>
      </c>
      <c r="H638" t="s">
        <v>14</v>
      </c>
      <c r="I638" t="s">
        <v>28</v>
      </c>
      <c r="J638">
        <v>171</v>
      </c>
      <c r="K638">
        <v>31</v>
      </c>
      <c r="L638">
        <v>100</v>
      </c>
    </row>
    <row r="639" spans="1:12" x14ac:dyDescent="0.25">
      <c r="A639">
        <v>638</v>
      </c>
      <c r="B639" t="s">
        <v>1088</v>
      </c>
      <c r="C639" t="s">
        <v>1089</v>
      </c>
      <c r="D639" s="1">
        <v>45318.84171296296</v>
      </c>
      <c r="E639" s="1">
        <v>45318.909074074072</v>
      </c>
      <c r="F639">
        <v>915</v>
      </c>
      <c r="G639">
        <v>50</v>
      </c>
      <c r="H639" t="s">
        <v>14</v>
      </c>
      <c r="I639" s="2">
        <v>0.1</v>
      </c>
      <c r="J639">
        <v>155</v>
      </c>
      <c r="K639">
        <v>32</v>
      </c>
      <c r="L639">
        <v>0</v>
      </c>
    </row>
    <row r="640" spans="1:12" x14ac:dyDescent="0.25">
      <c r="A640">
        <v>639</v>
      </c>
      <c r="B640" t="s">
        <v>1090</v>
      </c>
      <c r="C640" t="s">
        <v>1091</v>
      </c>
      <c r="D640" s="1">
        <v>45315.996412037035</v>
      </c>
      <c r="E640" s="1">
        <v>45316.045717592591</v>
      </c>
      <c r="F640">
        <v>1931</v>
      </c>
      <c r="G640">
        <v>0</v>
      </c>
      <c r="H640" t="s">
        <v>18</v>
      </c>
      <c r="I640" t="s">
        <v>28</v>
      </c>
      <c r="J640">
        <v>179</v>
      </c>
      <c r="K640">
        <v>39</v>
      </c>
      <c r="L640">
        <v>50</v>
      </c>
    </row>
    <row r="641" spans="1:12" x14ac:dyDescent="0.25">
      <c r="A641">
        <v>640</v>
      </c>
      <c r="B641" t="s">
        <v>1092</v>
      </c>
      <c r="C641" t="s">
        <v>1093</v>
      </c>
      <c r="D641" s="1">
        <v>45308.648773148147</v>
      </c>
      <c r="E641" s="1">
        <v>45308.728634259256</v>
      </c>
      <c r="F641">
        <v>708</v>
      </c>
      <c r="G641">
        <v>40</v>
      </c>
      <c r="H641" t="s">
        <v>21</v>
      </c>
      <c r="I641" t="s">
        <v>25</v>
      </c>
      <c r="J641">
        <v>130</v>
      </c>
      <c r="K641">
        <v>27</v>
      </c>
      <c r="L641">
        <v>100</v>
      </c>
    </row>
    <row r="642" spans="1:12" x14ac:dyDescent="0.25">
      <c r="A642">
        <v>641</v>
      </c>
      <c r="B642" t="s">
        <v>1094</v>
      </c>
      <c r="C642" t="s">
        <v>156</v>
      </c>
      <c r="D642" s="1">
        <v>45300.661122685182</v>
      </c>
      <c r="E642" s="1">
        <v>45300.684733796297</v>
      </c>
      <c r="F642">
        <v>546</v>
      </c>
      <c r="G642">
        <v>20</v>
      </c>
      <c r="H642" t="s">
        <v>14</v>
      </c>
      <c r="I642" s="2">
        <v>0.1</v>
      </c>
      <c r="J642">
        <v>169</v>
      </c>
      <c r="K642">
        <v>41</v>
      </c>
      <c r="L642">
        <v>150</v>
      </c>
    </row>
    <row r="643" spans="1:12" x14ac:dyDescent="0.25">
      <c r="A643">
        <v>642</v>
      </c>
      <c r="B643" t="s">
        <v>1095</v>
      </c>
      <c r="C643" t="s">
        <v>1096</v>
      </c>
      <c r="D643" s="1">
        <v>45322.160081018519</v>
      </c>
      <c r="E643" s="1">
        <v>45322.224664351852</v>
      </c>
      <c r="F643">
        <v>559</v>
      </c>
      <c r="G643">
        <v>20</v>
      </c>
      <c r="H643" t="s">
        <v>14</v>
      </c>
      <c r="I643" t="s">
        <v>25</v>
      </c>
      <c r="J643">
        <v>101</v>
      </c>
      <c r="K643">
        <v>16</v>
      </c>
      <c r="L643">
        <v>150</v>
      </c>
    </row>
    <row r="644" spans="1:12" x14ac:dyDescent="0.25">
      <c r="A644">
        <v>643</v>
      </c>
      <c r="B644" t="s">
        <v>1097</v>
      </c>
      <c r="C644" t="s">
        <v>386</v>
      </c>
      <c r="D644" s="1">
        <v>45321.154745370368</v>
      </c>
      <c r="E644" s="1">
        <v>45321.209606481483</v>
      </c>
      <c r="F644">
        <v>1067</v>
      </c>
      <c r="G644">
        <v>20</v>
      </c>
      <c r="H644" t="s">
        <v>14</v>
      </c>
      <c r="I644" t="s">
        <v>25</v>
      </c>
      <c r="J644">
        <v>140</v>
      </c>
      <c r="K644">
        <v>42</v>
      </c>
      <c r="L644">
        <v>0</v>
      </c>
    </row>
    <row r="645" spans="1:12" x14ac:dyDescent="0.25">
      <c r="A645">
        <v>644</v>
      </c>
      <c r="B645" t="s">
        <v>1098</v>
      </c>
      <c r="C645" t="s">
        <v>1099</v>
      </c>
      <c r="D645" s="1">
        <v>45311.993148148147</v>
      </c>
      <c r="E645" s="1">
        <v>45312.073703703703</v>
      </c>
      <c r="F645">
        <v>571</v>
      </c>
      <c r="G645">
        <v>20</v>
      </c>
      <c r="H645" t="s">
        <v>21</v>
      </c>
      <c r="I645" s="2">
        <v>0.1</v>
      </c>
      <c r="J645">
        <v>186</v>
      </c>
      <c r="K645">
        <v>14</v>
      </c>
      <c r="L645">
        <v>150</v>
      </c>
    </row>
    <row r="646" spans="1:12" x14ac:dyDescent="0.25">
      <c r="A646">
        <v>645</v>
      </c>
      <c r="B646" t="s">
        <v>1100</v>
      </c>
      <c r="C646" t="s">
        <v>396</v>
      </c>
      <c r="D646" s="1">
        <v>45324.427569444444</v>
      </c>
      <c r="E646" s="1">
        <v>45324.458124999997</v>
      </c>
      <c r="F646">
        <v>1843</v>
      </c>
      <c r="G646">
        <v>50</v>
      </c>
      <c r="H646" t="s">
        <v>21</v>
      </c>
      <c r="I646" t="s">
        <v>25</v>
      </c>
      <c r="J646">
        <v>71</v>
      </c>
      <c r="K646">
        <v>37</v>
      </c>
      <c r="L646">
        <v>0</v>
      </c>
    </row>
    <row r="647" spans="1:12" x14ac:dyDescent="0.25">
      <c r="A647">
        <v>646</v>
      </c>
      <c r="B647" t="s">
        <v>1101</v>
      </c>
      <c r="C647" t="s">
        <v>1102</v>
      </c>
      <c r="D647" s="1">
        <v>45327.743888888886</v>
      </c>
      <c r="E647" s="1">
        <v>45327.814722222225</v>
      </c>
      <c r="F647">
        <v>469</v>
      </c>
      <c r="G647">
        <v>20</v>
      </c>
      <c r="H647" t="s">
        <v>18</v>
      </c>
      <c r="I647" s="2">
        <v>0.1</v>
      </c>
      <c r="J647">
        <v>83</v>
      </c>
      <c r="K647">
        <v>17</v>
      </c>
      <c r="L647">
        <v>0</v>
      </c>
    </row>
    <row r="648" spans="1:12" x14ac:dyDescent="0.25">
      <c r="A648">
        <v>647</v>
      </c>
      <c r="B648" t="s">
        <v>1103</v>
      </c>
      <c r="C648" t="s">
        <v>150</v>
      </c>
      <c r="D648" s="1">
        <v>45304.218460648146</v>
      </c>
      <c r="E648" s="1">
        <v>45304.275405092594</v>
      </c>
      <c r="F648">
        <v>999</v>
      </c>
      <c r="G648">
        <v>40</v>
      </c>
      <c r="H648" t="s">
        <v>21</v>
      </c>
      <c r="I648" s="2">
        <v>0.1</v>
      </c>
      <c r="J648">
        <v>159</v>
      </c>
      <c r="K648">
        <v>24</v>
      </c>
      <c r="L648">
        <v>0</v>
      </c>
    </row>
    <row r="649" spans="1:12" x14ac:dyDescent="0.25">
      <c r="A649">
        <v>648</v>
      </c>
      <c r="B649" t="s">
        <v>1104</v>
      </c>
      <c r="C649" t="s">
        <v>1105</v>
      </c>
      <c r="D649" s="1">
        <v>45313.094328703701</v>
      </c>
      <c r="E649" s="1">
        <v>45313.131828703707</v>
      </c>
      <c r="F649">
        <v>1615</v>
      </c>
      <c r="G649">
        <v>50</v>
      </c>
      <c r="H649" t="s">
        <v>18</v>
      </c>
      <c r="I649" s="2">
        <v>0.1</v>
      </c>
      <c r="J649">
        <v>98</v>
      </c>
      <c r="K649">
        <v>13</v>
      </c>
      <c r="L649">
        <v>0</v>
      </c>
    </row>
    <row r="650" spans="1:12" x14ac:dyDescent="0.25">
      <c r="A650">
        <v>649</v>
      </c>
      <c r="B650" t="s">
        <v>1106</v>
      </c>
      <c r="C650" t="s">
        <v>134</v>
      </c>
      <c r="D650" s="1">
        <v>45322.994583333333</v>
      </c>
      <c r="E650" s="1">
        <v>45323.076527777775</v>
      </c>
      <c r="F650">
        <v>1022</v>
      </c>
      <c r="G650">
        <v>20</v>
      </c>
      <c r="H650" t="s">
        <v>18</v>
      </c>
      <c r="I650" t="s">
        <v>22</v>
      </c>
      <c r="J650">
        <v>178</v>
      </c>
      <c r="K650">
        <v>43</v>
      </c>
      <c r="L650">
        <v>0</v>
      </c>
    </row>
    <row r="651" spans="1:12" x14ac:dyDescent="0.25">
      <c r="A651">
        <v>650</v>
      </c>
      <c r="B651" t="s">
        <v>1107</v>
      </c>
      <c r="C651" t="s">
        <v>271</v>
      </c>
      <c r="D651" s="1">
        <v>45329.528356481482</v>
      </c>
      <c r="E651" s="1">
        <v>45329.607523148145</v>
      </c>
      <c r="F651">
        <v>236</v>
      </c>
      <c r="G651">
        <v>0</v>
      </c>
      <c r="H651" t="s">
        <v>18</v>
      </c>
      <c r="I651" t="s">
        <v>25</v>
      </c>
      <c r="J651">
        <v>122</v>
      </c>
      <c r="K651">
        <v>14</v>
      </c>
      <c r="L651">
        <v>50</v>
      </c>
    </row>
    <row r="652" spans="1:12" x14ac:dyDescent="0.25">
      <c r="A652">
        <v>651</v>
      </c>
      <c r="B652" t="s">
        <v>1108</v>
      </c>
      <c r="C652" t="s">
        <v>1109</v>
      </c>
      <c r="D652" s="1">
        <v>45303.171157407407</v>
      </c>
      <c r="E652" s="1">
        <v>45303.197546296295</v>
      </c>
      <c r="F652">
        <v>466</v>
      </c>
      <c r="G652">
        <v>30</v>
      </c>
      <c r="H652" t="s">
        <v>18</v>
      </c>
      <c r="I652" t="s">
        <v>15</v>
      </c>
      <c r="J652">
        <v>133</v>
      </c>
      <c r="K652">
        <v>42</v>
      </c>
      <c r="L652">
        <v>0</v>
      </c>
    </row>
    <row r="653" spans="1:12" x14ac:dyDescent="0.25">
      <c r="A653">
        <v>652</v>
      </c>
      <c r="B653" t="s">
        <v>1110</v>
      </c>
      <c r="C653" t="s">
        <v>1111</v>
      </c>
      <c r="D653" s="1">
        <v>45298.416655092595</v>
      </c>
      <c r="E653" s="1">
        <v>45298.463182870371</v>
      </c>
      <c r="F653">
        <v>1011</v>
      </c>
      <c r="G653">
        <v>30</v>
      </c>
      <c r="H653" t="s">
        <v>18</v>
      </c>
      <c r="I653" s="2">
        <v>0.1</v>
      </c>
      <c r="J653">
        <v>102</v>
      </c>
      <c r="K653">
        <v>14</v>
      </c>
      <c r="L653">
        <v>150</v>
      </c>
    </row>
    <row r="654" spans="1:12" x14ac:dyDescent="0.25">
      <c r="A654">
        <v>653</v>
      </c>
      <c r="B654" t="s">
        <v>1112</v>
      </c>
      <c r="C654" t="s">
        <v>325</v>
      </c>
      <c r="D654" s="1">
        <v>45317.012592592589</v>
      </c>
      <c r="E654" s="1">
        <v>45317.048009259262</v>
      </c>
      <c r="F654">
        <v>283</v>
      </c>
      <c r="G654">
        <v>30</v>
      </c>
      <c r="H654" t="s">
        <v>14</v>
      </c>
      <c r="I654" t="s">
        <v>25</v>
      </c>
      <c r="J654">
        <v>149</v>
      </c>
      <c r="K654">
        <v>47</v>
      </c>
      <c r="L654">
        <v>0</v>
      </c>
    </row>
    <row r="655" spans="1:12" x14ac:dyDescent="0.25">
      <c r="A655">
        <v>654</v>
      </c>
      <c r="B655" t="s">
        <v>1113</v>
      </c>
      <c r="C655" t="s">
        <v>1114</v>
      </c>
      <c r="D655" s="1">
        <v>45318.857453703706</v>
      </c>
      <c r="E655" s="1">
        <v>45318.938009259262</v>
      </c>
      <c r="F655">
        <v>1711</v>
      </c>
      <c r="G655">
        <v>50</v>
      </c>
      <c r="H655" t="s">
        <v>21</v>
      </c>
      <c r="I655" t="s">
        <v>28</v>
      </c>
      <c r="J655">
        <v>173</v>
      </c>
      <c r="K655">
        <v>43</v>
      </c>
      <c r="L655">
        <v>0</v>
      </c>
    </row>
    <row r="656" spans="1:12" x14ac:dyDescent="0.25">
      <c r="A656">
        <v>655</v>
      </c>
      <c r="B656" t="s">
        <v>43</v>
      </c>
      <c r="C656" t="s">
        <v>1115</v>
      </c>
      <c r="D656" s="1">
        <v>45324.673472222225</v>
      </c>
      <c r="E656" s="1">
        <v>45324.727638888886</v>
      </c>
      <c r="F656">
        <v>1410</v>
      </c>
      <c r="G656">
        <v>20</v>
      </c>
      <c r="H656" t="s">
        <v>14</v>
      </c>
      <c r="I656" s="2">
        <v>0.1</v>
      </c>
      <c r="J656">
        <v>94</v>
      </c>
      <c r="K656">
        <v>35</v>
      </c>
      <c r="L656">
        <v>0</v>
      </c>
    </row>
    <row r="657" spans="1:12" x14ac:dyDescent="0.25">
      <c r="A657">
        <v>656</v>
      </c>
      <c r="B657" t="s">
        <v>1116</v>
      </c>
      <c r="C657" t="s">
        <v>1117</v>
      </c>
      <c r="D657" s="1">
        <v>45297.642476851855</v>
      </c>
      <c r="E657" s="1">
        <v>45297.709837962961</v>
      </c>
      <c r="F657">
        <v>571</v>
      </c>
      <c r="G657">
        <v>50</v>
      </c>
      <c r="H657" t="s">
        <v>18</v>
      </c>
      <c r="I657" s="2">
        <v>0.1</v>
      </c>
      <c r="J657">
        <v>186</v>
      </c>
      <c r="K657">
        <v>10</v>
      </c>
      <c r="L657">
        <v>0</v>
      </c>
    </row>
    <row r="658" spans="1:12" x14ac:dyDescent="0.25">
      <c r="A658">
        <v>657</v>
      </c>
      <c r="B658" t="s">
        <v>1118</v>
      </c>
      <c r="C658" t="s">
        <v>1119</v>
      </c>
      <c r="D658" s="1">
        <v>45317.007893518516</v>
      </c>
      <c r="E658" s="1">
        <v>45317.038449074076</v>
      </c>
      <c r="F658">
        <v>1498</v>
      </c>
      <c r="G658">
        <v>40</v>
      </c>
      <c r="H658" t="s">
        <v>21</v>
      </c>
      <c r="I658" t="s">
        <v>15</v>
      </c>
      <c r="J658">
        <v>154</v>
      </c>
      <c r="K658">
        <v>13</v>
      </c>
      <c r="L658">
        <v>0</v>
      </c>
    </row>
    <row r="659" spans="1:12" x14ac:dyDescent="0.25">
      <c r="A659">
        <v>658</v>
      </c>
      <c r="B659" t="s">
        <v>1120</v>
      </c>
      <c r="C659" t="s">
        <v>1121</v>
      </c>
      <c r="D659" s="1">
        <v>45310.529467592591</v>
      </c>
      <c r="E659" s="1">
        <v>45310.59474537037</v>
      </c>
      <c r="F659">
        <v>753</v>
      </c>
      <c r="G659">
        <v>0</v>
      </c>
      <c r="H659" t="s">
        <v>14</v>
      </c>
      <c r="I659" t="s">
        <v>22</v>
      </c>
      <c r="J659">
        <v>199</v>
      </c>
      <c r="K659">
        <v>48</v>
      </c>
      <c r="L659">
        <v>0</v>
      </c>
    </row>
    <row r="660" spans="1:12" x14ac:dyDescent="0.25">
      <c r="A660">
        <v>659</v>
      </c>
      <c r="B660" t="s">
        <v>1122</v>
      </c>
      <c r="C660" t="s">
        <v>1123</v>
      </c>
      <c r="D660" s="1">
        <v>45311.373599537037</v>
      </c>
      <c r="E660" s="1">
        <v>45311.431238425925</v>
      </c>
      <c r="F660">
        <v>848</v>
      </c>
      <c r="G660">
        <v>0</v>
      </c>
      <c r="H660" t="s">
        <v>14</v>
      </c>
      <c r="I660" t="s">
        <v>22</v>
      </c>
      <c r="J660">
        <v>195</v>
      </c>
      <c r="K660">
        <v>35</v>
      </c>
      <c r="L660">
        <v>0</v>
      </c>
    </row>
    <row r="661" spans="1:12" x14ac:dyDescent="0.25">
      <c r="A661">
        <v>660</v>
      </c>
      <c r="B661" t="s">
        <v>1124</v>
      </c>
      <c r="C661" t="s">
        <v>68</v>
      </c>
      <c r="D661" s="1">
        <v>45312.610555555555</v>
      </c>
      <c r="E661" s="1">
        <v>45312.65152777778</v>
      </c>
      <c r="F661">
        <v>636</v>
      </c>
      <c r="G661">
        <v>30</v>
      </c>
      <c r="H661" t="s">
        <v>18</v>
      </c>
      <c r="I661" s="2">
        <v>0.1</v>
      </c>
      <c r="J661">
        <v>155</v>
      </c>
      <c r="K661">
        <v>42</v>
      </c>
      <c r="L661">
        <v>0</v>
      </c>
    </row>
    <row r="662" spans="1:12" x14ac:dyDescent="0.25">
      <c r="A662">
        <v>661</v>
      </c>
      <c r="B662" t="s">
        <v>1125</v>
      </c>
      <c r="C662" t="s">
        <v>548</v>
      </c>
      <c r="D662" s="1">
        <v>45314.205972222226</v>
      </c>
      <c r="E662" s="1">
        <v>45314.239999999998</v>
      </c>
      <c r="F662">
        <v>1634</v>
      </c>
      <c r="G662">
        <v>30</v>
      </c>
      <c r="H662" t="s">
        <v>14</v>
      </c>
      <c r="I662" t="s">
        <v>25</v>
      </c>
      <c r="J662">
        <v>92</v>
      </c>
      <c r="K662">
        <v>42</v>
      </c>
      <c r="L662">
        <v>0</v>
      </c>
    </row>
    <row r="663" spans="1:12" x14ac:dyDescent="0.25">
      <c r="A663">
        <v>662</v>
      </c>
      <c r="B663" t="s">
        <v>1126</v>
      </c>
      <c r="C663" t="s">
        <v>437</v>
      </c>
      <c r="D663" s="1">
        <v>45302.124675925923</v>
      </c>
      <c r="E663" s="1">
        <v>45302.167731481481</v>
      </c>
      <c r="F663">
        <v>901</v>
      </c>
      <c r="G663">
        <v>30</v>
      </c>
      <c r="H663" t="s">
        <v>14</v>
      </c>
      <c r="I663" t="s">
        <v>28</v>
      </c>
      <c r="J663">
        <v>183</v>
      </c>
      <c r="K663">
        <v>17</v>
      </c>
      <c r="L663">
        <v>0</v>
      </c>
    </row>
    <row r="664" spans="1:12" x14ac:dyDescent="0.25">
      <c r="A664">
        <v>663</v>
      </c>
      <c r="B664" t="s">
        <v>1127</v>
      </c>
      <c r="C664" t="s">
        <v>1128</v>
      </c>
      <c r="D664" s="1">
        <v>45327.411030092589</v>
      </c>
      <c r="E664" s="1">
        <v>45327.490891203706</v>
      </c>
      <c r="F664">
        <v>1702</v>
      </c>
      <c r="G664">
        <v>20</v>
      </c>
      <c r="H664" t="s">
        <v>14</v>
      </c>
      <c r="I664" t="s">
        <v>28</v>
      </c>
      <c r="J664">
        <v>97</v>
      </c>
      <c r="K664">
        <v>29</v>
      </c>
      <c r="L664">
        <v>0</v>
      </c>
    </row>
    <row r="665" spans="1:12" x14ac:dyDescent="0.25">
      <c r="A665">
        <v>664</v>
      </c>
      <c r="B665" t="s">
        <v>1129</v>
      </c>
      <c r="C665" t="s">
        <v>882</v>
      </c>
      <c r="D665" s="1">
        <v>45293.634421296294</v>
      </c>
      <c r="E665" s="1">
        <v>45293.708032407405</v>
      </c>
      <c r="F665">
        <v>1373</v>
      </c>
      <c r="G665">
        <v>40</v>
      </c>
      <c r="H665" t="s">
        <v>14</v>
      </c>
      <c r="I665" t="s">
        <v>25</v>
      </c>
      <c r="J665">
        <v>175</v>
      </c>
      <c r="K665">
        <v>25</v>
      </c>
      <c r="L665">
        <v>0</v>
      </c>
    </row>
    <row r="666" spans="1:12" x14ac:dyDescent="0.25">
      <c r="A666">
        <v>665</v>
      </c>
      <c r="B666" t="s">
        <v>1130</v>
      </c>
      <c r="C666" t="s">
        <v>156</v>
      </c>
      <c r="D666" s="1">
        <v>45323.672372685185</v>
      </c>
      <c r="E666" s="1">
        <v>45323.697372685187</v>
      </c>
      <c r="F666">
        <v>1019</v>
      </c>
      <c r="G666">
        <v>40</v>
      </c>
      <c r="H666" t="s">
        <v>14</v>
      </c>
      <c r="I666" s="2">
        <v>0.1</v>
      </c>
      <c r="J666">
        <v>56</v>
      </c>
      <c r="K666">
        <v>30</v>
      </c>
      <c r="L666">
        <v>0</v>
      </c>
    </row>
    <row r="667" spans="1:12" x14ac:dyDescent="0.25">
      <c r="A667">
        <v>666</v>
      </c>
      <c r="B667" t="s">
        <v>1131</v>
      </c>
      <c r="C667" t="s">
        <v>640</v>
      </c>
      <c r="D667" s="1">
        <v>45310.764108796298</v>
      </c>
      <c r="E667" s="1">
        <v>45310.789803240739</v>
      </c>
      <c r="F667">
        <v>609</v>
      </c>
      <c r="G667">
        <v>40</v>
      </c>
      <c r="H667" t="s">
        <v>18</v>
      </c>
      <c r="I667" t="s">
        <v>28</v>
      </c>
      <c r="J667">
        <v>65</v>
      </c>
      <c r="K667">
        <v>35</v>
      </c>
      <c r="L667">
        <v>0</v>
      </c>
    </row>
    <row r="668" spans="1:12" x14ac:dyDescent="0.25">
      <c r="A668">
        <v>667</v>
      </c>
      <c r="B668" t="s">
        <v>1132</v>
      </c>
      <c r="C668" t="s">
        <v>1133</v>
      </c>
      <c r="D668" s="1">
        <v>45296.665300925924</v>
      </c>
      <c r="E668" s="1">
        <v>45296.704884259256</v>
      </c>
      <c r="F668">
        <v>729</v>
      </c>
      <c r="G668">
        <v>40</v>
      </c>
      <c r="H668" t="s">
        <v>18</v>
      </c>
      <c r="I668" t="s">
        <v>22</v>
      </c>
      <c r="J668">
        <v>178</v>
      </c>
      <c r="K668">
        <v>32</v>
      </c>
      <c r="L668">
        <v>0</v>
      </c>
    </row>
    <row r="669" spans="1:12" x14ac:dyDescent="0.25">
      <c r="A669">
        <v>668</v>
      </c>
      <c r="B669" t="s">
        <v>1134</v>
      </c>
      <c r="C669" t="s">
        <v>828</v>
      </c>
      <c r="D669" s="1">
        <v>45294.327997685185</v>
      </c>
      <c r="E669" s="1">
        <v>45294.379386574074</v>
      </c>
      <c r="F669">
        <v>1101</v>
      </c>
      <c r="G669">
        <v>30</v>
      </c>
      <c r="H669" t="s">
        <v>14</v>
      </c>
      <c r="I669" t="s">
        <v>25</v>
      </c>
      <c r="J669">
        <v>164</v>
      </c>
      <c r="K669">
        <v>27</v>
      </c>
      <c r="L669">
        <v>0</v>
      </c>
    </row>
    <row r="670" spans="1:12" x14ac:dyDescent="0.25">
      <c r="A670">
        <v>669</v>
      </c>
      <c r="B670" t="s">
        <v>1135</v>
      </c>
      <c r="C670" t="s">
        <v>647</v>
      </c>
      <c r="D670" s="1">
        <v>45303.903865740744</v>
      </c>
      <c r="E670" s="1">
        <v>45303.974699074075</v>
      </c>
      <c r="F670">
        <v>1196</v>
      </c>
      <c r="G670">
        <v>0</v>
      </c>
      <c r="H670" t="s">
        <v>18</v>
      </c>
      <c r="I670" t="s">
        <v>15</v>
      </c>
      <c r="J670">
        <v>86</v>
      </c>
      <c r="K670">
        <v>40</v>
      </c>
      <c r="L670">
        <v>0</v>
      </c>
    </row>
    <row r="671" spans="1:12" x14ac:dyDescent="0.25">
      <c r="A671">
        <v>670</v>
      </c>
      <c r="B671" t="s">
        <v>1136</v>
      </c>
      <c r="C671" t="s">
        <v>545</v>
      </c>
      <c r="D671" s="1">
        <v>45303.820810185185</v>
      </c>
      <c r="E671" s="1">
        <v>45303.902754629627</v>
      </c>
      <c r="F671">
        <v>1405</v>
      </c>
      <c r="G671">
        <v>30</v>
      </c>
      <c r="H671" t="s">
        <v>18</v>
      </c>
      <c r="I671" s="2">
        <v>0.1</v>
      </c>
      <c r="J671">
        <v>174</v>
      </c>
      <c r="K671">
        <v>21</v>
      </c>
      <c r="L671">
        <v>0</v>
      </c>
    </row>
    <row r="672" spans="1:12" x14ac:dyDescent="0.25">
      <c r="A672">
        <v>671</v>
      </c>
      <c r="B672" t="s">
        <v>1137</v>
      </c>
      <c r="C672" t="s">
        <v>465</v>
      </c>
      <c r="D672" s="1">
        <v>45323.792430555557</v>
      </c>
      <c r="E672" s="1">
        <v>45323.868125000001</v>
      </c>
      <c r="F672">
        <v>1015</v>
      </c>
      <c r="G672">
        <v>40</v>
      </c>
      <c r="H672" t="s">
        <v>21</v>
      </c>
      <c r="I672" t="s">
        <v>25</v>
      </c>
      <c r="J672">
        <v>130</v>
      </c>
      <c r="K672">
        <v>10</v>
      </c>
      <c r="L672">
        <v>0</v>
      </c>
    </row>
    <row r="673" spans="1:12" x14ac:dyDescent="0.25">
      <c r="A673">
        <v>672</v>
      </c>
      <c r="B673" t="s">
        <v>1138</v>
      </c>
      <c r="C673" t="s">
        <v>1139</v>
      </c>
      <c r="D673" s="1">
        <v>45323.081793981481</v>
      </c>
      <c r="E673" s="1">
        <v>45323.153321759259</v>
      </c>
      <c r="F673">
        <v>1483</v>
      </c>
      <c r="G673">
        <v>30</v>
      </c>
      <c r="H673" t="s">
        <v>14</v>
      </c>
      <c r="I673" t="s">
        <v>28</v>
      </c>
      <c r="J673">
        <v>111</v>
      </c>
      <c r="K673">
        <v>18</v>
      </c>
      <c r="L673">
        <v>0</v>
      </c>
    </row>
    <row r="674" spans="1:12" x14ac:dyDescent="0.25">
      <c r="A674">
        <v>673</v>
      </c>
      <c r="B674" t="s">
        <v>1140</v>
      </c>
      <c r="C674" t="s">
        <v>1141</v>
      </c>
      <c r="D674" s="1">
        <v>45309.357615740744</v>
      </c>
      <c r="E674" s="1">
        <v>45309.385393518518</v>
      </c>
      <c r="F674">
        <v>1133</v>
      </c>
      <c r="G674">
        <v>40</v>
      </c>
      <c r="H674" t="s">
        <v>18</v>
      </c>
      <c r="I674" s="2">
        <v>0.1</v>
      </c>
      <c r="J674">
        <v>121</v>
      </c>
      <c r="K674">
        <v>12</v>
      </c>
      <c r="L674">
        <v>0</v>
      </c>
    </row>
    <row r="675" spans="1:12" x14ac:dyDescent="0.25">
      <c r="A675">
        <v>674</v>
      </c>
      <c r="B675" t="s">
        <v>1142</v>
      </c>
      <c r="C675" t="s">
        <v>1143</v>
      </c>
      <c r="D675" s="1">
        <v>45305.979004629633</v>
      </c>
      <c r="E675" s="1">
        <v>45306.020671296297</v>
      </c>
      <c r="F675">
        <v>1334</v>
      </c>
      <c r="G675">
        <v>50</v>
      </c>
      <c r="H675" t="s">
        <v>18</v>
      </c>
      <c r="I675" t="s">
        <v>22</v>
      </c>
      <c r="J675">
        <v>174</v>
      </c>
      <c r="K675">
        <v>35</v>
      </c>
      <c r="L675">
        <v>0</v>
      </c>
    </row>
    <row r="676" spans="1:12" x14ac:dyDescent="0.25">
      <c r="A676">
        <v>675</v>
      </c>
      <c r="B676" t="s">
        <v>1144</v>
      </c>
      <c r="C676" t="s">
        <v>1145</v>
      </c>
      <c r="D676" s="1">
        <v>45293.071770833332</v>
      </c>
      <c r="E676" s="1">
        <v>45293.100243055553</v>
      </c>
      <c r="F676">
        <v>1958</v>
      </c>
      <c r="G676">
        <v>0</v>
      </c>
      <c r="H676" t="s">
        <v>14</v>
      </c>
      <c r="I676" s="2">
        <v>0.1</v>
      </c>
      <c r="J676">
        <v>115</v>
      </c>
      <c r="K676">
        <v>18</v>
      </c>
      <c r="L676">
        <v>100</v>
      </c>
    </row>
    <row r="677" spans="1:12" x14ac:dyDescent="0.25">
      <c r="A677">
        <v>676</v>
      </c>
      <c r="B677" t="s">
        <v>1146</v>
      </c>
      <c r="C677" t="s">
        <v>279</v>
      </c>
      <c r="D677" s="1">
        <v>45328.755601851852</v>
      </c>
      <c r="E677" s="1">
        <v>45328.829907407409</v>
      </c>
      <c r="F677">
        <v>251</v>
      </c>
      <c r="G677">
        <v>50</v>
      </c>
      <c r="H677" t="s">
        <v>21</v>
      </c>
      <c r="I677" s="2">
        <v>0.1</v>
      </c>
      <c r="J677">
        <v>79</v>
      </c>
      <c r="K677">
        <v>25</v>
      </c>
      <c r="L677">
        <v>0</v>
      </c>
    </row>
    <row r="678" spans="1:12" x14ac:dyDescent="0.25">
      <c r="A678">
        <v>677</v>
      </c>
      <c r="B678" t="s">
        <v>1147</v>
      </c>
      <c r="C678" t="s">
        <v>1148</v>
      </c>
      <c r="D678" s="1">
        <v>45299.281076388892</v>
      </c>
      <c r="E678" s="1">
        <v>45299.336631944447</v>
      </c>
      <c r="F678">
        <v>1128</v>
      </c>
      <c r="G678">
        <v>20</v>
      </c>
      <c r="H678" t="s">
        <v>14</v>
      </c>
      <c r="I678" t="s">
        <v>22</v>
      </c>
      <c r="J678">
        <v>69</v>
      </c>
      <c r="K678">
        <v>33</v>
      </c>
      <c r="L678">
        <v>0</v>
      </c>
    </row>
    <row r="679" spans="1:12" x14ac:dyDescent="0.25">
      <c r="A679">
        <v>678</v>
      </c>
      <c r="B679" t="s">
        <v>1149</v>
      </c>
      <c r="C679" t="s">
        <v>27</v>
      </c>
      <c r="D679" s="1">
        <v>45314.684317129628</v>
      </c>
      <c r="E679" s="1">
        <v>45314.735011574077</v>
      </c>
      <c r="F679">
        <v>1318</v>
      </c>
      <c r="G679">
        <v>30</v>
      </c>
      <c r="H679" t="s">
        <v>21</v>
      </c>
      <c r="I679" t="s">
        <v>22</v>
      </c>
      <c r="J679">
        <v>131</v>
      </c>
      <c r="K679">
        <v>23</v>
      </c>
      <c r="L679">
        <v>0</v>
      </c>
    </row>
    <row r="680" spans="1:12" x14ac:dyDescent="0.25">
      <c r="A680">
        <v>679</v>
      </c>
      <c r="B680" t="s">
        <v>1150</v>
      </c>
      <c r="C680" t="s">
        <v>357</v>
      </c>
      <c r="D680" s="1">
        <v>45326.836655092593</v>
      </c>
      <c r="E680" s="1">
        <v>45326.891516203701</v>
      </c>
      <c r="F680">
        <v>1406</v>
      </c>
      <c r="G680">
        <v>20</v>
      </c>
      <c r="H680" t="s">
        <v>14</v>
      </c>
      <c r="I680" s="2">
        <v>0.1</v>
      </c>
      <c r="J680">
        <v>156</v>
      </c>
      <c r="K680">
        <v>12</v>
      </c>
      <c r="L680">
        <v>100</v>
      </c>
    </row>
    <row r="681" spans="1:12" x14ac:dyDescent="0.25">
      <c r="A681">
        <v>680</v>
      </c>
      <c r="B681" t="s">
        <v>1151</v>
      </c>
      <c r="C681" t="s">
        <v>1093</v>
      </c>
      <c r="D681" s="1">
        <v>45309.570451388892</v>
      </c>
      <c r="E681" s="1">
        <v>45309.602395833332</v>
      </c>
      <c r="F681">
        <v>563</v>
      </c>
      <c r="G681">
        <v>30</v>
      </c>
      <c r="H681" t="s">
        <v>14</v>
      </c>
      <c r="I681" t="s">
        <v>22</v>
      </c>
      <c r="J681">
        <v>181</v>
      </c>
      <c r="K681">
        <v>43</v>
      </c>
      <c r="L681">
        <v>0</v>
      </c>
    </row>
    <row r="682" spans="1:12" x14ac:dyDescent="0.25">
      <c r="A682">
        <v>681</v>
      </c>
      <c r="B682" t="s">
        <v>1152</v>
      </c>
      <c r="C682" t="s">
        <v>1153</v>
      </c>
      <c r="D682" s="1">
        <v>45311.784432870372</v>
      </c>
      <c r="E682" s="1">
        <v>45311.828877314816</v>
      </c>
      <c r="F682">
        <v>1236</v>
      </c>
      <c r="G682">
        <v>50</v>
      </c>
      <c r="H682" t="s">
        <v>14</v>
      </c>
      <c r="I682" t="s">
        <v>25</v>
      </c>
      <c r="J682">
        <v>86</v>
      </c>
      <c r="K682">
        <v>42</v>
      </c>
      <c r="L682">
        <v>0</v>
      </c>
    </row>
    <row r="683" spans="1:12" x14ac:dyDescent="0.25">
      <c r="A683">
        <v>682</v>
      </c>
      <c r="B683" t="s">
        <v>1154</v>
      </c>
      <c r="C683" t="s">
        <v>1155</v>
      </c>
      <c r="D683" s="1">
        <v>45315.30232638889</v>
      </c>
      <c r="E683" s="1">
        <v>45315.323159722226</v>
      </c>
      <c r="F683">
        <v>370</v>
      </c>
      <c r="G683">
        <v>40</v>
      </c>
      <c r="H683" t="s">
        <v>14</v>
      </c>
      <c r="I683" t="s">
        <v>22</v>
      </c>
      <c r="J683">
        <v>181</v>
      </c>
      <c r="K683">
        <v>33</v>
      </c>
      <c r="L683">
        <v>0</v>
      </c>
    </row>
    <row r="684" spans="1:12" x14ac:dyDescent="0.25">
      <c r="A684">
        <v>683</v>
      </c>
      <c r="B684" t="s">
        <v>1156</v>
      </c>
      <c r="C684" t="s">
        <v>1080</v>
      </c>
      <c r="D684" s="1">
        <v>45313.730798611112</v>
      </c>
      <c r="E684" s="1">
        <v>45313.77107638889</v>
      </c>
      <c r="F684">
        <v>1286</v>
      </c>
      <c r="G684">
        <v>40</v>
      </c>
      <c r="H684" t="s">
        <v>21</v>
      </c>
      <c r="I684" t="s">
        <v>22</v>
      </c>
      <c r="J684">
        <v>126</v>
      </c>
      <c r="K684">
        <v>18</v>
      </c>
      <c r="L684">
        <v>0</v>
      </c>
    </row>
    <row r="685" spans="1:12" x14ac:dyDescent="0.25">
      <c r="A685">
        <v>684</v>
      </c>
      <c r="B685" t="s">
        <v>1157</v>
      </c>
      <c r="C685" t="s">
        <v>1121</v>
      </c>
      <c r="D685" s="1">
        <v>45321.150902777779</v>
      </c>
      <c r="E685" s="1">
        <v>45321.206458333334</v>
      </c>
      <c r="F685">
        <v>559</v>
      </c>
      <c r="G685">
        <v>30</v>
      </c>
      <c r="H685" t="s">
        <v>21</v>
      </c>
      <c r="I685" s="2">
        <v>0.1</v>
      </c>
      <c r="J685">
        <v>138</v>
      </c>
      <c r="K685">
        <v>22</v>
      </c>
      <c r="L685">
        <v>50</v>
      </c>
    </row>
    <row r="686" spans="1:12" x14ac:dyDescent="0.25">
      <c r="A686">
        <v>685</v>
      </c>
      <c r="B686" t="s">
        <v>1158</v>
      </c>
      <c r="C686" t="s">
        <v>1159</v>
      </c>
      <c r="D686" s="1">
        <v>45298.980358796296</v>
      </c>
      <c r="E686" s="1">
        <v>45299.044942129629</v>
      </c>
      <c r="F686">
        <v>204</v>
      </c>
      <c r="G686">
        <v>40</v>
      </c>
      <c r="H686" t="s">
        <v>18</v>
      </c>
      <c r="I686" t="s">
        <v>25</v>
      </c>
      <c r="J686">
        <v>195</v>
      </c>
      <c r="K686">
        <v>11</v>
      </c>
      <c r="L686">
        <v>0</v>
      </c>
    </row>
    <row r="687" spans="1:12" x14ac:dyDescent="0.25">
      <c r="A687">
        <v>686</v>
      </c>
      <c r="B687" t="s">
        <v>1160</v>
      </c>
      <c r="C687" t="s">
        <v>178</v>
      </c>
      <c r="D687" s="1">
        <v>45292.454618055555</v>
      </c>
      <c r="E687" s="1">
        <v>45292.477534722224</v>
      </c>
      <c r="F687">
        <v>1816</v>
      </c>
      <c r="G687">
        <v>50</v>
      </c>
      <c r="H687" t="s">
        <v>14</v>
      </c>
      <c r="I687" t="s">
        <v>15</v>
      </c>
      <c r="J687">
        <v>137</v>
      </c>
      <c r="K687">
        <v>16</v>
      </c>
      <c r="L687">
        <v>0</v>
      </c>
    </row>
    <row r="688" spans="1:12" x14ac:dyDescent="0.25">
      <c r="A688">
        <v>687</v>
      </c>
      <c r="B688" t="s">
        <v>1161</v>
      </c>
      <c r="C688" t="s">
        <v>430</v>
      </c>
      <c r="D688" s="1">
        <v>45296.304756944446</v>
      </c>
      <c r="E688" s="1">
        <v>45296.385312500002</v>
      </c>
      <c r="F688">
        <v>1679</v>
      </c>
      <c r="G688">
        <v>40</v>
      </c>
      <c r="H688" t="s">
        <v>21</v>
      </c>
      <c r="I688" t="s">
        <v>15</v>
      </c>
      <c r="J688">
        <v>82</v>
      </c>
      <c r="K688">
        <v>30</v>
      </c>
      <c r="L688">
        <v>0</v>
      </c>
    </row>
    <row r="689" spans="1:12" x14ac:dyDescent="0.25">
      <c r="A689">
        <v>688</v>
      </c>
      <c r="B689" t="s">
        <v>1162</v>
      </c>
      <c r="C689" t="s">
        <v>1163</v>
      </c>
      <c r="D689" s="1">
        <v>45315.032037037039</v>
      </c>
      <c r="E689" s="1">
        <v>45315.071620370371</v>
      </c>
      <c r="F689">
        <v>1405</v>
      </c>
      <c r="G689">
        <v>50</v>
      </c>
      <c r="H689" t="s">
        <v>21</v>
      </c>
      <c r="I689" t="s">
        <v>28</v>
      </c>
      <c r="J689">
        <v>107</v>
      </c>
      <c r="K689">
        <v>28</v>
      </c>
      <c r="L689">
        <v>150</v>
      </c>
    </row>
    <row r="690" spans="1:12" x14ac:dyDescent="0.25">
      <c r="A690">
        <v>689</v>
      </c>
      <c r="B690" t="s">
        <v>1164</v>
      </c>
      <c r="C690" t="s">
        <v>693</v>
      </c>
      <c r="D690" s="1">
        <v>45317.993680555555</v>
      </c>
      <c r="E690" s="1">
        <v>45318.024930555555</v>
      </c>
      <c r="F690">
        <v>1810</v>
      </c>
      <c r="G690">
        <v>20</v>
      </c>
      <c r="H690" t="s">
        <v>21</v>
      </c>
      <c r="I690" t="s">
        <v>22</v>
      </c>
      <c r="J690">
        <v>77</v>
      </c>
      <c r="K690">
        <v>34</v>
      </c>
      <c r="L690">
        <v>100</v>
      </c>
    </row>
    <row r="691" spans="1:12" x14ac:dyDescent="0.25">
      <c r="A691">
        <v>690</v>
      </c>
      <c r="B691" t="s">
        <v>1165</v>
      </c>
      <c r="C691" t="s">
        <v>699</v>
      </c>
      <c r="D691" s="1">
        <v>45304.843043981484</v>
      </c>
      <c r="E691" s="1">
        <v>45304.90693287037</v>
      </c>
      <c r="F691">
        <v>261</v>
      </c>
      <c r="G691">
        <v>50</v>
      </c>
      <c r="H691" t="s">
        <v>14</v>
      </c>
      <c r="I691" t="s">
        <v>22</v>
      </c>
      <c r="J691">
        <v>84</v>
      </c>
      <c r="K691">
        <v>31</v>
      </c>
      <c r="L691">
        <v>0</v>
      </c>
    </row>
    <row r="692" spans="1:12" x14ac:dyDescent="0.25">
      <c r="A692">
        <v>691</v>
      </c>
      <c r="B692" t="s">
        <v>1166</v>
      </c>
      <c r="C692" t="s">
        <v>90</v>
      </c>
      <c r="D692" s="1">
        <v>45325.229618055557</v>
      </c>
      <c r="E692" s="1">
        <v>45325.302534722221</v>
      </c>
      <c r="F692">
        <v>450</v>
      </c>
      <c r="G692">
        <v>0</v>
      </c>
      <c r="H692" t="s">
        <v>18</v>
      </c>
      <c r="I692" t="s">
        <v>25</v>
      </c>
      <c r="J692">
        <v>174</v>
      </c>
      <c r="K692">
        <v>20</v>
      </c>
      <c r="L692">
        <v>100</v>
      </c>
    </row>
    <row r="693" spans="1:12" x14ac:dyDescent="0.25">
      <c r="A693">
        <v>692</v>
      </c>
      <c r="B693" t="s">
        <v>1167</v>
      </c>
      <c r="C693" t="s">
        <v>1013</v>
      </c>
      <c r="D693" s="1">
        <v>45307.079710648148</v>
      </c>
      <c r="E693" s="1">
        <v>45307.136655092596</v>
      </c>
      <c r="F693">
        <v>533</v>
      </c>
      <c r="G693">
        <v>0</v>
      </c>
      <c r="H693" t="s">
        <v>21</v>
      </c>
      <c r="I693" t="s">
        <v>15</v>
      </c>
      <c r="J693">
        <v>187</v>
      </c>
      <c r="K693">
        <v>42</v>
      </c>
      <c r="L693">
        <v>0</v>
      </c>
    </row>
    <row r="694" spans="1:12" x14ac:dyDescent="0.25">
      <c r="A694">
        <v>693</v>
      </c>
      <c r="B694" t="s">
        <v>1168</v>
      </c>
      <c r="C694" t="s">
        <v>1169</v>
      </c>
      <c r="D694" s="1">
        <v>45323.821018518516</v>
      </c>
      <c r="E694" s="1">
        <v>45323.900185185186</v>
      </c>
      <c r="F694">
        <v>951</v>
      </c>
      <c r="G694">
        <v>0</v>
      </c>
      <c r="H694" t="s">
        <v>14</v>
      </c>
      <c r="I694" t="s">
        <v>28</v>
      </c>
      <c r="J694">
        <v>114</v>
      </c>
      <c r="K694">
        <v>41</v>
      </c>
      <c r="L694">
        <v>0</v>
      </c>
    </row>
    <row r="695" spans="1:12" x14ac:dyDescent="0.25">
      <c r="A695">
        <v>694</v>
      </c>
      <c r="B695" t="s">
        <v>1170</v>
      </c>
      <c r="C695" t="s">
        <v>1171</v>
      </c>
      <c r="D695" s="1">
        <v>45312.128240740742</v>
      </c>
      <c r="E695" s="1">
        <v>45312.160185185188</v>
      </c>
      <c r="F695">
        <v>239</v>
      </c>
      <c r="G695">
        <v>30</v>
      </c>
      <c r="H695" t="s">
        <v>21</v>
      </c>
      <c r="I695" t="s">
        <v>25</v>
      </c>
      <c r="J695">
        <v>91</v>
      </c>
      <c r="K695">
        <v>30</v>
      </c>
      <c r="L695">
        <v>0</v>
      </c>
    </row>
    <row r="696" spans="1:12" x14ac:dyDescent="0.25">
      <c r="A696">
        <v>695</v>
      </c>
      <c r="B696" t="s">
        <v>1172</v>
      </c>
      <c r="C696" t="s">
        <v>528</v>
      </c>
      <c r="D696" s="1">
        <v>45297.154826388891</v>
      </c>
      <c r="E696" s="1">
        <v>45297.202743055554</v>
      </c>
      <c r="F696">
        <v>1594</v>
      </c>
      <c r="G696">
        <v>30</v>
      </c>
      <c r="H696" t="s">
        <v>21</v>
      </c>
      <c r="I696" t="s">
        <v>22</v>
      </c>
      <c r="J696">
        <v>134</v>
      </c>
      <c r="K696">
        <v>48</v>
      </c>
      <c r="L696">
        <v>50</v>
      </c>
    </row>
    <row r="697" spans="1:12" x14ac:dyDescent="0.25">
      <c r="A697">
        <v>696</v>
      </c>
      <c r="B697" t="s">
        <v>1173</v>
      </c>
      <c r="C697" t="s">
        <v>1174</v>
      </c>
      <c r="D697" s="1">
        <v>45309.806828703702</v>
      </c>
      <c r="E697" s="1">
        <v>45309.835995370369</v>
      </c>
      <c r="F697">
        <v>1255</v>
      </c>
      <c r="G697">
        <v>30</v>
      </c>
      <c r="H697" t="s">
        <v>18</v>
      </c>
      <c r="I697" t="s">
        <v>15</v>
      </c>
      <c r="J697">
        <v>186</v>
      </c>
      <c r="K697">
        <v>29</v>
      </c>
      <c r="L697">
        <v>0</v>
      </c>
    </row>
    <row r="698" spans="1:12" x14ac:dyDescent="0.25">
      <c r="A698">
        <v>697</v>
      </c>
      <c r="B698" t="s">
        <v>1175</v>
      </c>
      <c r="C698" t="s">
        <v>492</v>
      </c>
      <c r="D698" s="1">
        <v>45322.28056712963</v>
      </c>
      <c r="E698" s="1">
        <v>45322.336817129632</v>
      </c>
      <c r="F698">
        <v>186</v>
      </c>
      <c r="G698">
        <v>50</v>
      </c>
      <c r="H698" t="s">
        <v>21</v>
      </c>
      <c r="I698" t="s">
        <v>28</v>
      </c>
      <c r="J698">
        <v>160</v>
      </c>
      <c r="K698">
        <v>17</v>
      </c>
      <c r="L698">
        <v>0</v>
      </c>
    </row>
    <row r="699" spans="1:12" x14ac:dyDescent="0.25">
      <c r="A699">
        <v>698</v>
      </c>
      <c r="B699" t="s">
        <v>1176</v>
      </c>
      <c r="C699" t="s">
        <v>1155</v>
      </c>
      <c r="D699" s="1">
        <v>45324.911874999998</v>
      </c>
      <c r="E699" s="1">
        <v>45324.972291666665</v>
      </c>
      <c r="F699">
        <v>1811</v>
      </c>
      <c r="G699">
        <v>30</v>
      </c>
      <c r="H699" t="s">
        <v>21</v>
      </c>
      <c r="I699" s="2">
        <v>0.1</v>
      </c>
      <c r="J699">
        <v>64</v>
      </c>
      <c r="K699">
        <v>46</v>
      </c>
      <c r="L699">
        <v>0</v>
      </c>
    </row>
    <row r="700" spans="1:12" x14ac:dyDescent="0.25">
      <c r="A700">
        <v>699</v>
      </c>
      <c r="B700" t="s">
        <v>1177</v>
      </c>
      <c r="C700" t="s">
        <v>817</v>
      </c>
      <c r="D700" s="1">
        <v>45306.548703703702</v>
      </c>
      <c r="E700" s="1">
        <v>45306.594537037039</v>
      </c>
      <c r="F700">
        <v>282</v>
      </c>
      <c r="G700">
        <v>20</v>
      </c>
      <c r="H700" t="s">
        <v>14</v>
      </c>
      <c r="I700" t="s">
        <v>15</v>
      </c>
      <c r="J700">
        <v>118</v>
      </c>
      <c r="K700">
        <v>18</v>
      </c>
      <c r="L700">
        <v>100</v>
      </c>
    </row>
    <row r="701" spans="1:12" x14ac:dyDescent="0.25">
      <c r="A701">
        <v>700</v>
      </c>
      <c r="B701" t="s">
        <v>1178</v>
      </c>
      <c r="C701" t="s">
        <v>1179</v>
      </c>
      <c r="D701" s="1">
        <v>45318.379664351851</v>
      </c>
      <c r="E701" s="1">
        <v>45318.454664351855</v>
      </c>
      <c r="F701">
        <v>467</v>
      </c>
      <c r="G701">
        <v>0</v>
      </c>
      <c r="H701" t="s">
        <v>14</v>
      </c>
      <c r="I701" t="s">
        <v>28</v>
      </c>
      <c r="J701">
        <v>154</v>
      </c>
      <c r="K701">
        <v>34</v>
      </c>
      <c r="L701">
        <v>150</v>
      </c>
    </row>
    <row r="702" spans="1:12" x14ac:dyDescent="0.25">
      <c r="A702">
        <v>701</v>
      </c>
      <c r="B702" t="s">
        <v>1180</v>
      </c>
      <c r="C702" t="s">
        <v>1181</v>
      </c>
      <c r="D702" s="1">
        <v>45329.539224537039</v>
      </c>
      <c r="E702" s="1">
        <v>45329.612141203703</v>
      </c>
      <c r="F702">
        <v>228</v>
      </c>
      <c r="G702">
        <v>50</v>
      </c>
      <c r="H702" t="s">
        <v>18</v>
      </c>
      <c r="I702" t="s">
        <v>25</v>
      </c>
      <c r="J702">
        <v>199</v>
      </c>
      <c r="K702">
        <v>34</v>
      </c>
      <c r="L702">
        <v>0</v>
      </c>
    </row>
    <row r="703" spans="1:12" x14ac:dyDescent="0.25">
      <c r="A703">
        <v>702</v>
      </c>
      <c r="B703" t="s">
        <v>1037</v>
      </c>
      <c r="C703" t="s">
        <v>1182</v>
      </c>
      <c r="D703" s="1">
        <v>45302.922372685185</v>
      </c>
      <c r="E703" s="1">
        <v>45302.984872685185</v>
      </c>
      <c r="F703">
        <v>1369</v>
      </c>
      <c r="G703">
        <v>0</v>
      </c>
      <c r="H703" t="s">
        <v>14</v>
      </c>
      <c r="I703" s="2">
        <v>0.1</v>
      </c>
      <c r="J703">
        <v>113</v>
      </c>
      <c r="K703">
        <v>42</v>
      </c>
      <c r="L703">
        <v>100</v>
      </c>
    </row>
    <row r="704" spans="1:12" x14ac:dyDescent="0.25">
      <c r="A704">
        <v>703</v>
      </c>
      <c r="B704" t="s">
        <v>1183</v>
      </c>
      <c r="C704" t="s">
        <v>1184</v>
      </c>
      <c r="D704" s="1">
        <v>45309.376759259256</v>
      </c>
      <c r="E704" s="1">
        <v>45309.45175925926</v>
      </c>
      <c r="F704">
        <v>1724</v>
      </c>
      <c r="G704">
        <v>30</v>
      </c>
      <c r="H704" t="s">
        <v>14</v>
      </c>
      <c r="I704" t="s">
        <v>28</v>
      </c>
      <c r="J704">
        <v>90</v>
      </c>
      <c r="K704">
        <v>11</v>
      </c>
      <c r="L704">
        <v>50</v>
      </c>
    </row>
    <row r="705" spans="1:12" x14ac:dyDescent="0.25">
      <c r="A705">
        <v>704</v>
      </c>
      <c r="B705" t="s">
        <v>641</v>
      </c>
      <c r="C705" t="s">
        <v>433</v>
      </c>
      <c r="D705" s="1">
        <v>45293.426585648151</v>
      </c>
      <c r="E705" s="1">
        <v>45293.470335648148</v>
      </c>
      <c r="F705">
        <v>1701</v>
      </c>
      <c r="G705">
        <v>50</v>
      </c>
      <c r="H705" t="s">
        <v>18</v>
      </c>
      <c r="I705" t="s">
        <v>28</v>
      </c>
      <c r="J705">
        <v>120</v>
      </c>
      <c r="K705">
        <v>28</v>
      </c>
      <c r="L705">
        <v>0</v>
      </c>
    </row>
    <row r="706" spans="1:12" x14ac:dyDescent="0.25">
      <c r="A706">
        <v>705</v>
      </c>
      <c r="B706" t="s">
        <v>1185</v>
      </c>
      <c r="C706" t="s">
        <v>1186</v>
      </c>
      <c r="D706" s="1">
        <v>45327.604328703703</v>
      </c>
      <c r="E706" s="1">
        <v>45327.673078703701</v>
      </c>
      <c r="F706">
        <v>769</v>
      </c>
      <c r="G706">
        <v>40</v>
      </c>
      <c r="H706" t="s">
        <v>21</v>
      </c>
      <c r="I706" t="s">
        <v>22</v>
      </c>
      <c r="J706">
        <v>105</v>
      </c>
      <c r="K706">
        <v>29</v>
      </c>
      <c r="L706">
        <v>100</v>
      </c>
    </row>
    <row r="707" spans="1:12" x14ac:dyDescent="0.25">
      <c r="A707">
        <v>706</v>
      </c>
      <c r="B707" t="s">
        <v>1187</v>
      </c>
      <c r="C707" t="s">
        <v>1123</v>
      </c>
      <c r="D707" s="1">
        <v>45307.250347222223</v>
      </c>
      <c r="E707" s="1">
        <v>45307.28229166667</v>
      </c>
      <c r="F707">
        <v>1501</v>
      </c>
      <c r="G707">
        <v>20</v>
      </c>
      <c r="H707" t="s">
        <v>18</v>
      </c>
      <c r="I707" t="s">
        <v>15</v>
      </c>
      <c r="J707">
        <v>200</v>
      </c>
      <c r="K707">
        <v>50</v>
      </c>
      <c r="L707">
        <v>0</v>
      </c>
    </row>
    <row r="708" spans="1:12" x14ac:dyDescent="0.25">
      <c r="A708">
        <v>707</v>
      </c>
      <c r="B708" t="s">
        <v>1188</v>
      </c>
      <c r="C708" t="s">
        <v>1189</v>
      </c>
      <c r="D708" s="1">
        <v>45327.55982638889</v>
      </c>
      <c r="E708" s="1">
        <v>45327.593854166669</v>
      </c>
      <c r="F708">
        <v>248</v>
      </c>
      <c r="G708">
        <v>30</v>
      </c>
      <c r="H708" t="s">
        <v>14</v>
      </c>
      <c r="I708" t="s">
        <v>22</v>
      </c>
      <c r="J708">
        <v>74</v>
      </c>
      <c r="K708">
        <v>38</v>
      </c>
      <c r="L708">
        <v>0</v>
      </c>
    </row>
    <row r="709" spans="1:12" x14ac:dyDescent="0.25">
      <c r="A709">
        <v>708</v>
      </c>
      <c r="B709" t="s">
        <v>1190</v>
      </c>
      <c r="C709" t="s">
        <v>192</v>
      </c>
      <c r="D709" s="1">
        <v>45303.610775462963</v>
      </c>
      <c r="E709" s="1">
        <v>45303.681608796294</v>
      </c>
      <c r="F709">
        <v>1084</v>
      </c>
      <c r="G709">
        <v>30</v>
      </c>
      <c r="H709" t="s">
        <v>18</v>
      </c>
      <c r="I709" s="2">
        <v>0.1</v>
      </c>
      <c r="J709">
        <v>154</v>
      </c>
      <c r="K709">
        <v>15</v>
      </c>
      <c r="L709">
        <v>0</v>
      </c>
    </row>
    <row r="710" spans="1:12" x14ac:dyDescent="0.25">
      <c r="A710">
        <v>709</v>
      </c>
      <c r="B710" t="s">
        <v>1191</v>
      </c>
      <c r="C710" t="s">
        <v>635</v>
      </c>
      <c r="D710" s="1">
        <v>45326.961041666669</v>
      </c>
      <c r="E710" s="1">
        <v>45327.022152777776</v>
      </c>
      <c r="F710">
        <v>951</v>
      </c>
      <c r="G710">
        <v>20</v>
      </c>
      <c r="H710" t="s">
        <v>21</v>
      </c>
      <c r="I710" t="s">
        <v>28</v>
      </c>
      <c r="J710">
        <v>183</v>
      </c>
      <c r="K710">
        <v>26</v>
      </c>
      <c r="L710">
        <v>50</v>
      </c>
    </row>
    <row r="711" spans="1:12" x14ac:dyDescent="0.25">
      <c r="A711">
        <v>710</v>
      </c>
      <c r="B711" t="s">
        <v>1192</v>
      </c>
      <c r="C711" t="s">
        <v>38</v>
      </c>
      <c r="D711" s="1">
        <v>45315.768599537034</v>
      </c>
      <c r="E711" s="1">
        <v>45315.836655092593</v>
      </c>
      <c r="F711">
        <v>1556</v>
      </c>
      <c r="G711">
        <v>20</v>
      </c>
      <c r="H711" t="s">
        <v>18</v>
      </c>
      <c r="I711" t="s">
        <v>22</v>
      </c>
      <c r="J711">
        <v>168</v>
      </c>
      <c r="K711">
        <v>34</v>
      </c>
      <c r="L711">
        <v>0</v>
      </c>
    </row>
    <row r="712" spans="1:12" x14ac:dyDescent="0.25">
      <c r="A712">
        <v>711</v>
      </c>
      <c r="B712" t="s">
        <v>1193</v>
      </c>
      <c r="C712" t="s">
        <v>496</v>
      </c>
      <c r="D712" s="1">
        <v>45325.573344907411</v>
      </c>
      <c r="E712" s="1">
        <v>45325.653900462959</v>
      </c>
      <c r="F712">
        <v>727</v>
      </c>
      <c r="G712">
        <v>40</v>
      </c>
      <c r="H712" t="s">
        <v>14</v>
      </c>
      <c r="I712" t="s">
        <v>15</v>
      </c>
      <c r="J712">
        <v>58</v>
      </c>
      <c r="K712">
        <v>47</v>
      </c>
      <c r="L712">
        <v>0</v>
      </c>
    </row>
    <row r="713" spans="1:12" x14ac:dyDescent="0.25">
      <c r="A713">
        <v>712</v>
      </c>
      <c r="B713" t="s">
        <v>1194</v>
      </c>
      <c r="C713" t="s">
        <v>1195</v>
      </c>
      <c r="D713" s="1">
        <v>45307.86209490741</v>
      </c>
      <c r="E713" s="1">
        <v>45307.905150462961</v>
      </c>
      <c r="F713">
        <v>1849</v>
      </c>
      <c r="G713">
        <v>30</v>
      </c>
      <c r="H713" t="s">
        <v>14</v>
      </c>
      <c r="I713" s="2">
        <v>0.1</v>
      </c>
      <c r="J713">
        <v>109</v>
      </c>
      <c r="K713">
        <v>13</v>
      </c>
      <c r="L713">
        <v>0</v>
      </c>
    </row>
    <row r="714" spans="1:12" x14ac:dyDescent="0.25">
      <c r="A714">
        <v>713</v>
      </c>
      <c r="B714" t="s">
        <v>1196</v>
      </c>
      <c r="C714" t="s">
        <v>1197</v>
      </c>
      <c r="D714" s="1">
        <v>45325.004583333335</v>
      </c>
      <c r="E714" s="1">
        <v>45325.078888888886</v>
      </c>
      <c r="F714">
        <v>1592</v>
      </c>
      <c r="G714">
        <v>30</v>
      </c>
      <c r="H714" t="s">
        <v>18</v>
      </c>
      <c r="I714" t="s">
        <v>25</v>
      </c>
      <c r="J714">
        <v>174</v>
      </c>
      <c r="K714">
        <v>39</v>
      </c>
      <c r="L714">
        <v>50</v>
      </c>
    </row>
    <row r="715" spans="1:12" x14ac:dyDescent="0.25">
      <c r="A715">
        <v>714</v>
      </c>
      <c r="B715" t="s">
        <v>966</v>
      </c>
      <c r="C715" t="s">
        <v>1198</v>
      </c>
      <c r="D715" s="1">
        <v>45311.45689814815</v>
      </c>
      <c r="E715" s="1">
        <v>45311.488842592589</v>
      </c>
      <c r="F715">
        <v>545</v>
      </c>
      <c r="G715">
        <v>0</v>
      </c>
      <c r="H715" t="s">
        <v>21</v>
      </c>
      <c r="I715" t="s">
        <v>22</v>
      </c>
      <c r="J715">
        <v>98</v>
      </c>
      <c r="K715">
        <v>29</v>
      </c>
      <c r="L715">
        <v>0</v>
      </c>
    </row>
    <row r="716" spans="1:12" x14ac:dyDescent="0.25">
      <c r="A716">
        <v>715</v>
      </c>
      <c r="B716" t="s">
        <v>1199</v>
      </c>
      <c r="C716" t="s">
        <v>1200</v>
      </c>
      <c r="D716" s="1">
        <v>45310.656655092593</v>
      </c>
      <c r="E716" s="1">
        <v>45310.716377314813</v>
      </c>
      <c r="F716">
        <v>1604</v>
      </c>
      <c r="G716">
        <v>50</v>
      </c>
      <c r="H716" t="s">
        <v>18</v>
      </c>
      <c r="I716" s="2">
        <v>0.1</v>
      </c>
      <c r="J716">
        <v>100</v>
      </c>
      <c r="K716">
        <v>12</v>
      </c>
      <c r="L716">
        <v>0</v>
      </c>
    </row>
    <row r="717" spans="1:12" x14ac:dyDescent="0.25">
      <c r="A717">
        <v>716</v>
      </c>
      <c r="B717" t="s">
        <v>1201</v>
      </c>
      <c r="C717" t="s">
        <v>484</v>
      </c>
      <c r="D717" s="1">
        <v>45293.307754629626</v>
      </c>
      <c r="E717" s="1">
        <v>45293.38553240741</v>
      </c>
      <c r="F717">
        <v>983</v>
      </c>
      <c r="G717">
        <v>50</v>
      </c>
      <c r="H717" t="s">
        <v>21</v>
      </c>
      <c r="I717" t="s">
        <v>25</v>
      </c>
      <c r="J717">
        <v>119</v>
      </c>
      <c r="K717">
        <v>32</v>
      </c>
      <c r="L717">
        <v>0</v>
      </c>
    </row>
    <row r="718" spans="1:12" x14ac:dyDescent="0.25">
      <c r="A718">
        <v>717</v>
      </c>
      <c r="B718" t="s">
        <v>1202</v>
      </c>
      <c r="C718" t="s">
        <v>1203</v>
      </c>
      <c r="D718" s="1">
        <v>45304.94091435185</v>
      </c>
      <c r="E718" s="1">
        <v>45304.961747685185</v>
      </c>
      <c r="F718">
        <v>393</v>
      </c>
      <c r="G718">
        <v>0</v>
      </c>
      <c r="H718" t="s">
        <v>21</v>
      </c>
      <c r="I718" t="s">
        <v>22</v>
      </c>
      <c r="J718">
        <v>86</v>
      </c>
      <c r="K718">
        <v>27</v>
      </c>
      <c r="L718">
        <v>0</v>
      </c>
    </row>
    <row r="719" spans="1:12" x14ac:dyDescent="0.25">
      <c r="A719">
        <v>718</v>
      </c>
      <c r="B719" t="s">
        <v>1204</v>
      </c>
      <c r="C719" t="s">
        <v>1139</v>
      </c>
      <c r="D719" s="1">
        <v>45304.24628472222</v>
      </c>
      <c r="E719" s="1">
        <v>45304.275451388887</v>
      </c>
      <c r="F719">
        <v>1888</v>
      </c>
      <c r="G719">
        <v>50</v>
      </c>
      <c r="H719" t="s">
        <v>18</v>
      </c>
      <c r="I719" s="2">
        <v>0.1</v>
      </c>
      <c r="J719">
        <v>80</v>
      </c>
      <c r="K719">
        <v>35</v>
      </c>
      <c r="L719">
        <v>0</v>
      </c>
    </row>
    <row r="720" spans="1:12" x14ac:dyDescent="0.25">
      <c r="A720">
        <v>719</v>
      </c>
      <c r="B720" t="s">
        <v>1205</v>
      </c>
      <c r="C720" t="s">
        <v>1206</v>
      </c>
      <c r="D720" s="1">
        <v>45306.355914351851</v>
      </c>
      <c r="E720" s="1">
        <v>45306.394803240742</v>
      </c>
      <c r="F720">
        <v>1266</v>
      </c>
      <c r="G720">
        <v>20</v>
      </c>
      <c r="H720" t="s">
        <v>21</v>
      </c>
      <c r="I720" s="2">
        <v>0.1</v>
      </c>
      <c r="J720">
        <v>111</v>
      </c>
      <c r="K720">
        <v>45</v>
      </c>
      <c r="L720">
        <v>0</v>
      </c>
    </row>
    <row r="721" spans="1:12" x14ac:dyDescent="0.25">
      <c r="A721">
        <v>720</v>
      </c>
      <c r="B721" t="s">
        <v>1207</v>
      </c>
      <c r="C721" t="s">
        <v>1208</v>
      </c>
      <c r="D721" s="1">
        <v>45303.364386574074</v>
      </c>
      <c r="E721" s="1">
        <v>45303.433136574073</v>
      </c>
      <c r="F721">
        <v>349</v>
      </c>
      <c r="G721">
        <v>50</v>
      </c>
      <c r="H721" t="s">
        <v>14</v>
      </c>
      <c r="I721" t="s">
        <v>22</v>
      </c>
      <c r="J721">
        <v>142</v>
      </c>
      <c r="K721">
        <v>17</v>
      </c>
      <c r="L721">
        <v>150</v>
      </c>
    </row>
    <row r="722" spans="1:12" x14ac:dyDescent="0.25">
      <c r="A722">
        <v>721</v>
      </c>
      <c r="B722" t="s">
        <v>1209</v>
      </c>
      <c r="C722" t="s">
        <v>1159</v>
      </c>
      <c r="D722" s="1">
        <v>45311.309270833335</v>
      </c>
      <c r="E722" s="1">
        <v>45311.370381944442</v>
      </c>
      <c r="F722">
        <v>977</v>
      </c>
      <c r="G722">
        <v>50</v>
      </c>
      <c r="H722" t="s">
        <v>18</v>
      </c>
      <c r="I722" s="2">
        <v>0.1</v>
      </c>
      <c r="J722">
        <v>63</v>
      </c>
      <c r="K722">
        <v>26</v>
      </c>
      <c r="L722">
        <v>100</v>
      </c>
    </row>
    <row r="723" spans="1:12" x14ac:dyDescent="0.25">
      <c r="A723">
        <v>722</v>
      </c>
      <c r="B723" t="s">
        <v>1210</v>
      </c>
      <c r="C723" t="s">
        <v>786</v>
      </c>
      <c r="D723" s="1">
        <v>45300.254930555559</v>
      </c>
      <c r="E723" s="1">
        <v>45300.279236111113</v>
      </c>
      <c r="F723">
        <v>1047</v>
      </c>
      <c r="G723">
        <v>0</v>
      </c>
      <c r="H723" t="s">
        <v>21</v>
      </c>
      <c r="I723" t="s">
        <v>28</v>
      </c>
      <c r="J723">
        <v>128</v>
      </c>
      <c r="K723">
        <v>40</v>
      </c>
      <c r="L723">
        <v>100</v>
      </c>
    </row>
    <row r="724" spans="1:12" x14ac:dyDescent="0.25">
      <c r="A724">
        <v>723</v>
      </c>
      <c r="B724" t="s">
        <v>1211</v>
      </c>
      <c r="C724" t="s">
        <v>1212</v>
      </c>
      <c r="D724" s="1">
        <v>45310.734976851854</v>
      </c>
      <c r="E724" s="1">
        <v>45310.771087962959</v>
      </c>
      <c r="F724">
        <v>1074</v>
      </c>
      <c r="G724">
        <v>40</v>
      </c>
      <c r="H724" t="s">
        <v>14</v>
      </c>
      <c r="I724" t="s">
        <v>22</v>
      </c>
      <c r="J724">
        <v>57</v>
      </c>
      <c r="K724">
        <v>46</v>
      </c>
      <c r="L724">
        <v>0</v>
      </c>
    </row>
    <row r="725" spans="1:12" x14ac:dyDescent="0.25">
      <c r="A725">
        <v>724</v>
      </c>
      <c r="B725" t="s">
        <v>1213</v>
      </c>
      <c r="C725" t="s">
        <v>1128</v>
      </c>
      <c r="D725" s="1">
        <v>45314.687592592592</v>
      </c>
      <c r="E725" s="1">
        <v>45314.714675925927</v>
      </c>
      <c r="F725">
        <v>1425</v>
      </c>
      <c r="G725">
        <v>50</v>
      </c>
      <c r="H725" t="s">
        <v>18</v>
      </c>
      <c r="I725" s="2">
        <v>0.1</v>
      </c>
      <c r="J725">
        <v>85</v>
      </c>
      <c r="K725">
        <v>42</v>
      </c>
      <c r="L725">
        <v>100</v>
      </c>
    </row>
    <row r="726" spans="1:12" x14ac:dyDescent="0.25">
      <c r="A726">
        <v>725</v>
      </c>
      <c r="B726" t="s">
        <v>1214</v>
      </c>
      <c r="C726" t="s">
        <v>1215</v>
      </c>
      <c r="D726" s="1">
        <v>45309.361932870372</v>
      </c>
      <c r="E726" s="1">
        <v>45309.417488425926</v>
      </c>
      <c r="F726">
        <v>1148</v>
      </c>
      <c r="G726">
        <v>50</v>
      </c>
      <c r="H726" t="s">
        <v>14</v>
      </c>
      <c r="I726" t="s">
        <v>25</v>
      </c>
      <c r="J726">
        <v>97</v>
      </c>
      <c r="K726">
        <v>36</v>
      </c>
      <c r="L726">
        <v>0</v>
      </c>
    </row>
    <row r="727" spans="1:12" x14ac:dyDescent="0.25">
      <c r="A727">
        <v>726</v>
      </c>
      <c r="B727" t="s">
        <v>1216</v>
      </c>
      <c r="C727" t="s">
        <v>1217</v>
      </c>
      <c r="D727" s="1">
        <v>45292.310254629629</v>
      </c>
      <c r="E727" s="1">
        <v>45292.343587962961</v>
      </c>
      <c r="F727">
        <v>888</v>
      </c>
      <c r="G727">
        <v>40</v>
      </c>
      <c r="H727" t="s">
        <v>14</v>
      </c>
      <c r="I727" t="s">
        <v>25</v>
      </c>
      <c r="J727">
        <v>134</v>
      </c>
      <c r="K727">
        <v>13</v>
      </c>
      <c r="L727">
        <v>0</v>
      </c>
    </row>
    <row r="728" spans="1:12" x14ac:dyDescent="0.25">
      <c r="A728">
        <v>727</v>
      </c>
      <c r="B728" t="s">
        <v>1218</v>
      </c>
      <c r="C728" t="s">
        <v>1219</v>
      </c>
      <c r="D728" s="1">
        <v>45306.174166666664</v>
      </c>
      <c r="E728" s="1">
        <v>45306.229722222219</v>
      </c>
      <c r="F728">
        <v>1083</v>
      </c>
      <c r="G728">
        <v>0</v>
      </c>
      <c r="H728" t="s">
        <v>14</v>
      </c>
      <c r="I728" t="s">
        <v>28</v>
      </c>
      <c r="J728">
        <v>77</v>
      </c>
      <c r="K728">
        <v>31</v>
      </c>
      <c r="L728">
        <v>0</v>
      </c>
    </row>
    <row r="729" spans="1:12" x14ac:dyDescent="0.25">
      <c r="A729">
        <v>728</v>
      </c>
      <c r="B729" t="s">
        <v>1220</v>
      </c>
      <c r="C729" t="s">
        <v>1221</v>
      </c>
      <c r="D729" s="1">
        <v>45296.807685185187</v>
      </c>
      <c r="E729" s="1">
        <v>45296.888240740744</v>
      </c>
      <c r="F729">
        <v>988</v>
      </c>
      <c r="G729">
        <v>40</v>
      </c>
      <c r="H729" t="s">
        <v>21</v>
      </c>
      <c r="I729" t="s">
        <v>22</v>
      </c>
      <c r="J729">
        <v>100</v>
      </c>
      <c r="K729">
        <v>35</v>
      </c>
      <c r="L729">
        <v>0</v>
      </c>
    </row>
    <row r="730" spans="1:12" x14ac:dyDescent="0.25">
      <c r="A730">
        <v>729</v>
      </c>
      <c r="B730" t="s">
        <v>1222</v>
      </c>
      <c r="C730" t="s">
        <v>1223</v>
      </c>
      <c r="D730" s="1">
        <v>45292.811562499999</v>
      </c>
      <c r="E730" s="1">
        <v>45292.878923611112</v>
      </c>
      <c r="F730">
        <v>989</v>
      </c>
      <c r="G730">
        <v>0</v>
      </c>
      <c r="H730" t="s">
        <v>18</v>
      </c>
      <c r="I730" s="2">
        <v>0.1</v>
      </c>
      <c r="J730">
        <v>153</v>
      </c>
      <c r="K730">
        <v>41</v>
      </c>
      <c r="L730">
        <v>0</v>
      </c>
    </row>
    <row r="731" spans="1:12" x14ac:dyDescent="0.25">
      <c r="A731">
        <v>730</v>
      </c>
      <c r="B731" t="s">
        <v>1224</v>
      </c>
      <c r="C731" t="s">
        <v>1225</v>
      </c>
      <c r="D731" s="1">
        <v>45313.686597222222</v>
      </c>
      <c r="E731" s="1">
        <v>45313.765069444446</v>
      </c>
      <c r="F731">
        <v>169</v>
      </c>
      <c r="G731">
        <v>20</v>
      </c>
      <c r="H731" t="s">
        <v>18</v>
      </c>
      <c r="I731" s="2">
        <v>0.1</v>
      </c>
      <c r="J731">
        <v>150</v>
      </c>
      <c r="K731">
        <v>33</v>
      </c>
      <c r="L731">
        <v>0</v>
      </c>
    </row>
    <row r="732" spans="1:12" x14ac:dyDescent="0.25">
      <c r="A732">
        <v>731</v>
      </c>
      <c r="B732" t="s">
        <v>1226</v>
      </c>
      <c r="C732" t="s">
        <v>319</v>
      </c>
      <c r="D732" s="1">
        <v>45306.279409722221</v>
      </c>
      <c r="E732" s="1">
        <v>45306.357187499998</v>
      </c>
      <c r="F732">
        <v>724</v>
      </c>
      <c r="G732">
        <v>0</v>
      </c>
      <c r="H732" t="s">
        <v>21</v>
      </c>
      <c r="I732" t="s">
        <v>25</v>
      </c>
      <c r="J732">
        <v>78</v>
      </c>
      <c r="K732">
        <v>44</v>
      </c>
      <c r="L732">
        <v>100</v>
      </c>
    </row>
    <row r="733" spans="1:12" x14ac:dyDescent="0.25">
      <c r="A733">
        <v>732</v>
      </c>
      <c r="B733" t="s">
        <v>1227</v>
      </c>
      <c r="C733" t="s">
        <v>1228</v>
      </c>
      <c r="D733" s="1">
        <v>45323.561018518521</v>
      </c>
      <c r="E733" s="1">
        <v>45323.610324074078</v>
      </c>
      <c r="F733">
        <v>974</v>
      </c>
      <c r="G733">
        <v>20</v>
      </c>
      <c r="H733" t="s">
        <v>18</v>
      </c>
      <c r="I733" t="s">
        <v>28</v>
      </c>
      <c r="J733">
        <v>176</v>
      </c>
      <c r="K733">
        <v>46</v>
      </c>
      <c r="L733">
        <v>0</v>
      </c>
    </row>
    <row r="734" spans="1:12" x14ac:dyDescent="0.25">
      <c r="A734">
        <v>733</v>
      </c>
      <c r="B734" t="s">
        <v>1229</v>
      </c>
      <c r="C734" t="s">
        <v>1230</v>
      </c>
      <c r="D734" s="1">
        <v>45321.719826388886</v>
      </c>
      <c r="E734" s="1">
        <v>45321.779548611114</v>
      </c>
      <c r="F734">
        <v>1235</v>
      </c>
      <c r="G734">
        <v>20</v>
      </c>
      <c r="H734" t="s">
        <v>14</v>
      </c>
      <c r="I734" t="s">
        <v>25</v>
      </c>
      <c r="J734">
        <v>131</v>
      </c>
      <c r="K734">
        <v>41</v>
      </c>
      <c r="L734">
        <v>0</v>
      </c>
    </row>
    <row r="735" spans="1:12" x14ac:dyDescent="0.25">
      <c r="A735">
        <v>734</v>
      </c>
      <c r="B735" t="s">
        <v>1231</v>
      </c>
      <c r="C735" t="s">
        <v>1232</v>
      </c>
      <c r="D735" s="1">
        <v>45326.450613425928</v>
      </c>
      <c r="E735" s="1">
        <v>45326.517974537041</v>
      </c>
      <c r="F735">
        <v>1487</v>
      </c>
      <c r="G735">
        <v>0</v>
      </c>
      <c r="H735" t="s">
        <v>18</v>
      </c>
      <c r="I735" t="s">
        <v>25</v>
      </c>
      <c r="J735">
        <v>59</v>
      </c>
      <c r="K735">
        <v>16</v>
      </c>
      <c r="L735">
        <v>0</v>
      </c>
    </row>
    <row r="736" spans="1:12" x14ac:dyDescent="0.25">
      <c r="A736">
        <v>735</v>
      </c>
      <c r="B736" t="s">
        <v>1233</v>
      </c>
      <c r="C736" t="s">
        <v>1184</v>
      </c>
      <c r="D736" s="1">
        <v>45309.587997685187</v>
      </c>
      <c r="E736" s="1">
        <v>45309.634525462963</v>
      </c>
      <c r="F736">
        <v>1426</v>
      </c>
      <c r="G736">
        <v>30</v>
      </c>
      <c r="H736" t="s">
        <v>21</v>
      </c>
      <c r="I736" t="s">
        <v>28</v>
      </c>
      <c r="J736">
        <v>155</v>
      </c>
      <c r="K736">
        <v>42</v>
      </c>
      <c r="L736">
        <v>0</v>
      </c>
    </row>
    <row r="737" spans="1:12" x14ac:dyDescent="0.25">
      <c r="A737">
        <v>736</v>
      </c>
      <c r="B737" t="s">
        <v>1234</v>
      </c>
      <c r="C737" t="s">
        <v>54</v>
      </c>
      <c r="D737" s="1">
        <v>45314.784039351849</v>
      </c>
      <c r="E737" s="1">
        <v>45314.847233796296</v>
      </c>
      <c r="F737">
        <v>570</v>
      </c>
      <c r="G737">
        <v>0</v>
      </c>
      <c r="H737" t="s">
        <v>14</v>
      </c>
      <c r="I737" t="s">
        <v>22</v>
      </c>
      <c r="J737">
        <v>50</v>
      </c>
      <c r="K737">
        <v>40</v>
      </c>
      <c r="L737">
        <v>0</v>
      </c>
    </row>
    <row r="738" spans="1:12" x14ac:dyDescent="0.25">
      <c r="A738">
        <v>737</v>
      </c>
      <c r="B738" t="s">
        <v>1235</v>
      </c>
      <c r="C738" t="s">
        <v>1236</v>
      </c>
      <c r="D738" s="1">
        <v>45320.989108796297</v>
      </c>
      <c r="E738" s="1">
        <v>45321.014108796298</v>
      </c>
      <c r="F738">
        <v>190</v>
      </c>
      <c r="G738">
        <v>50</v>
      </c>
      <c r="H738" t="s">
        <v>21</v>
      </c>
      <c r="I738" s="2">
        <v>0.1</v>
      </c>
      <c r="J738">
        <v>88</v>
      </c>
      <c r="K738">
        <v>21</v>
      </c>
      <c r="L738">
        <v>50</v>
      </c>
    </row>
    <row r="739" spans="1:12" x14ac:dyDescent="0.25">
      <c r="A739">
        <v>738</v>
      </c>
      <c r="B739" t="s">
        <v>1237</v>
      </c>
      <c r="C739" t="s">
        <v>204</v>
      </c>
      <c r="D739" s="1">
        <v>45312.263194444444</v>
      </c>
      <c r="E739" s="1">
        <v>45312.332638888889</v>
      </c>
      <c r="F739">
        <v>629</v>
      </c>
      <c r="G739">
        <v>50</v>
      </c>
      <c r="H739" t="s">
        <v>14</v>
      </c>
      <c r="I739" t="s">
        <v>22</v>
      </c>
      <c r="J739">
        <v>70</v>
      </c>
      <c r="K739">
        <v>20</v>
      </c>
      <c r="L739">
        <v>0</v>
      </c>
    </row>
    <row r="740" spans="1:12" x14ac:dyDescent="0.25">
      <c r="A740">
        <v>739</v>
      </c>
      <c r="B740" t="s">
        <v>948</v>
      </c>
      <c r="C740" t="s">
        <v>367</v>
      </c>
      <c r="D740" s="1">
        <v>45301.993090277778</v>
      </c>
      <c r="E740" s="1">
        <v>45302.047951388886</v>
      </c>
      <c r="F740">
        <v>760</v>
      </c>
      <c r="G740">
        <v>30</v>
      </c>
      <c r="H740" t="s">
        <v>14</v>
      </c>
      <c r="I740" t="s">
        <v>15</v>
      </c>
      <c r="J740">
        <v>114</v>
      </c>
      <c r="K740">
        <v>33</v>
      </c>
      <c r="L740">
        <v>100</v>
      </c>
    </row>
    <row r="741" spans="1:12" x14ac:dyDescent="0.25">
      <c r="A741">
        <v>740</v>
      </c>
      <c r="B741" t="s">
        <v>1238</v>
      </c>
      <c r="C741" t="s">
        <v>1239</v>
      </c>
      <c r="D741" s="1">
        <v>45302.184062499997</v>
      </c>
      <c r="E741" s="1">
        <v>45302.240312499998</v>
      </c>
      <c r="F741">
        <v>838</v>
      </c>
      <c r="G741">
        <v>20</v>
      </c>
      <c r="H741" t="s">
        <v>18</v>
      </c>
      <c r="I741" t="s">
        <v>15</v>
      </c>
      <c r="J741">
        <v>64</v>
      </c>
      <c r="K741">
        <v>17</v>
      </c>
      <c r="L741">
        <v>50</v>
      </c>
    </row>
    <row r="742" spans="1:12" x14ac:dyDescent="0.25">
      <c r="A742">
        <v>741</v>
      </c>
      <c r="B742" t="s">
        <v>1240</v>
      </c>
      <c r="C742" t="s">
        <v>1241</v>
      </c>
      <c r="D742" s="1">
        <v>45302.247928240744</v>
      </c>
      <c r="E742" s="1">
        <v>45302.286122685182</v>
      </c>
      <c r="F742">
        <v>825</v>
      </c>
      <c r="G742">
        <v>30</v>
      </c>
      <c r="H742" t="s">
        <v>14</v>
      </c>
      <c r="I742" t="s">
        <v>15</v>
      </c>
      <c r="J742">
        <v>181</v>
      </c>
      <c r="K742">
        <v>41</v>
      </c>
      <c r="L742">
        <v>0</v>
      </c>
    </row>
    <row r="743" spans="1:12" x14ac:dyDescent="0.25">
      <c r="A743">
        <v>742</v>
      </c>
      <c r="B743" t="s">
        <v>1242</v>
      </c>
      <c r="C743" t="s">
        <v>305</v>
      </c>
      <c r="D743" s="1">
        <v>45292.97314814815</v>
      </c>
      <c r="E743" s="1">
        <v>45293.011342592596</v>
      </c>
      <c r="F743">
        <v>971</v>
      </c>
      <c r="G743">
        <v>50</v>
      </c>
      <c r="H743" t="s">
        <v>21</v>
      </c>
      <c r="I743" t="s">
        <v>28</v>
      </c>
      <c r="J743">
        <v>110</v>
      </c>
      <c r="K743">
        <v>47</v>
      </c>
      <c r="L743">
        <v>0</v>
      </c>
    </row>
    <row r="744" spans="1:12" x14ac:dyDescent="0.25">
      <c r="A744">
        <v>743</v>
      </c>
      <c r="B744" t="s">
        <v>43</v>
      </c>
      <c r="C744" t="s">
        <v>1243</v>
      </c>
      <c r="D744" s="1">
        <v>45307.062118055554</v>
      </c>
      <c r="E744" s="1">
        <v>45307.095451388886</v>
      </c>
      <c r="F744">
        <v>1786</v>
      </c>
      <c r="G744">
        <v>30</v>
      </c>
      <c r="H744" t="s">
        <v>18</v>
      </c>
      <c r="I744" t="s">
        <v>25</v>
      </c>
      <c r="J744">
        <v>197</v>
      </c>
      <c r="K744">
        <v>31</v>
      </c>
      <c r="L744">
        <v>0</v>
      </c>
    </row>
    <row r="745" spans="1:12" x14ac:dyDescent="0.25">
      <c r="A745">
        <v>744</v>
      </c>
      <c r="B745" t="s">
        <v>1244</v>
      </c>
      <c r="C745" t="s">
        <v>170</v>
      </c>
      <c r="D745" s="1">
        <v>45303.32912037037</v>
      </c>
      <c r="E745" s="1">
        <v>45303.355509259258</v>
      </c>
      <c r="F745">
        <v>291</v>
      </c>
      <c r="G745">
        <v>0</v>
      </c>
      <c r="H745" t="s">
        <v>21</v>
      </c>
      <c r="I745" t="s">
        <v>22</v>
      </c>
      <c r="J745">
        <v>187</v>
      </c>
      <c r="K745">
        <v>43</v>
      </c>
      <c r="L745">
        <v>0</v>
      </c>
    </row>
    <row r="746" spans="1:12" x14ac:dyDescent="0.25">
      <c r="A746">
        <v>745</v>
      </c>
      <c r="B746" t="s">
        <v>1157</v>
      </c>
      <c r="C746" t="s">
        <v>353</v>
      </c>
      <c r="D746" s="1">
        <v>45329.309282407405</v>
      </c>
      <c r="E746" s="1">
        <v>45329.371782407405</v>
      </c>
      <c r="F746">
        <v>1675</v>
      </c>
      <c r="G746">
        <v>30</v>
      </c>
      <c r="H746" t="s">
        <v>14</v>
      </c>
      <c r="I746" s="2">
        <v>0.1</v>
      </c>
      <c r="J746">
        <v>136</v>
      </c>
      <c r="K746">
        <v>28</v>
      </c>
      <c r="L746">
        <v>0</v>
      </c>
    </row>
    <row r="747" spans="1:12" x14ac:dyDescent="0.25">
      <c r="A747">
        <v>746</v>
      </c>
      <c r="B747" t="s">
        <v>1245</v>
      </c>
      <c r="C747" t="s">
        <v>635</v>
      </c>
      <c r="D747" s="1">
        <v>45319.663622685184</v>
      </c>
      <c r="E747" s="1">
        <v>45319.697650462964</v>
      </c>
      <c r="F747">
        <v>1365</v>
      </c>
      <c r="G747">
        <v>20</v>
      </c>
      <c r="H747" t="s">
        <v>21</v>
      </c>
      <c r="I747" t="s">
        <v>15</v>
      </c>
      <c r="J747">
        <v>154</v>
      </c>
      <c r="K747">
        <v>29</v>
      </c>
      <c r="L747">
        <v>0</v>
      </c>
    </row>
    <row r="748" spans="1:12" x14ac:dyDescent="0.25">
      <c r="A748">
        <v>747</v>
      </c>
      <c r="B748" t="s">
        <v>1246</v>
      </c>
      <c r="C748" t="s">
        <v>301</v>
      </c>
      <c r="D748" s="1">
        <v>45317.712951388887</v>
      </c>
      <c r="E748" s="1">
        <v>45317.767812500002</v>
      </c>
      <c r="F748">
        <v>237</v>
      </c>
      <c r="G748">
        <v>0</v>
      </c>
      <c r="H748" t="s">
        <v>21</v>
      </c>
      <c r="I748" t="s">
        <v>22</v>
      </c>
      <c r="J748">
        <v>83</v>
      </c>
      <c r="K748">
        <v>23</v>
      </c>
      <c r="L748">
        <v>0</v>
      </c>
    </row>
    <row r="749" spans="1:12" x14ac:dyDescent="0.25">
      <c r="A749">
        <v>748</v>
      </c>
      <c r="B749" t="s">
        <v>1247</v>
      </c>
      <c r="C749" t="s">
        <v>196</v>
      </c>
      <c r="D749" s="1">
        <v>45317.661817129629</v>
      </c>
      <c r="E749" s="1">
        <v>45317.737511574072</v>
      </c>
      <c r="F749">
        <v>444</v>
      </c>
      <c r="G749">
        <v>40</v>
      </c>
      <c r="H749" t="s">
        <v>14</v>
      </c>
      <c r="I749" t="s">
        <v>15</v>
      </c>
      <c r="J749">
        <v>173</v>
      </c>
      <c r="K749">
        <v>42</v>
      </c>
      <c r="L749">
        <v>0</v>
      </c>
    </row>
    <row r="750" spans="1:12" x14ac:dyDescent="0.25">
      <c r="A750">
        <v>749</v>
      </c>
      <c r="B750" t="s">
        <v>934</v>
      </c>
      <c r="C750" t="s">
        <v>1248</v>
      </c>
      <c r="D750" s="1">
        <v>45294.081365740742</v>
      </c>
      <c r="E750" s="1">
        <v>45294.157754629632</v>
      </c>
      <c r="F750">
        <v>1303</v>
      </c>
      <c r="G750">
        <v>50</v>
      </c>
      <c r="H750" t="s">
        <v>18</v>
      </c>
      <c r="I750" t="s">
        <v>15</v>
      </c>
      <c r="J750">
        <v>159</v>
      </c>
      <c r="K750">
        <v>19</v>
      </c>
      <c r="L750">
        <v>0</v>
      </c>
    </row>
    <row r="751" spans="1:12" x14ac:dyDescent="0.25">
      <c r="A751">
        <v>750</v>
      </c>
      <c r="B751" t="s">
        <v>868</v>
      </c>
      <c r="C751" t="s">
        <v>338</v>
      </c>
      <c r="D751" s="1">
        <v>45310.01525462963</v>
      </c>
      <c r="E751" s="1">
        <v>45310.050671296296</v>
      </c>
      <c r="F751">
        <v>1108</v>
      </c>
      <c r="G751">
        <v>50</v>
      </c>
      <c r="H751" t="s">
        <v>21</v>
      </c>
      <c r="I751" s="2">
        <v>0.1</v>
      </c>
      <c r="J751">
        <v>82</v>
      </c>
      <c r="K751">
        <v>25</v>
      </c>
      <c r="L751">
        <v>0</v>
      </c>
    </row>
    <row r="752" spans="1:12" x14ac:dyDescent="0.25">
      <c r="A752">
        <v>751</v>
      </c>
      <c r="B752" t="s">
        <v>1249</v>
      </c>
      <c r="C752" t="s">
        <v>607</v>
      </c>
      <c r="D752" s="1">
        <v>45322.776423611111</v>
      </c>
      <c r="E752" s="1">
        <v>45322.805590277778</v>
      </c>
      <c r="F752">
        <v>1835</v>
      </c>
      <c r="G752">
        <v>30</v>
      </c>
      <c r="H752" t="s">
        <v>14</v>
      </c>
      <c r="I752" t="s">
        <v>28</v>
      </c>
      <c r="J752">
        <v>147</v>
      </c>
      <c r="K752">
        <v>13</v>
      </c>
      <c r="L752">
        <v>100</v>
      </c>
    </row>
    <row r="753" spans="1:12" x14ac:dyDescent="0.25">
      <c r="A753">
        <v>752</v>
      </c>
      <c r="B753" t="s">
        <v>1250</v>
      </c>
      <c r="C753" t="s">
        <v>659</v>
      </c>
      <c r="D753" s="1">
        <v>45295.542754629627</v>
      </c>
      <c r="E753" s="1">
        <v>45295.571226851855</v>
      </c>
      <c r="F753">
        <v>602</v>
      </c>
      <c r="G753">
        <v>0</v>
      </c>
      <c r="H753" t="s">
        <v>18</v>
      </c>
      <c r="I753" t="s">
        <v>25</v>
      </c>
      <c r="J753">
        <v>110</v>
      </c>
      <c r="K753">
        <v>36</v>
      </c>
      <c r="L753">
        <v>150</v>
      </c>
    </row>
    <row r="754" spans="1:12" x14ac:dyDescent="0.25">
      <c r="A754">
        <v>753</v>
      </c>
      <c r="B754" t="s">
        <v>1251</v>
      </c>
      <c r="C754" t="s">
        <v>1252</v>
      </c>
      <c r="D754" s="1">
        <v>45306.311307870368</v>
      </c>
      <c r="E754" s="1">
        <v>45306.338391203702</v>
      </c>
      <c r="F754">
        <v>302</v>
      </c>
      <c r="G754">
        <v>40</v>
      </c>
      <c r="H754" t="s">
        <v>18</v>
      </c>
      <c r="I754" t="s">
        <v>28</v>
      </c>
      <c r="J754">
        <v>59</v>
      </c>
      <c r="K754">
        <v>37</v>
      </c>
      <c r="L754">
        <v>0</v>
      </c>
    </row>
    <row r="755" spans="1:12" x14ac:dyDescent="0.25">
      <c r="A755">
        <v>754</v>
      </c>
      <c r="B755" t="s">
        <v>1253</v>
      </c>
      <c r="C755" t="s">
        <v>1254</v>
      </c>
      <c r="D755" s="1">
        <v>45308.333564814813</v>
      </c>
      <c r="E755" s="1">
        <v>45308.398842592593</v>
      </c>
      <c r="F755">
        <v>672</v>
      </c>
      <c r="G755">
        <v>0</v>
      </c>
      <c r="H755" t="s">
        <v>18</v>
      </c>
      <c r="I755" t="s">
        <v>22</v>
      </c>
      <c r="J755">
        <v>133</v>
      </c>
      <c r="K755">
        <v>25</v>
      </c>
      <c r="L755">
        <v>100</v>
      </c>
    </row>
    <row r="756" spans="1:12" x14ac:dyDescent="0.25">
      <c r="A756">
        <v>755</v>
      </c>
      <c r="B756" t="s">
        <v>1255</v>
      </c>
      <c r="C756" t="s">
        <v>1256</v>
      </c>
      <c r="D756" s="1">
        <v>45299.909768518519</v>
      </c>
      <c r="E756" s="1">
        <v>45299.950740740744</v>
      </c>
      <c r="F756">
        <v>291</v>
      </c>
      <c r="G756">
        <v>50</v>
      </c>
      <c r="H756" t="s">
        <v>21</v>
      </c>
      <c r="I756" t="s">
        <v>28</v>
      </c>
      <c r="J756">
        <v>114</v>
      </c>
      <c r="K756">
        <v>42</v>
      </c>
      <c r="L756">
        <v>100</v>
      </c>
    </row>
    <row r="757" spans="1:12" x14ac:dyDescent="0.25">
      <c r="A757">
        <v>756</v>
      </c>
      <c r="B757" t="s">
        <v>1257</v>
      </c>
      <c r="C757" t="s">
        <v>243</v>
      </c>
      <c r="D757" s="1">
        <v>45309.908113425925</v>
      </c>
      <c r="E757" s="1">
        <v>45309.933807870373</v>
      </c>
      <c r="F757">
        <v>104</v>
      </c>
      <c r="G757">
        <v>0</v>
      </c>
      <c r="H757" t="s">
        <v>21</v>
      </c>
      <c r="I757" t="s">
        <v>22</v>
      </c>
      <c r="J757">
        <v>126</v>
      </c>
      <c r="K757">
        <v>28</v>
      </c>
      <c r="L757">
        <v>0</v>
      </c>
    </row>
    <row r="758" spans="1:12" x14ac:dyDescent="0.25">
      <c r="A758">
        <v>757</v>
      </c>
      <c r="B758" t="s">
        <v>1258</v>
      </c>
      <c r="C758" t="s">
        <v>1259</v>
      </c>
      <c r="D758" s="1">
        <v>45320.760231481479</v>
      </c>
      <c r="E758" s="1">
        <v>45320.794953703706</v>
      </c>
      <c r="F758">
        <v>1360</v>
      </c>
      <c r="G758">
        <v>40</v>
      </c>
      <c r="H758" t="s">
        <v>21</v>
      </c>
      <c r="I758" t="s">
        <v>22</v>
      </c>
      <c r="J758">
        <v>50</v>
      </c>
      <c r="K758">
        <v>30</v>
      </c>
      <c r="L758">
        <v>0</v>
      </c>
    </row>
    <row r="759" spans="1:12" x14ac:dyDescent="0.25">
      <c r="A759">
        <v>758</v>
      </c>
      <c r="B759" t="s">
        <v>1260</v>
      </c>
      <c r="C759" t="s">
        <v>130</v>
      </c>
      <c r="D759" s="1">
        <v>45302.025266203702</v>
      </c>
      <c r="E759" s="1">
        <v>45302.060682870368</v>
      </c>
      <c r="F759">
        <v>1816</v>
      </c>
      <c r="G759">
        <v>30</v>
      </c>
      <c r="H759" t="s">
        <v>18</v>
      </c>
      <c r="I759" t="s">
        <v>25</v>
      </c>
      <c r="J759">
        <v>182</v>
      </c>
      <c r="K759">
        <v>31</v>
      </c>
      <c r="L759">
        <v>100</v>
      </c>
    </row>
    <row r="760" spans="1:12" x14ac:dyDescent="0.25">
      <c r="A760">
        <v>759</v>
      </c>
      <c r="B760" t="s">
        <v>1261</v>
      </c>
      <c r="C760" t="s">
        <v>1262</v>
      </c>
      <c r="D760" s="1">
        <v>45299.209409722222</v>
      </c>
      <c r="E760" s="1">
        <v>45299.242048611108</v>
      </c>
      <c r="F760">
        <v>410</v>
      </c>
      <c r="G760">
        <v>20</v>
      </c>
      <c r="H760" t="s">
        <v>21</v>
      </c>
      <c r="I760" s="2">
        <v>0.1</v>
      </c>
      <c r="J760">
        <v>129</v>
      </c>
      <c r="K760">
        <v>18</v>
      </c>
      <c r="L760">
        <v>0</v>
      </c>
    </row>
    <row r="761" spans="1:12" x14ac:dyDescent="0.25">
      <c r="A761">
        <v>760</v>
      </c>
      <c r="B761" t="s">
        <v>1263</v>
      </c>
      <c r="C761" t="s">
        <v>1050</v>
      </c>
      <c r="D761" s="1">
        <v>45301.74496527778</v>
      </c>
      <c r="E761" s="1">
        <v>45301.810937499999</v>
      </c>
      <c r="F761">
        <v>648</v>
      </c>
      <c r="G761">
        <v>0</v>
      </c>
      <c r="H761" t="s">
        <v>14</v>
      </c>
      <c r="I761" t="s">
        <v>25</v>
      </c>
      <c r="J761">
        <v>64</v>
      </c>
      <c r="K761">
        <v>18</v>
      </c>
      <c r="L761">
        <v>0</v>
      </c>
    </row>
    <row r="762" spans="1:12" x14ac:dyDescent="0.25">
      <c r="A762">
        <v>761</v>
      </c>
      <c r="B762" t="s">
        <v>1264</v>
      </c>
      <c r="C762" t="s">
        <v>1265</v>
      </c>
      <c r="D762" s="1">
        <v>45295.989699074074</v>
      </c>
      <c r="E762" s="1">
        <v>45296.043171296296</v>
      </c>
      <c r="F762">
        <v>155</v>
      </c>
      <c r="G762">
        <v>20</v>
      </c>
      <c r="H762" t="s">
        <v>21</v>
      </c>
      <c r="I762" t="s">
        <v>28</v>
      </c>
      <c r="J762">
        <v>77</v>
      </c>
      <c r="K762">
        <v>18</v>
      </c>
      <c r="L762">
        <v>0</v>
      </c>
    </row>
    <row r="763" spans="1:12" x14ac:dyDescent="0.25">
      <c r="A763">
        <v>762</v>
      </c>
      <c r="B763" t="s">
        <v>1266</v>
      </c>
      <c r="C763" t="s">
        <v>444</v>
      </c>
      <c r="D763" s="1">
        <v>45299.321099537039</v>
      </c>
      <c r="E763" s="1">
        <v>45299.371793981481</v>
      </c>
      <c r="F763">
        <v>542</v>
      </c>
      <c r="G763">
        <v>50</v>
      </c>
      <c r="H763" t="s">
        <v>21</v>
      </c>
      <c r="I763" t="s">
        <v>22</v>
      </c>
      <c r="J763">
        <v>72</v>
      </c>
      <c r="K763">
        <v>36</v>
      </c>
      <c r="L763">
        <v>50</v>
      </c>
    </row>
    <row r="764" spans="1:12" x14ac:dyDescent="0.25">
      <c r="A764">
        <v>763</v>
      </c>
      <c r="B764" t="s">
        <v>1267</v>
      </c>
      <c r="C764" t="s">
        <v>1268</v>
      </c>
      <c r="D764" s="1">
        <v>45325.353449074071</v>
      </c>
      <c r="E764" s="1">
        <v>45325.379837962966</v>
      </c>
      <c r="F764">
        <v>1360</v>
      </c>
      <c r="G764">
        <v>30</v>
      </c>
      <c r="H764" t="s">
        <v>18</v>
      </c>
      <c r="I764" t="s">
        <v>15</v>
      </c>
      <c r="J764">
        <v>158</v>
      </c>
      <c r="K764">
        <v>26</v>
      </c>
      <c r="L764">
        <v>150</v>
      </c>
    </row>
    <row r="765" spans="1:12" x14ac:dyDescent="0.25">
      <c r="A765">
        <v>764</v>
      </c>
      <c r="B765" t="s">
        <v>1269</v>
      </c>
      <c r="C765" t="s">
        <v>176</v>
      </c>
      <c r="D765" s="1">
        <v>45327.985173611109</v>
      </c>
      <c r="E765" s="1">
        <v>45328.051840277774</v>
      </c>
      <c r="F765">
        <v>969</v>
      </c>
      <c r="G765">
        <v>30</v>
      </c>
      <c r="H765" t="s">
        <v>21</v>
      </c>
      <c r="I765" t="s">
        <v>15</v>
      </c>
      <c r="J765">
        <v>156</v>
      </c>
      <c r="K765">
        <v>17</v>
      </c>
      <c r="L765">
        <v>100</v>
      </c>
    </row>
    <row r="766" spans="1:12" x14ac:dyDescent="0.25">
      <c r="A766">
        <v>765</v>
      </c>
      <c r="B766" t="s">
        <v>1270</v>
      </c>
      <c r="C766" t="s">
        <v>752</v>
      </c>
      <c r="D766" s="1">
        <v>45297.221724537034</v>
      </c>
      <c r="E766" s="1">
        <v>45297.279363425929</v>
      </c>
      <c r="F766">
        <v>1984</v>
      </c>
      <c r="G766">
        <v>0</v>
      </c>
      <c r="H766" t="s">
        <v>14</v>
      </c>
      <c r="I766" t="s">
        <v>22</v>
      </c>
      <c r="J766">
        <v>194</v>
      </c>
      <c r="K766">
        <v>25</v>
      </c>
      <c r="L766">
        <v>150</v>
      </c>
    </row>
    <row r="767" spans="1:12" x14ac:dyDescent="0.25">
      <c r="A767">
        <v>766</v>
      </c>
      <c r="B767" t="s">
        <v>1271</v>
      </c>
      <c r="C767" t="s">
        <v>786</v>
      </c>
      <c r="D767" s="1">
        <v>45304.807650462964</v>
      </c>
      <c r="E767" s="1">
        <v>45304.84584490741</v>
      </c>
      <c r="F767">
        <v>1320</v>
      </c>
      <c r="G767">
        <v>30</v>
      </c>
      <c r="H767" t="s">
        <v>18</v>
      </c>
      <c r="I767" t="s">
        <v>25</v>
      </c>
      <c r="J767">
        <v>162</v>
      </c>
      <c r="K767">
        <v>27</v>
      </c>
      <c r="L767">
        <v>0</v>
      </c>
    </row>
    <row r="768" spans="1:12" x14ac:dyDescent="0.25">
      <c r="A768">
        <v>767</v>
      </c>
      <c r="B768" t="s">
        <v>1272</v>
      </c>
      <c r="C768" t="s">
        <v>894</v>
      </c>
      <c r="D768" s="1">
        <v>45306.651597222219</v>
      </c>
      <c r="E768" s="1">
        <v>45306.730763888889</v>
      </c>
      <c r="F768">
        <v>684</v>
      </c>
      <c r="G768">
        <v>0</v>
      </c>
      <c r="H768" t="s">
        <v>14</v>
      </c>
      <c r="I768" s="2">
        <v>0.1</v>
      </c>
      <c r="J768">
        <v>147</v>
      </c>
      <c r="K768">
        <v>42</v>
      </c>
      <c r="L768">
        <v>0</v>
      </c>
    </row>
    <row r="769" spans="1:12" x14ac:dyDescent="0.25">
      <c r="A769">
        <v>768</v>
      </c>
      <c r="B769" t="s">
        <v>1273</v>
      </c>
      <c r="C769" t="s">
        <v>1274</v>
      </c>
      <c r="D769" s="1">
        <v>45316.543275462966</v>
      </c>
      <c r="E769" s="1">
        <v>45316.581469907411</v>
      </c>
      <c r="F769">
        <v>1694</v>
      </c>
      <c r="G769">
        <v>0</v>
      </c>
      <c r="H769" t="s">
        <v>18</v>
      </c>
      <c r="I769" t="s">
        <v>25</v>
      </c>
      <c r="J769">
        <v>190</v>
      </c>
      <c r="K769">
        <v>10</v>
      </c>
      <c r="L769">
        <v>50</v>
      </c>
    </row>
    <row r="770" spans="1:12" x14ac:dyDescent="0.25">
      <c r="A770">
        <v>769</v>
      </c>
      <c r="B770" t="s">
        <v>1275</v>
      </c>
      <c r="C770" t="s">
        <v>1276</v>
      </c>
      <c r="D770" s="1">
        <v>45302.189953703702</v>
      </c>
      <c r="E770" s="1">
        <v>45302.233703703707</v>
      </c>
      <c r="F770">
        <v>851</v>
      </c>
      <c r="G770">
        <v>20</v>
      </c>
      <c r="H770" t="s">
        <v>18</v>
      </c>
      <c r="I770" t="s">
        <v>22</v>
      </c>
      <c r="J770">
        <v>191</v>
      </c>
      <c r="K770">
        <v>21</v>
      </c>
      <c r="L770">
        <v>0</v>
      </c>
    </row>
    <row r="771" spans="1:12" x14ac:dyDescent="0.25">
      <c r="A771">
        <v>770</v>
      </c>
      <c r="B771" t="s">
        <v>1277</v>
      </c>
      <c r="C771" t="s">
        <v>233</v>
      </c>
      <c r="D771" s="1">
        <v>45312.287546296298</v>
      </c>
      <c r="E771" s="1">
        <v>45312.313240740739</v>
      </c>
      <c r="F771">
        <v>1637</v>
      </c>
      <c r="G771">
        <v>30</v>
      </c>
      <c r="H771" t="s">
        <v>21</v>
      </c>
      <c r="I771" t="s">
        <v>22</v>
      </c>
      <c r="J771">
        <v>188</v>
      </c>
      <c r="K771">
        <v>15</v>
      </c>
      <c r="L771">
        <v>0</v>
      </c>
    </row>
    <row r="772" spans="1:12" x14ac:dyDescent="0.25">
      <c r="A772">
        <v>771</v>
      </c>
      <c r="B772" t="s">
        <v>1278</v>
      </c>
      <c r="C772" t="s">
        <v>1279</v>
      </c>
      <c r="D772" s="1">
        <v>45329.397974537038</v>
      </c>
      <c r="E772" s="1">
        <v>45329.425057870372</v>
      </c>
      <c r="F772">
        <v>1572</v>
      </c>
      <c r="G772">
        <v>0</v>
      </c>
      <c r="H772" t="s">
        <v>14</v>
      </c>
      <c r="I772" s="2">
        <v>0.1</v>
      </c>
      <c r="J772">
        <v>77</v>
      </c>
      <c r="K772">
        <v>50</v>
      </c>
      <c r="L772">
        <v>50</v>
      </c>
    </row>
    <row r="773" spans="1:12" x14ac:dyDescent="0.25">
      <c r="A773">
        <v>772</v>
      </c>
      <c r="B773" t="s">
        <v>658</v>
      </c>
      <c r="C773" t="s">
        <v>1280</v>
      </c>
      <c r="D773" s="1">
        <v>45317.940752314818</v>
      </c>
      <c r="E773" s="1">
        <v>45317.99422453704</v>
      </c>
      <c r="F773">
        <v>459</v>
      </c>
      <c r="G773">
        <v>20</v>
      </c>
      <c r="H773" t="s">
        <v>18</v>
      </c>
      <c r="I773" t="s">
        <v>28</v>
      </c>
      <c r="J773">
        <v>91</v>
      </c>
      <c r="K773">
        <v>14</v>
      </c>
      <c r="L773">
        <v>0</v>
      </c>
    </row>
    <row r="774" spans="1:12" x14ac:dyDescent="0.25">
      <c r="A774">
        <v>773</v>
      </c>
      <c r="B774" t="s">
        <v>1281</v>
      </c>
      <c r="C774" t="s">
        <v>677</v>
      </c>
      <c r="D774" s="1">
        <v>45328.174305555556</v>
      </c>
      <c r="E774" s="1">
        <v>45328.232638888891</v>
      </c>
      <c r="F774">
        <v>1823</v>
      </c>
      <c r="G774">
        <v>40</v>
      </c>
      <c r="H774" t="s">
        <v>21</v>
      </c>
      <c r="I774" t="s">
        <v>28</v>
      </c>
      <c r="J774">
        <v>148</v>
      </c>
      <c r="K774">
        <v>25</v>
      </c>
      <c r="L774">
        <v>0</v>
      </c>
    </row>
    <row r="775" spans="1:12" x14ac:dyDescent="0.25">
      <c r="A775">
        <v>774</v>
      </c>
      <c r="B775" t="s">
        <v>1061</v>
      </c>
      <c r="C775" t="s">
        <v>592</v>
      </c>
      <c r="D775" s="1">
        <v>45311.584606481483</v>
      </c>
      <c r="E775" s="1">
        <v>45311.642245370371</v>
      </c>
      <c r="F775">
        <v>918</v>
      </c>
      <c r="G775">
        <v>20</v>
      </c>
      <c r="H775" t="s">
        <v>18</v>
      </c>
      <c r="I775" s="2">
        <v>0.1</v>
      </c>
      <c r="J775">
        <v>110</v>
      </c>
      <c r="K775">
        <v>27</v>
      </c>
      <c r="L775">
        <v>0</v>
      </c>
    </row>
    <row r="776" spans="1:12" x14ac:dyDescent="0.25">
      <c r="A776">
        <v>775</v>
      </c>
      <c r="B776" t="s">
        <v>1282</v>
      </c>
      <c r="C776" t="s">
        <v>1283</v>
      </c>
      <c r="D776" s="1">
        <v>45295.679108796299</v>
      </c>
      <c r="E776" s="1">
        <v>45295.75341435185</v>
      </c>
      <c r="F776">
        <v>129</v>
      </c>
      <c r="G776">
        <v>20</v>
      </c>
      <c r="H776" t="s">
        <v>18</v>
      </c>
      <c r="I776" t="s">
        <v>28</v>
      </c>
      <c r="J776">
        <v>172</v>
      </c>
      <c r="K776">
        <v>27</v>
      </c>
      <c r="L776">
        <v>0</v>
      </c>
    </row>
    <row r="777" spans="1:12" x14ac:dyDescent="0.25">
      <c r="A777">
        <v>776</v>
      </c>
      <c r="B777" t="s">
        <v>1284</v>
      </c>
      <c r="C777" t="s">
        <v>1285</v>
      </c>
      <c r="D777" s="1">
        <v>45312.009189814817</v>
      </c>
      <c r="E777" s="1">
        <v>45312.057106481479</v>
      </c>
      <c r="F777">
        <v>1902</v>
      </c>
      <c r="G777">
        <v>0</v>
      </c>
      <c r="H777" t="s">
        <v>18</v>
      </c>
      <c r="I777" t="s">
        <v>15</v>
      </c>
      <c r="J777">
        <v>113</v>
      </c>
      <c r="K777">
        <v>10</v>
      </c>
      <c r="L777">
        <v>0</v>
      </c>
    </row>
    <row r="778" spans="1:12" x14ac:dyDescent="0.25">
      <c r="A778">
        <v>777</v>
      </c>
      <c r="B778" t="s">
        <v>1286</v>
      </c>
      <c r="C778" t="s">
        <v>800</v>
      </c>
      <c r="D778" s="1">
        <v>45306.216863425929</v>
      </c>
      <c r="E778" s="1">
        <v>45306.247418981482</v>
      </c>
      <c r="F778">
        <v>207</v>
      </c>
      <c r="G778">
        <v>50</v>
      </c>
      <c r="H778" t="s">
        <v>18</v>
      </c>
      <c r="I778" t="s">
        <v>28</v>
      </c>
      <c r="J778">
        <v>80</v>
      </c>
      <c r="K778">
        <v>28</v>
      </c>
      <c r="L778">
        <v>0</v>
      </c>
    </row>
    <row r="779" spans="1:12" x14ac:dyDescent="0.25">
      <c r="A779">
        <v>778</v>
      </c>
      <c r="B779" t="s">
        <v>1287</v>
      </c>
      <c r="C779" t="s">
        <v>1288</v>
      </c>
      <c r="D779" s="1">
        <v>45322.85738425926</v>
      </c>
      <c r="E779" s="1">
        <v>45322.93377314815</v>
      </c>
      <c r="F779">
        <v>943</v>
      </c>
      <c r="G779">
        <v>50</v>
      </c>
      <c r="H779" t="s">
        <v>18</v>
      </c>
      <c r="I779" t="s">
        <v>28</v>
      </c>
      <c r="J779">
        <v>130</v>
      </c>
      <c r="K779">
        <v>17</v>
      </c>
      <c r="L779">
        <v>0</v>
      </c>
    </row>
    <row r="780" spans="1:12" x14ac:dyDescent="0.25">
      <c r="A780">
        <v>779</v>
      </c>
      <c r="B780" t="s">
        <v>1289</v>
      </c>
      <c r="C780" t="s">
        <v>1290</v>
      </c>
      <c r="D780" s="1">
        <v>45297.611273148148</v>
      </c>
      <c r="E780" s="1">
        <v>45297.643912037034</v>
      </c>
      <c r="F780">
        <v>1725</v>
      </c>
      <c r="G780">
        <v>50</v>
      </c>
      <c r="H780" t="s">
        <v>18</v>
      </c>
      <c r="I780" t="s">
        <v>28</v>
      </c>
      <c r="J780">
        <v>59</v>
      </c>
      <c r="K780">
        <v>12</v>
      </c>
      <c r="L780">
        <v>0</v>
      </c>
    </row>
    <row r="781" spans="1:12" x14ac:dyDescent="0.25">
      <c r="A781">
        <v>780</v>
      </c>
      <c r="B781" t="s">
        <v>1291</v>
      </c>
      <c r="C781" t="s">
        <v>1292</v>
      </c>
      <c r="D781" s="1">
        <v>45306.191365740742</v>
      </c>
      <c r="E781" s="1">
        <v>45306.227476851855</v>
      </c>
      <c r="F781">
        <v>816</v>
      </c>
      <c r="G781">
        <v>20</v>
      </c>
      <c r="H781" t="s">
        <v>21</v>
      </c>
      <c r="I781" t="s">
        <v>15</v>
      </c>
      <c r="J781">
        <v>57</v>
      </c>
      <c r="K781">
        <v>34</v>
      </c>
      <c r="L781">
        <v>0</v>
      </c>
    </row>
    <row r="782" spans="1:12" x14ac:dyDescent="0.25">
      <c r="A782">
        <v>781</v>
      </c>
      <c r="B782" t="s">
        <v>1293</v>
      </c>
      <c r="C782" t="s">
        <v>1294</v>
      </c>
      <c r="D782" s="1">
        <v>45321.167905092596</v>
      </c>
      <c r="E782" s="1">
        <v>45321.231099537035</v>
      </c>
      <c r="F782">
        <v>990</v>
      </c>
      <c r="G782">
        <v>0</v>
      </c>
      <c r="H782" t="s">
        <v>18</v>
      </c>
      <c r="I782" t="s">
        <v>28</v>
      </c>
      <c r="J782">
        <v>198</v>
      </c>
      <c r="K782">
        <v>14</v>
      </c>
      <c r="L782">
        <v>0</v>
      </c>
    </row>
    <row r="783" spans="1:12" x14ac:dyDescent="0.25">
      <c r="A783">
        <v>782</v>
      </c>
      <c r="B783" t="s">
        <v>1295</v>
      </c>
      <c r="C783" t="s">
        <v>382</v>
      </c>
      <c r="D783" s="1">
        <v>45310.873472222222</v>
      </c>
      <c r="E783" s="1">
        <v>45310.925555555557</v>
      </c>
      <c r="F783">
        <v>1059</v>
      </c>
      <c r="G783">
        <v>30</v>
      </c>
      <c r="H783" t="s">
        <v>14</v>
      </c>
      <c r="I783" t="s">
        <v>15</v>
      </c>
      <c r="J783">
        <v>108</v>
      </c>
      <c r="K783">
        <v>49</v>
      </c>
      <c r="L783">
        <v>0</v>
      </c>
    </row>
    <row r="784" spans="1:12" x14ac:dyDescent="0.25">
      <c r="A784">
        <v>783</v>
      </c>
      <c r="B784" t="s">
        <v>1296</v>
      </c>
      <c r="C784" t="s">
        <v>930</v>
      </c>
      <c r="D784" s="1">
        <v>45308.429872685185</v>
      </c>
      <c r="E784" s="1">
        <v>45308.510428240741</v>
      </c>
      <c r="F784">
        <v>1568</v>
      </c>
      <c r="G784">
        <v>20</v>
      </c>
      <c r="H784" t="s">
        <v>21</v>
      </c>
      <c r="I784" s="2">
        <v>0.1</v>
      </c>
      <c r="J784">
        <v>79</v>
      </c>
      <c r="K784">
        <v>28</v>
      </c>
      <c r="L784">
        <v>0</v>
      </c>
    </row>
    <row r="785" spans="1:12" x14ac:dyDescent="0.25">
      <c r="A785">
        <v>784</v>
      </c>
      <c r="B785" t="s">
        <v>1297</v>
      </c>
      <c r="C785" t="s">
        <v>1298</v>
      </c>
      <c r="D785" s="1">
        <v>45304.179745370369</v>
      </c>
      <c r="E785" s="1">
        <v>45304.226967592593</v>
      </c>
      <c r="F785">
        <v>992</v>
      </c>
      <c r="G785">
        <v>20</v>
      </c>
      <c r="H785" t="s">
        <v>14</v>
      </c>
      <c r="I785" t="s">
        <v>25</v>
      </c>
      <c r="J785">
        <v>194</v>
      </c>
      <c r="K785">
        <v>27</v>
      </c>
      <c r="L785">
        <v>100</v>
      </c>
    </row>
    <row r="786" spans="1:12" x14ac:dyDescent="0.25">
      <c r="A786">
        <v>785</v>
      </c>
      <c r="B786" t="s">
        <v>1299</v>
      </c>
      <c r="C786" t="s">
        <v>1300</v>
      </c>
      <c r="D786" s="1">
        <v>45310.517453703702</v>
      </c>
      <c r="E786" s="1">
        <v>45310.548009259262</v>
      </c>
      <c r="F786">
        <v>1561</v>
      </c>
      <c r="G786">
        <v>0</v>
      </c>
      <c r="H786" t="s">
        <v>18</v>
      </c>
      <c r="I786" s="2">
        <v>0.1</v>
      </c>
      <c r="J786">
        <v>69</v>
      </c>
      <c r="K786">
        <v>40</v>
      </c>
      <c r="L786">
        <v>0</v>
      </c>
    </row>
    <row r="787" spans="1:12" x14ac:dyDescent="0.25">
      <c r="A787">
        <v>786</v>
      </c>
      <c r="B787" t="s">
        <v>1301</v>
      </c>
      <c r="C787" t="s">
        <v>480</v>
      </c>
      <c r="D787" s="1">
        <v>45317.051064814812</v>
      </c>
      <c r="E787" s="1">
        <v>45317.10800925926</v>
      </c>
      <c r="F787">
        <v>831</v>
      </c>
      <c r="G787">
        <v>40</v>
      </c>
      <c r="H787" t="s">
        <v>14</v>
      </c>
      <c r="I787" t="s">
        <v>25</v>
      </c>
      <c r="J787">
        <v>97</v>
      </c>
      <c r="K787">
        <v>42</v>
      </c>
      <c r="L787">
        <v>0</v>
      </c>
    </row>
    <row r="788" spans="1:12" x14ac:dyDescent="0.25">
      <c r="A788">
        <v>787</v>
      </c>
      <c r="B788" t="s">
        <v>1302</v>
      </c>
      <c r="C788" t="s">
        <v>1303</v>
      </c>
      <c r="D788" s="1">
        <v>45304.910740740743</v>
      </c>
      <c r="E788" s="1">
        <v>45304.991990740738</v>
      </c>
      <c r="F788">
        <v>705</v>
      </c>
      <c r="G788">
        <v>20</v>
      </c>
      <c r="H788" t="s">
        <v>18</v>
      </c>
      <c r="I788" s="2">
        <v>0.1</v>
      </c>
      <c r="J788">
        <v>179</v>
      </c>
      <c r="K788">
        <v>27</v>
      </c>
      <c r="L788">
        <v>0</v>
      </c>
    </row>
    <row r="789" spans="1:12" x14ac:dyDescent="0.25">
      <c r="A789">
        <v>788</v>
      </c>
      <c r="B789" t="s">
        <v>1304</v>
      </c>
      <c r="C789" t="s">
        <v>1305</v>
      </c>
      <c r="D789" s="1">
        <v>45319.24359953704</v>
      </c>
      <c r="E789" s="1">
        <v>45319.308182870373</v>
      </c>
      <c r="F789">
        <v>556</v>
      </c>
      <c r="G789">
        <v>40</v>
      </c>
      <c r="H789" t="s">
        <v>18</v>
      </c>
      <c r="I789" t="s">
        <v>25</v>
      </c>
      <c r="J789">
        <v>86</v>
      </c>
      <c r="K789">
        <v>48</v>
      </c>
      <c r="L789">
        <v>0</v>
      </c>
    </row>
    <row r="790" spans="1:12" x14ac:dyDescent="0.25">
      <c r="A790">
        <v>789</v>
      </c>
      <c r="B790" t="s">
        <v>1306</v>
      </c>
      <c r="C790" t="s">
        <v>378</v>
      </c>
      <c r="D790" s="1">
        <v>45322.441504629627</v>
      </c>
      <c r="E790" s="1">
        <v>45322.505393518521</v>
      </c>
      <c r="F790">
        <v>714</v>
      </c>
      <c r="G790">
        <v>40</v>
      </c>
      <c r="H790" t="s">
        <v>21</v>
      </c>
      <c r="I790" t="s">
        <v>25</v>
      </c>
      <c r="J790">
        <v>178</v>
      </c>
      <c r="K790">
        <v>25</v>
      </c>
      <c r="L790">
        <v>150</v>
      </c>
    </row>
    <row r="791" spans="1:12" x14ac:dyDescent="0.25">
      <c r="A791">
        <v>790</v>
      </c>
      <c r="B791" t="s">
        <v>1307</v>
      </c>
      <c r="C791" t="s">
        <v>1308</v>
      </c>
      <c r="D791" s="1">
        <v>45325.477754629632</v>
      </c>
      <c r="E791" s="1">
        <v>45325.553449074076</v>
      </c>
      <c r="F791">
        <v>1858</v>
      </c>
      <c r="G791">
        <v>50</v>
      </c>
      <c r="H791" t="s">
        <v>21</v>
      </c>
      <c r="I791" t="s">
        <v>22</v>
      </c>
      <c r="J791">
        <v>181</v>
      </c>
      <c r="K791">
        <v>25</v>
      </c>
      <c r="L791">
        <v>0</v>
      </c>
    </row>
    <row r="792" spans="1:12" x14ac:dyDescent="0.25">
      <c r="A792">
        <v>791</v>
      </c>
      <c r="B792" t="s">
        <v>1309</v>
      </c>
      <c r="C792" t="s">
        <v>1310</v>
      </c>
      <c r="D792" s="1">
        <v>45314.964317129627</v>
      </c>
      <c r="E792" s="1">
        <v>45314.995567129627</v>
      </c>
      <c r="F792">
        <v>797</v>
      </c>
      <c r="G792">
        <v>0</v>
      </c>
      <c r="H792" t="s">
        <v>18</v>
      </c>
      <c r="I792" t="s">
        <v>25</v>
      </c>
      <c r="J792">
        <v>149</v>
      </c>
      <c r="K792">
        <v>47</v>
      </c>
      <c r="L792">
        <v>0</v>
      </c>
    </row>
    <row r="793" spans="1:12" x14ac:dyDescent="0.25">
      <c r="A793">
        <v>792</v>
      </c>
      <c r="B793" t="s">
        <v>1311</v>
      </c>
      <c r="C793" t="s">
        <v>100</v>
      </c>
      <c r="D793" s="1">
        <v>45320.278726851851</v>
      </c>
      <c r="E793" s="1">
        <v>45320.34747685185</v>
      </c>
      <c r="F793">
        <v>1819</v>
      </c>
      <c r="G793">
        <v>40</v>
      </c>
      <c r="H793" t="s">
        <v>21</v>
      </c>
      <c r="I793" t="s">
        <v>25</v>
      </c>
      <c r="J793">
        <v>103</v>
      </c>
      <c r="K793">
        <v>50</v>
      </c>
      <c r="L793">
        <v>0</v>
      </c>
    </row>
    <row r="794" spans="1:12" x14ac:dyDescent="0.25">
      <c r="A794">
        <v>793</v>
      </c>
      <c r="B794" t="s">
        <v>1312</v>
      </c>
      <c r="C794" t="s">
        <v>1313</v>
      </c>
      <c r="D794" s="1">
        <v>45302.050625000003</v>
      </c>
      <c r="E794" s="1">
        <v>45302.116597222222</v>
      </c>
      <c r="F794">
        <v>1618</v>
      </c>
      <c r="G794">
        <v>0</v>
      </c>
      <c r="H794" t="s">
        <v>14</v>
      </c>
      <c r="I794" t="s">
        <v>22</v>
      </c>
      <c r="J794">
        <v>171</v>
      </c>
      <c r="K794">
        <v>16</v>
      </c>
      <c r="L794">
        <v>50</v>
      </c>
    </row>
    <row r="795" spans="1:12" x14ac:dyDescent="0.25">
      <c r="A795">
        <v>794</v>
      </c>
      <c r="B795" t="s">
        <v>1314</v>
      </c>
      <c r="C795" t="s">
        <v>344</v>
      </c>
      <c r="D795" s="1">
        <v>45312.318842592591</v>
      </c>
      <c r="E795" s="1">
        <v>45312.348009259258</v>
      </c>
      <c r="F795">
        <v>773</v>
      </c>
      <c r="G795">
        <v>50</v>
      </c>
      <c r="H795" t="s">
        <v>21</v>
      </c>
      <c r="I795" t="s">
        <v>28</v>
      </c>
      <c r="J795">
        <v>74</v>
      </c>
      <c r="K795">
        <v>23</v>
      </c>
      <c r="L795">
        <v>100</v>
      </c>
    </row>
    <row r="796" spans="1:12" x14ac:dyDescent="0.25">
      <c r="A796">
        <v>795</v>
      </c>
      <c r="B796" t="s">
        <v>1315</v>
      </c>
      <c r="C796" t="s">
        <v>307</v>
      </c>
      <c r="D796" s="1">
        <v>45292.344039351854</v>
      </c>
      <c r="E796" s="1">
        <v>45292.396817129629</v>
      </c>
      <c r="F796">
        <v>1370</v>
      </c>
      <c r="G796">
        <v>0</v>
      </c>
      <c r="H796" t="s">
        <v>21</v>
      </c>
      <c r="I796" t="s">
        <v>28</v>
      </c>
      <c r="J796">
        <v>180</v>
      </c>
      <c r="K796">
        <v>34</v>
      </c>
      <c r="L796">
        <v>150</v>
      </c>
    </row>
    <row r="797" spans="1:12" x14ac:dyDescent="0.25">
      <c r="A797">
        <v>796</v>
      </c>
      <c r="B797" t="s">
        <v>1316</v>
      </c>
      <c r="C797" t="s">
        <v>750</v>
      </c>
      <c r="D797" s="1">
        <v>45305.721921296295</v>
      </c>
      <c r="E797" s="1">
        <v>45305.748310185183</v>
      </c>
      <c r="F797">
        <v>642</v>
      </c>
      <c r="G797">
        <v>20</v>
      </c>
      <c r="H797" t="s">
        <v>14</v>
      </c>
      <c r="I797" t="s">
        <v>22</v>
      </c>
      <c r="J797">
        <v>58</v>
      </c>
      <c r="K797">
        <v>41</v>
      </c>
      <c r="L797">
        <v>150</v>
      </c>
    </row>
    <row r="798" spans="1:12" x14ac:dyDescent="0.25">
      <c r="A798">
        <v>797</v>
      </c>
      <c r="B798" t="s">
        <v>1317</v>
      </c>
      <c r="C798" t="s">
        <v>1022</v>
      </c>
      <c r="D798" s="1">
        <v>45293.210127314815</v>
      </c>
      <c r="E798" s="1">
        <v>45293.274016203701</v>
      </c>
      <c r="F798">
        <v>1687</v>
      </c>
      <c r="G798">
        <v>40</v>
      </c>
      <c r="H798" t="s">
        <v>21</v>
      </c>
      <c r="I798" t="s">
        <v>15</v>
      </c>
      <c r="J798">
        <v>83</v>
      </c>
      <c r="K798">
        <v>47</v>
      </c>
      <c r="L798">
        <v>0</v>
      </c>
    </row>
    <row r="799" spans="1:12" x14ac:dyDescent="0.25">
      <c r="A799">
        <v>798</v>
      </c>
      <c r="B799" t="s">
        <v>959</v>
      </c>
      <c r="C799" t="s">
        <v>995</v>
      </c>
      <c r="D799" s="1">
        <v>45319.299050925925</v>
      </c>
      <c r="E799" s="1">
        <v>45319.342800925922</v>
      </c>
      <c r="F799">
        <v>956</v>
      </c>
      <c r="G799">
        <v>0</v>
      </c>
      <c r="H799" t="s">
        <v>18</v>
      </c>
      <c r="I799" t="s">
        <v>25</v>
      </c>
      <c r="J799">
        <v>92</v>
      </c>
      <c r="K799">
        <v>31</v>
      </c>
      <c r="L799">
        <v>100</v>
      </c>
    </row>
    <row r="800" spans="1:12" x14ac:dyDescent="0.25">
      <c r="A800">
        <v>799</v>
      </c>
      <c r="B800" t="s">
        <v>1318</v>
      </c>
      <c r="C800" t="s">
        <v>888</v>
      </c>
      <c r="D800" s="1">
        <v>45301.212129629632</v>
      </c>
      <c r="E800" s="1">
        <v>45301.288518518515</v>
      </c>
      <c r="F800">
        <v>1711</v>
      </c>
      <c r="G800">
        <v>30</v>
      </c>
      <c r="H800" t="s">
        <v>14</v>
      </c>
      <c r="I800" t="s">
        <v>25</v>
      </c>
      <c r="J800">
        <v>123</v>
      </c>
      <c r="K800">
        <v>25</v>
      </c>
      <c r="L800">
        <v>0</v>
      </c>
    </row>
    <row r="801" spans="1:12" x14ac:dyDescent="0.25">
      <c r="A801">
        <v>800</v>
      </c>
      <c r="B801" t="s">
        <v>1319</v>
      </c>
      <c r="C801" t="s">
        <v>509</v>
      </c>
      <c r="D801" s="1">
        <v>45310.857766203706</v>
      </c>
      <c r="E801" s="1">
        <v>45310.898043981484</v>
      </c>
      <c r="F801">
        <v>996</v>
      </c>
      <c r="G801">
        <v>0</v>
      </c>
      <c r="H801" t="s">
        <v>18</v>
      </c>
      <c r="I801" t="s">
        <v>22</v>
      </c>
      <c r="J801">
        <v>143</v>
      </c>
      <c r="K801">
        <v>38</v>
      </c>
      <c r="L801">
        <v>0</v>
      </c>
    </row>
    <row r="802" spans="1:12" x14ac:dyDescent="0.25">
      <c r="A802">
        <v>801</v>
      </c>
      <c r="B802" t="s">
        <v>1320</v>
      </c>
      <c r="C802" t="s">
        <v>398</v>
      </c>
      <c r="D802" s="1">
        <v>45302.278194444443</v>
      </c>
      <c r="E802" s="1">
        <v>45302.32402777778</v>
      </c>
      <c r="F802">
        <v>1562</v>
      </c>
      <c r="G802">
        <v>40</v>
      </c>
      <c r="H802" t="s">
        <v>14</v>
      </c>
      <c r="I802" t="s">
        <v>22</v>
      </c>
      <c r="J802">
        <v>71</v>
      </c>
      <c r="K802">
        <v>25</v>
      </c>
      <c r="L802">
        <v>0</v>
      </c>
    </row>
    <row r="803" spans="1:12" x14ac:dyDescent="0.25">
      <c r="A803">
        <v>802</v>
      </c>
      <c r="B803" t="s">
        <v>1321</v>
      </c>
      <c r="C803" t="s">
        <v>562</v>
      </c>
      <c r="D803" s="1">
        <v>45326.395636574074</v>
      </c>
      <c r="E803" s="1">
        <v>45326.445636574077</v>
      </c>
      <c r="F803">
        <v>377</v>
      </c>
      <c r="G803">
        <v>50</v>
      </c>
      <c r="H803" t="s">
        <v>18</v>
      </c>
      <c r="I803" t="s">
        <v>15</v>
      </c>
      <c r="J803">
        <v>119</v>
      </c>
      <c r="K803">
        <v>21</v>
      </c>
      <c r="L803">
        <v>0</v>
      </c>
    </row>
    <row r="804" spans="1:12" x14ac:dyDescent="0.25">
      <c r="A804">
        <v>803</v>
      </c>
      <c r="B804" t="s">
        <v>1322</v>
      </c>
      <c r="C804" t="s">
        <v>956</v>
      </c>
      <c r="D804" s="1">
        <v>45322.818993055553</v>
      </c>
      <c r="E804" s="1">
        <v>45322.898854166669</v>
      </c>
      <c r="F804">
        <v>651</v>
      </c>
      <c r="G804">
        <v>50</v>
      </c>
      <c r="H804" t="s">
        <v>18</v>
      </c>
      <c r="I804" t="s">
        <v>28</v>
      </c>
      <c r="J804">
        <v>179</v>
      </c>
      <c r="K804">
        <v>26</v>
      </c>
      <c r="L804">
        <v>0</v>
      </c>
    </row>
    <row r="805" spans="1:12" x14ac:dyDescent="0.25">
      <c r="A805">
        <v>804</v>
      </c>
      <c r="B805" t="s">
        <v>1073</v>
      </c>
      <c r="C805" t="s">
        <v>788</v>
      </c>
      <c r="D805" s="1">
        <v>45313.133993055555</v>
      </c>
      <c r="E805" s="1">
        <v>45313.198576388888</v>
      </c>
      <c r="F805">
        <v>1736</v>
      </c>
      <c r="G805">
        <v>40</v>
      </c>
      <c r="H805" t="s">
        <v>21</v>
      </c>
      <c r="I805" s="2">
        <v>0.1</v>
      </c>
      <c r="J805">
        <v>143</v>
      </c>
      <c r="K805">
        <v>46</v>
      </c>
      <c r="L805">
        <v>0</v>
      </c>
    </row>
    <row r="806" spans="1:12" x14ac:dyDescent="0.25">
      <c r="A806">
        <v>805</v>
      </c>
      <c r="B806" t="s">
        <v>1323</v>
      </c>
      <c r="C806" t="s">
        <v>140</v>
      </c>
      <c r="D806" s="1">
        <v>45318.970543981479</v>
      </c>
      <c r="E806" s="1">
        <v>45319.007349537038</v>
      </c>
      <c r="F806">
        <v>210</v>
      </c>
      <c r="G806">
        <v>20</v>
      </c>
      <c r="H806" t="s">
        <v>18</v>
      </c>
      <c r="I806" t="s">
        <v>28</v>
      </c>
      <c r="J806">
        <v>81</v>
      </c>
      <c r="K806">
        <v>36</v>
      </c>
      <c r="L806">
        <v>0</v>
      </c>
    </row>
    <row r="807" spans="1:12" x14ac:dyDescent="0.25">
      <c r="A807">
        <v>806</v>
      </c>
      <c r="B807" t="s">
        <v>1324</v>
      </c>
      <c r="C807" t="s">
        <v>219</v>
      </c>
      <c r="D807" s="1">
        <v>45303.372673611113</v>
      </c>
      <c r="E807" s="1">
        <v>45303.442118055558</v>
      </c>
      <c r="F807">
        <v>484</v>
      </c>
      <c r="G807">
        <v>20</v>
      </c>
      <c r="H807" t="s">
        <v>21</v>
      </c>
      <c r="I807" t="s">
        <v>25</v>
      </c>
      <c r="J807">
        <v>155</v>
      </c>
      <c r="K807">
        <v>34</v>
      </c>
      <c r="L807">
        <v>150</v>
      </c>
    </row>
    <row r="808" spans="1:12" x14ac:dyDescent="0.25">
      <c r="A808">
        <v>807</v>
      </c>
      <c r="B808" t="s">
        <v>1325</v>
      </c>
      <c r="C808" t="s">
        <v>626</v>
      </c>
      <c r="D808" s="1">
        <v>45321.085925925923</v>
      </c>
      <c r="E808" s="1">
        <v>45321.129675925928</v>
      </c>
      <c r="F808">
        <v>1956</v>
      </c>
      <c r="G808">
        <v>50</v>
      </c>
      <c r="H808" t="s">
        <v>14</v>
      </c>
      <c r="I808" t="s">
        <v>22</v>
      </c>
      <c r="J808">
        <v>193</v>
      </c>
      <c r="K808">
        <v>22</v>
      </c>
      <c r="L808">
        <v>0</v>
      </c>
    </row>
    <row r="809" spans="1:12" x14ac:dyDescent="0.25">
      <c r="A809">
        <v>808</v>
      </c>
      <c r="B809" t="s">
        <v>1326</v>
      </c>
      <c r="C809" t="s">
        <v>1117</v>
      </c>
      <c r="D809" s="1">
        <v>45316.910868055558</v>
      </c>
      <c r="E809" s="1">
        <v>45316.96434027778</v>
      </c>
      <c r="F809">
        <v>860</v>
      </c>
      <c r="G809">
        <v>50</v>
      </c>
      <c r="H809" t="s">
        <v>18</v>
      </c>
      <c r="I809" t="s">
        <v>15</v>
      </c>
      <c r="J809">
        <v>50</v>
      </c>
      <c r="K809">
        <v>17</v>
      </c>
      <c r="L809">
        <v>50</v>
      </c>
    </row>
    <row r="810" spans="1:12" x14ac:dyDescent="0.25">
      <c r="A810">
        <v>809</v>
      </c>
      <c r="B810" t="s">
        <v>1327</v>
      </c>
      <c r="C810" t="s">
        <v>1066</v>
      </c>
      <c r="D810" s="1">
        <v>45321.398541666669</v>
      </c>
      <c r="E810" s="1">
        <v>45321.42701388889</v>
      </c>
      <c r="F810">
        <v>1314</v>
      </c>
      <c r="G810">
        <v>40</v>
      </c>
      <c r="H810" t="s">
        <v>18</v>
      </c>
      <c r="I810" t="s">
        <v>28</v>
      </c>
      <c r="J810">
        <v>121</v>
      </c>
      <c r="K810">
        <v>14</v>
      </c>
      <c r="L810">
        <v>100</v>
      </c>
    </row>
    <row r="811" spans="1:12" x14ac:dyDescent="0.25">
      <c r="A811">
        <v>810</v>
      </c>
      <c r="B811" t="s">
        <v>1328</v>
      </c>
      <c r="C811" t="s">
        <v>1329</v>
      </c>
      <c r="D811" s="1">
        <v>45321.777037037034</v>
      </c>
      <c r="E811" s="1">
        <v>45321.813148148147</v>
      </c>
      <c r="F811">
        <v>1613</v>
      </c>
      <c r="G811">
        <v>20</v>
      </c>
      <c r="H811" t="s">
        <v>14</v>
      </c>
      <c r="I811" t="s">
        <v>15</v>
      </c>
      <c r="J811">
        <v>99</v>
      </c>
      <c r="K811">
        <v>21</v>
      </c>
      <c r="L811">
        <v>0</v>
      </c>
    </row>
    <row r="812" spans="1:12" x14ac:dyDescent="0.25">
      <c r="A812">
        <v>811</v>
      </c>
      <c r="B812" t="s">
        <v>1330</v>
      </c>
      <c r="C812" t="s">
        <v>1331</v>
      </c>
      <c r="D812" s="1">
        <v>45319.755590277775</v>
      </c>
      <c r="E812" s="1">
        <v>45319.830590277779</v>
      </c>
      <c r="F812">
        <v>793</v>
      </c>
      <c r="G812">
        <v>50</v>
      </c>
      <c r="H812" t="s">
        <v>14</v>
      </c>
      <c r="I812" t="s">
        <v>28</v>
      </c>
      <c r="J812">
        <v>190</v>
      </c>
      <c r="K812">
        <v>50</v>
      </c>
      <c r="L812">
        <v>0</v>
      </c>
    </row>
    <row r="813" spans="1:12" x14ac:dyDescent="0.25">
      <c r="A813">
        <v>812</v>
      </c>
      <c r="B813" t="s">
        <v>1030</v>
      </c>
      <c r="C813" t="s">
        <v>1332</v>
      </c>
      <c r="D813" s="1">
        <v>45319.106377314813</v>
      </c>
      <c r="E813" s="1">
        <v>45319.13554398148</v>
      </c>
      <c r="F813">
        <v>1549</v>
      </c>
      <c r="G813">
        <v>20</v>
      </c>
      <c r="H813" t="s">
        <v>18</v>
      </c>
      <c r="I813" t="s">
        <v>25</v>
      </c>
      <c r="J813">
        <v>64</v>
      </c>
      <c r="K813">
        <v>12</v>
      </c>
      <c r="L813">
        <v>0</v>
      </c>
    </row>
    <row r="814" spans="1:12" x14ac:dyDescent="0.25">
      <c r="A814">
        <v>813</v>
      </c>
      <c r="B814" t="s">
        <v>1333</v>
      </c>
      <c r="C814" t="s">
        <v>1300</v>
      </c>
      <c r="D814" s="1">
        <v>45321.552245370367</v>
      </c>
      <c r="E814" s="1">
        <v>45321.632800925923</v>
      </c>
      <c r="F814">
        <v>504</v>
      </c>
      <c r="G814">
        <v>50</v>
      </c>
      <c r="H814" t="s">
        <v>14</v>
      </c>
      <c r="I814" s="2">
        <v>0.1</v>
      </c>
      <c r="J814">
        <v>102</v>
      </c>
      <c r="K814">
        <v>44</v>
      </c>
      <c r="L814">
        <v>150</v>
      </c>
    </row>
    <row r="815" spans="1:12" x14ac:dyDescent="0.25">
      <c r="A815">
        <v>814</v>
      </c>
      <c r="B815" t="s">
        <v>1334</v>
      </c>
      <c r="C815" t="s">
        <v>1335</v>
      </c>
      <c r="D815" s="1">
        <v>45298.319618055553</v>
      </c>
      <c r="E815" s="1">
        <v>45298.371006944442</v>
      </c>
      <c r="F815">
        <v>1458</v>
      </c>
      <c r="G815">
        <v>0</v>
      </c>
      <c r="H815" t="s">
        <v>21</v>
      </c>
      <c r="I815" t="s">
        <v>15</v>
      </c>
      <c r="J815">
        <v>57</v>
      </c>
      <c r="K815">
        <v>42</v>
      </c>
      <c r="L815">
        <v>50</v>
      </c>
    </row>
    <row r="816" spans="1:12" x14ac:dyDescent="0.25">
      <c r="A816">
        <v>815</v>
      </c>
      <c r="B816" t="s">
        <v>1336</v>
      </c>
      <c r="C816" t="s">
        <v>919</v>
      </c>
      <c r="D816" s="1">
        <v>45305.236770833333</v>
      </c>
      <c r="E816" s="1">
        <v>45305.302048611113</v>
      </c>
      <c r="F816">
        <v>1332</v>
      </c>
      <c r="G816">
        <v>30</v>
      </c>
      <c r="H816" t="s">
        <v>14</v>
      </c>
      <c r="I816" t="s">
        <v>15</v>
      </c>
      <c r="J816">
        <v>123</v>
      </c>
      <c r="K816">
        <v>31</v>
      </c>
      <c r="L816">
        <v>0</v>
      </c>
    </row>
    <row r="817" spans="1:12" x14ac:dyDescent="0.25">
      <c r="A817">
        <v>816</v>
      </c>
      <c r="B817" t="s">
        <v>101</v>
      </c>
      <c r="C817" t="s">
        <v>707</v>
      </c>
      <c r="D817" s="1">
        <v>45308.590752314813</v>
      </c>
      <c r="E817" s="1">
        <v>45308.643530092595</v>
      </c>
      <c r="F817">
        <v>121</v>
      </c>
      <c r="G817">
        <v>0</v>
      </c>
      <c r="H817" t="s">
        <v>14</v>
      </c>
      <c r="I817" s="2">
        <v>0.1</v>
      </c>
      <c r="J817">
        <v>95</v>
      </c>
      <c r="K817">
        <v>18</v>
      </c>
      <c r="L817">
        <v>0</v>
      </c>
    </row>
    <row r="818" spans="1:12" x14ac:dyDescent="0.25">
      <c r="A818">
        <v>817</v>
      </c>
      <c r="B818" t="s">
        <v>1337</v>
      </c>
      <c r="C818" t="s">
        <v>1338</v>
      </c>
      <c r="D818" s="1">
        <v>45310.992129629631</v>
      </c>
      <c r="E818" s="1">
        <v>45311.052546296298</v>
      </c>
      <c r="F818">
        <v>777</v>
      </c>
      <c r="G818">
        <v>50</v>
      </c>
      <c r="H818" t="s">
        <v>18</v>
      </c>
      <c r="I818" t="s">
        <v>15</v>
      </c>
      <c r="J818">
        <v>118</v>
      </c>
      <c r="K818">
        <v>50</v>
      </c>
      <c r="L818">
        <v>150</v>
      </c>
    </row>
    <row r="819" spans="1:12" x14ac:dyDescent="0.25">
      <c r="A819">
        <v>818</v>
      </c>
      <c r="B819" t="s">
        <v>1339</v>
      </c>
      <c r="C819" t="s">
        <v>1011</v>
      </c>
      <c r="D819" s="1">
        <v>45311.757141203707</v>
      </c>
      <c r="E819" s="1">
        <v>45311.780752314815</v>
      </c>
      <c r="F819">
        <v>710</v>
      </c>
      <c r="G819">
        <v>30</v>
      </c>
      <c r="H819" t="s">
        <v>21</v>
      </c>
      <c r="I819" t="s">
        <v>15</v>
      </c>
      <c r="J819">
        <v>163</v>
      </c>
      <c r="K819">
        <v>27</v>
      </c>
      <c r="L819">
        <v>50</v>
      </c>
    </row>
    <row r="820" spans="1:12" x14ac:dyDescent="0.25">
      <c r="A820">
        <v>819</v>
      </c>
      <c r="B820" t="s">
        <v>1340</v>
      </c>
      <c r="C820" t="s">
        <v>1341</v>
      </c>
      <c r="D820" s="1">
        <v>45299.98097222222</v>
      </c>
      <c r="E820" s="1">
        <v>45300.054583333331</v>
      </c>
      <c r="F820">
        <v>1331</v>
      </c>
      <c r="G820">
        <v>30</v>
      </c>
      <c r="H820" t="s">
        <v>14</v>
      </c>
      <c r="I820" t="s">
        <v>28</v>
      </c>
      <c r="J820">
        <v>196</v>
      </c>
      <c r="K820">
        <v>38</v>
      </c>
      <c r="L820">
        <v>50</v>
      </c>
    </row>
    <row r="821" spans="1:12" x14ac:dyDescent="0.25">
      <c r="A821">
        <v>820</v>
      </c>
      <c r="B821" t="s">
        <v>1342</v>
      </c>
      <c r="C821" t="s">
        <v>267</v>
      </c>
      <c r="D821" s="1">
        <v>45324.282951388886</v>
      </c>
      <c r="E821" s="1">
        <v>45324.306562500002</v>
      </c>
      <c r="F821">
        <v>107</v>
      </c>
      <c r="G821">
        <v>50</v>
      </c>
      <c r="H821" t="s">
        <v>21</v>
      </c>
      <c r="I821" t="s">
        <v>28</v>
      </c>
      <c r="J821">
        <v>172</v>
      </c>
      <c r="K821">
        <v>48</v>
      </c>
      <c r="L821">
        <v>0</v>
      </c>
    </row>
    <row r="822" spans="1:12" x14ac:dyDescent="0.25">
      <c r="A822">
        <v>821</v>
      </c>
      <c r="B822" t="s">
        <v>1343</v>
      </c>
      <c r="C822" t="s">
        <v>1074</v>
      </c>
      <c r="D822" s="1">
        <v>45325.070150462961</v>
      </c>
      <c r="E822" s="1">
        <v>45325.131956018522</v>
      </c>
      <c r="F822">
        <v>801</v>
      </c>
      <c r="G822">
        <v>50</v>
      </c>
      <c r="H822" t="s">
        <v>21</v>
      </c>
      <c r="I822" s="2">
        <v>0.1</v>
      </c>
      <c r="J822">
        <v>188</v>
      </c>
      <c r="K822">
        <v>36</v>
      </c>
      <c r="L822">
        <v>50</v>
      </c>
    </row>
    <row r="823" spans="1:12" x14ac:dyDescent="0.25">
      <c r="A823">
        <v>822</v>
      </c>
      <c r="B823" t="s">
        <v>1144</v>
      </c>
      <c r="C823" t="s">
        <v>1344</v>
      </c>
      <c r="D823" s="1">
        <v>45329.335995370369</v>
      </c>
      <c r="E823" s="1">
        <v>45329.370717592596</v>
      </c>
      <c r="F823">
        <v>1810</v>
      </c>
      <c r="G823">
        <v>20</v>
      </c>
      <c r="H823" t="s">
        <v>21</v>
      </c>
      <c r="I823" t="s">
        <v>25</v>
      </c>
      <c r="J823">
        <v>166</v>
      </c>
      <c r="K823">
        <v>45</v>
      </c>
      <c r="L823">
        <v>0</v>
      </c>
    </row>
    <row r="824" spans="1:12" x14ac:dyDescent="0.25">
      <c r="A824">
        <v>823</v>
      </c>
      <c r="B824" t="s">
        <v>1345</v>
      </c>
      <c r="C824" t="s">
        <v>1346</v>
      </c>
      <c r="D824" s="1">
        <v>45327.812893518516</v>
      </c>
      <c r="E824" s="1">
        <v>45327.849699074075</v>
      </c>
      <c r="F824">
        <v>1908</v>
      </c>
      <c r="G824">
        <v>50</v>
      </c>
      <c r="H824" t="s">
        <v>18</v>
      </c>
      <c r="I824" t="s">
        <v>15</v>
      </c>
      <c r="J824">
        <v>92</v>
      </c>
      <c r="K824">
        <v>26</v>
      </c>
      <c r="L824">
        <v>0</v>
      </c>
    </row>
    <row r="825" spans="1:12" x14ac:dyDescent="0.25">
      <c r="A825">
        <v>824</v>
      </c>
      <c r="B825" t="s">
        <v>1347</v>
      </c>
      <c r="C825" t="s">
        <v>1292</v>
      </c>
      <c r="D825" s="1">
        <v>45318.084745370368</v>
      </c>
      <c r="E825" s="1">
        <v>45318.117384259262</v>
      </c>
      <c r="F825">
        <v>628</v>
      </c>
      <c r="G825">
        <v>40</v>
      </c>
      <c r="H825" t="s">
        <v>14</v>
      </c>
      <c r="I825" t="s">
        <v>25</v>
      </c>
      <c r="J825">
        <v>69</v>
      </c>
      <c r="K825">
        <v>43</v>
      </c>
      <c r="L825">
        <v>0</v>
      </c>
    </row>
    <row r="826" spans="1:12" x14ac:dyDescent="0.25">
      <c r="A826">
        <v>825</v>
      </c>
      <c r="B826" t="s">
        <v>1348</v>
      </c>
      <c r="C826" t="s">
        <v>20</v>
      </c>
      <c r="D826" s="1">
        <v>45311.094085648147</v>
      </c>
      <c r="E826" s="1">
        <v>45311.128807870373</v>
      </c>
      <c r="F826">
        <v>701</v>
      </c>
      <c r="G826">
        <v>50</v>
      </c>
      <c r="H826" t="s">
        <v>18</v>
      </c>
      <c r="I826" s="2">
        <v>0.1</v>
      </c>
      <c r="J826">
        <v>197</v>
      </c>
      <c r="K826">
        <v>12</v>
      </c>
      <c r="L826">
        <v>0</v>
      </c>
    </row>
    <row r="827" spans="1:12" x14ac:dyDescent="0.25">
      <c r="A827">
        <v>826</v>
      </c>
      <c r="B827" t="s">
        <v>1349</v>
      </c>
      <c r="C827" t="s">
        <v>1350</v>
      </c>
      <c r="D827" s="1">
        <v>45304.919803240744</v>
      </c>
      <c r="E827" s="1">
        <v>45304.977442129632</v>
      </c>
      <c r="F827">
        <v>1776</v>
      </c>
      <c r="G827">
        <v>40</v>
      </c>
      <c r="H827" t="s">
        <v>14</v>
      </c>
      <c r="I827" s="2">
        <v>0.1</v>
      </c>
      <c r="J827">
        <v>70</v>
      </c>
      <c r="K827">
        <v>14</v>
      </c>
      <c r="L827">
        <v>0</v>
      </c>
    </row>
    <row r="828" spans="1:12" x14ac:dyDescent="0.25">
      <c r="A828">
        <v>827</v>
      </c>
      <c r="B828" t="s">
        <v>1351</v>
      </c>
      <c r="C828" t="s">
        <v>1228</v>
      </c>
      <c r="D828" s="1">
        <v>45321.262361111112</v>
      </c>
      <c r="E828" s="1">
        <v>45321.289444444446</v>
      </c>
      <c r="F828">
        <v>756</v>
      </c>
      <c r="G828">
        <v>50</v>
      </c>
      <c r="H828" t="s">
        <v>14</v>
      </c>
      <c r="I828" t="s">
        <v>28</v>
      </c>
      <c r="J828">
        <v>131</v>
      </c>
      <c r="K828">
        <v>23</v>
      </c>
      <c r="L828">
        <v>0</v>
      </c>
    </row>
    <row r="829" spans="1:12" x14ac:dyDescent="0.25">
      <c r="A829">
        <v>828</v>
      </c>
      <c r="B829" t="s">
        <v>1352</v>
      </c>
      <c r="C829" t="s">
        <v>1353</v>
      </c>
      <c r="D829" s="1">
        <v>45322.30972222222</v>
      </c>
      <c r="E829" s="1">
        <v>45322.34652777778</v>
      </c>
      <c r="F829">
        <v>265</v>
      </c>
      <c r="G829">
        <v>20</v>
      </c>
      <c r="H829" t="s">
        <v>18</v>
      </c>
      <c r="I829" t="s">
        <v>15</v>
      </c>
      <c r="J829">
        <v>106</v>
      </c>
      <c r="K829">
        <v>12</v>
      </c>
      <c r="L829">
        <v>0</v>
      </c>
    </row>
    <row r="830" spans="1:12" x14ac:dyDescent="0.25">
      <c r="A830">
        <v>829</v>
      </c>
      <c r="B830" t="s">
        <v>1354</v>
      </c>
      <c r="C830" t="s">
        <v>1355</v>
      </c>
      <c r="D830" s="1">
        <v>45317.629479166666</v>
      </c>
      <c r="E830" s="1">
        <v>45317.708645833336</v>
      </c>
      <c r="F830">
        <v>948</v>
      </c>
      <c r="G830">
        <v>40</v>
      </c>
      <c r="H830" t="s">
        <v>21</v>
      </c>
      <c r="I830" t="s">
        <v>22</v>
      </c>
      <c r="J830">
        <v>123</v>
      </c>
      <c r="K830">
        <v>32</v>
      </c>
      <c r="L830">
        <v>50</v>
      </c>
    </row>
    <row r="831" spans="1:12" x14ac:dyDescent="0.25">
      <c r="A831">
        <v>830</v>
      </c>
      <c r="B831" t="s">
        <v>1356</v>
      </c>
      <c r="C831" t="s">
        <v>1049</v>
      </c>
      <c r="D831" s="1">
        <v>45327.874479166669</v>
      </c>
      <c r="E831" s="1">
        <v>45327.956423611111</v>
      </c>
      <c r="F831">
        <v>595</v>
      </c>
      <c r="G831">
        <v>0</v>
      </c>
      <c r="H831" t="s">
        <v>21</v>
      </c>
      <c r="I831" s="2">
        <v>0.1</v>
      </c>
      <c r="J831">
        <v>147</v>
      </c>
      <c r="K831">
        <v>48</v>
      </c>
      <c r="L831">
        <v>0</v>
      </c>
    </row>
    <row r="832" spans="1:12" x14ac:dyDescent="0.25">
      <c r="A832">
        <v>831</v>
      </c>
      <c r="B832" t="s">
        <v>1357</v>
      </c>
      <c r="C832" t="s">
        <v>1358</v>
      </c>
      <c r="D832" s="1">
        <v>45309.239502314813</v>
      </c>
      <c r="E832" s="1">
        <v>45309.301307870373</v>
      </c>
      <c r="F832">
        <v>689</v>
      </c>
      <c r="G832">
        <v>40</v>
      </c>
      <c r="H832" t="s">
        <v>14</v>
      </c>
      <c r="I832" t="s">
        <v>15</v>
      </c>
      <c r="J832">
        <v>159</v>
      </c>
      <c r="K832">
        <v>39</v>
      </c>
      <c r="L832">
        <v>0</v>
      </c>
    </row>
    <row r="833" spans="1:12" x14ac:dyDescent="0.25">
      <c r="A833">
        <v>832</v>
      </c>
      <c r="B833" t="s">
        <v>1359</v>
      </c>
      <c r="C833" t="s">
        <v>1141</v>
      </c>
      <c r="D833" s="1">
        <v>45311.463437500002</v>
      </c>
      <c r="E833" s="1">
        <v>45311.523159722223</v>
      </c>
      <c r="F833">
        <v>528</v>
      </c>
      <c r="G833">
        <v>20</v>
      </c>
      <c r="H833" t="s">
        <v>18</v>
      </c>
      <c r="I833" t="s">
        <v>25</v>
      </c>
      <c r="J833">
        <v>164</v>
      </c>
      <c r="K833">
        <v>32</v>
      </c>
      <c r="L833">
        <v>0</v>
      </c>
    </row>
    <row r="834" spans="1:12" x14ac:dyDescent="0.25">
      <c r="A834">
        <v>833</v>
      </c>
      <c r="B834" t="s">
        <v>1360</v>
      </c>
      <c r="C834" t="s">
        <v>1361</v>
      </c>
      <c r="D834" s="1">
        <v>45304.356585648151</v>
      </c>
      <c r="E834" s="1">
        <v>45304.392696759256</v>
      </c>
      <c r="F834">
        <v>873</v>
      </c>
      <c r="G834">
        <v>40</v>
      </c>
      <c r="H834" t="s">
        <v>21</v>
      </c>
      <c r="I834" t="s">
        <v>28</v>
      </c>
      <c r="J834">
        <v>91</v>
      </c>
      <c r="K834">
        <v>36</v>
      </c>
      <c r="L834">
        <v>0</v>
      </c>
    </row>
    <row r="835" spans="1:12" x14ac:dyDescent="0.25">
      <c r="A835">
        <v>834</v>
      </c>
      <c r="B835" t="s">
        <v>1362</v>
      </c>
      <c r="C835" t="s">
        <v>1363</v>
      </c>
      <c r="D835" s="1">
        <v>45297.976956018516</v>
      </c>
      <c r="E835" s="1">
        <v>45298.012372685182</v>
      </c>
      <c r="F835">
        <v>262</v>
      </c>
      <c r="G835">
        <v>50</v>
      </c>
      <c r="H835" t="s">
        <v>21</v>
      </c>
      <c r="I835" t="s">
        <v>25</v>
      </c>
      <c r="J835">
        <v>117</v>
      </c>
      <c r="K835">
        <v>19</v>
      </c>
      <c r="L835">
        <v>0</v>
      </c>
    </row>
    <row r="836" spans="1:12" x14ac:dyDescent="0.25">
      <c r="A836">
        <v>835</v>
      </c>
      <c r="B836" t="s">
        <v>1364</v>
      </c>
      <c r="C836" t="s">
        <v>1365</v>
      </c>
      <c r="D836" s="1">
        <v>45299.710243055553</v>
      </c>
      <c r="E836" s="1">
        <v>45299.777604166666</v>
      </c>
      <c r="F836">
        <v>465</v>
      </c>
      <c r="G836">
        <v>50</v>
      </c>
      <c r="H836" t="s">
        <v>14</v>
      </c>
      <c r="I836" s="2">
        <v>0.1</v>
      </c>
      <c r="J836">
        <v>119</v>
      </c>
      <c r="K836">
        <v>34</v>
      </c>
      <c r="L836">
        <v>0</v>
      </c>
    </row>
    <row r="837" spans="1:12" x14ac:dyDescent="0.25">
      <c r="A837">
        <v>836</v>
      </c>
      <c r="B837" t="s">
        <v>1366</v>
      </c>
      <c r="C837" t="s">
        <v>1367</v>
      </c>
      <c r="D837" s="1">
        <v>45324.272719907407</v>
      </c>
      <c r="E837" s="1">
        <v>45324.316469907404</v>
      </c>
      <c r="F837">
        <v>1649</v>
      </c>
      <c r="G837">
        <v>20</v>
      </c>
      <c r="H837" t="s">
        <v>14</v>
      </c>
      <c r="I837" s="2">
        <v>0.1</v>
      </c>
      <c r="J837">
        <v>127</v>
      </c>
      <c r="K837">
        <v>22</v>
      </c>
      <c r="L837">
        <v>50</v>
      </c>
    </row>
    <row r="838" spans="1:12" x14ac:dyDescent="0.25">
      <c r="A838">
        <v>837</v>
      </c>
      <c r="B838" t="s">
        <v>1368</v>
      </c>
      <c r="C838" t="s">
        <v>1369</v>
      </c>
      <c r="D838" s="1">
        <v>45322.651296296295</v>
      </c>
      <c r="E838" s="1">
        <v>45322.720046296294</v>
      </c>
      <c r="F838">
        <v>1362</v>
      </c>
      <c r="G838">
        <v>30</v>
      </c>
      <c r="H838" t="s">
        <v>18</v>
      </c>
      <c r="I838" t="s">
        <v>25</v>
      </c>
      <c r="J838">
        <v>139</v>
      </c>
      <c r="K838">
        <v>25</v>
      </c>
      <c r="L838">
        <v>0</v>
      </c>
    </row>
    <row r="839" spans="1:12" x14ac:dyDescent="0.25">
      <c r="A839">
        <v>838</v>
      </c>
      <c r="B839" t="s">
        <v>1370</v>
      </c>
      <c r="C839" t="s">
        <v>1371</v>
      </c>
      <c r="D839" s="1">
        <v>45306.387557870374</v>
      </c>
      <c r="E839" s="1">
        <v>45306.427141203705</v>
      </c>
      <c r="F839">
        <v>171</v>
      </c>
      <c r="G839">
        <v>50</v>
      </c>
      <c r="H839" t="s">
        <v>14</v>
      </c>
      <c r="I839" s="2">
        <v>0.1</v>
      </c>
      <c r="J839">
        <v>160</v>
      </c>
      <c r="K839">
        <v>50</v>
      </c>
      <c r="L839">
        <v>0</v>
      </c>
    </row>
    <row r="840" spans="1:12" x14ac:dyDescent="0.25">
      <c r="A840">
        <v>839</v>
      </c>
      <c r="B840" t="s">
        <v>1372</v>
      </c>
      <c r="C840" t="s">
        <v>871</v>
      </c>
      <c r="D840" s="1">
        <v>45308.509780092594</v>
      </c>
      <c r="E840" s="1">
        <v>45308.557002314818</v>
      </c>
      <c r="F840">
        <v>1568</v>
      </c>
      <c r="G840">
        <v>0</v>
      </c>
      <c r="H840" t="s">
        <v>21</v>
      </c>
      <c r="I840" t="s">
        <v>15</v>
      </c>
      <c r="J840">
        <v>161</v>
      </c>
      <c r="K840">
        <v>43</v>
      </c>
      <c r="L840">
        <v>0</v>
      </c>
    </row>
    <row r="841" spans="1:12" x14ac:dyDescent="0.25">
      <c r="A841">
        <v>840</v>
      </c>
      <c r="B841" t="s">
        <v>1373</v>
      </c>
      <c r="C841" t="s">
        <v>1374</v>
      </c>
      <c r="D841" s="1">
        <v>45317.951018518521</v>
      </c>
      <c r="E841" s="1">
        <v>45318.000324074077</v>
      </c>
      <c r="F841">
        <v>754</v>
      </c>
      <c r="G841">
        <v>20</v>
      </c>
      <c r="H841" t="s">
        <v>21</v>
      </c>
      <c r="I841" s="2">
        <v>0.1</v>
      </c>
      <c r="J841">
        <v>152</v>
      </c>
      <c r="K841">
        <v>46</v>
      </c>
      <c r="L841">
        <v>0</v>
      </c>
    </row>
    <row r="842" spans="1:12" x14ac:dyDescent="0.25">
      <c r="A842">
        <v>841</v>
      </c>
      <c r="B842" t="s">
        <v>1375</v>
      </c>
      <c r="C842" t="s">
        <v>1376</v>
      </c>
      <c r="D842" s="1">
        <v>45295.264085648145</v>
      </c>
      <c r="E842" s="1">
        <v>45295.300196759257</v>
      </c>
      <c r="F842">
        <v>1945</v>
      </c>
      <c r="G842">
        <v>40</v>
      </c>
      <c r="H842" t="s">
        <v>21</v>
      </c>
      <c r="I842" t="s">
        <v>28</v>
      </c>
      <c r="J842">
        <v>194</v>
      </c>
      <c r="K842">
        <v>31</v>
      </c>
      <c r="L842">
        <v>100</v>
      </c>
    </row>
    <row r="843" spans="1:12" x14ac:dyDescent="0.25">
      <c r="A843">
        <v>842</v>
      </c>
      <c r="B843" t="s">
        <v>1120</v>
      </c>
      <c r="C843" t="s">
        <v>817</v>
      </c>
      <c r="D843" s="1">
        <v>45329.444351851853</v>
      </c>
      <c r="E843" s="1">
        <v>45329.513101851851</v>
      </c>
      <c r="F843">
        <v>1632</v>
      </c>
      <c r="G843">
        <v>40</v>
      </c>
      <c r="H843" t="s">
        <v>21</v>
      </c>
      <c r="I843" t="s">
        <v>15</v>
      </c>
      <c r="J843">
        <v>68</v>
      </c>
      <c r="K843">
        <v>26</v>
      </c>
      <c r="L843">
        <v>150</v>
      </c>
    </row>
    <row r="844" spans="1:12" x14ac:dyDescent="0.25">
      <c r="A844">
        <v>843</v>
      </c>
      <c r="B844" t="s">
        <v>1377</v>
      </c>
      <c r="C844" t="s">
        <v>446</v>
      </c>
      <c r="D844" s="1">
        <v>45324.035775462966</v>
      </c>
      <c r="E844" s="1">
        <v>45324.11146990741</v>
      </c>
      <c r="F844">
        <v>1918</v>
      </c>
      <c r="G844">
        <v>0</v>
      </c>
      <c r="H844" t="s">
        <v>18</v>
      </c>
      <c r="I844" t="s">
        <v>22</v>
      </c>
      <c r="J844">
        <v>119</v>
      </c>
      <c r="K844">
        <v>32</v>
      </c>
      <c r="L844">
        <v>150</v>
      </c>
    </row>
    <row r="845" spans="1:12" x14ac:dyDescent="0.25">
      <c r="A845">
        <v>844</v>
      </c>
      <c r="B845" t="s">
        <v>1378</v>
      </c>
      <c r="C845" t="s">
        <v>253</v>
      </c>
      <c r="D845" s="1">
        <v>45329.766782407409</v>
      </c>
      <c r="E845" s="1">
        <v>45329.788310185184</v>
      </c>
      <c r="F845">
        <v>368</v>
      </c>
      <c r="G845">
        <v>50</v>
      </c>
      <c r="H845" t="s">
        <v>18</v>
      </c>
      <c r="I845" s="2">
        <v>0.1</v>
      </c>
      <c r="J845">
        <v>112</v>
      </c>
      <c r="K845">
        <v>45</v>
      </c>
      <c r="L845">
        <v>0</v>
      </c>
    </row>
    <row r="846" spans="1:12" x14ac:dyDescent="0.25">
      <c r="A846">
        <v>845</v>
      </c>
      <c r="B846" t="s">
        <v>1379</v>
      </c>
      <c r="C846" t="s">
        <v>590</v>
      </c>
      <c r="D846" s="1">
        <v>45312.146840277775</v>
      </c>
      <c r="E846" s="1">
        <v>45312.183645833335</v>
      </c>
      <c r="F846">
        <v>1876</v>
      </c>
      <c r="G846">
        <v>20</v>
      </c>
      <c r="H846" t="s">
        <v>14</v>
      </c>
      <c r="I846" s="2">
        <v>0.1</v>
      </c>
      <c r="J846">
        <v>124</v>
      </c>
      <c r="K846">
        <v>18</v>
      </c>
      <c r="L846">
        <v>0</v>
      </c>
    </row>
    <row r="847" spans="1:12" x14ac:dyDescent="0.25">
      <c r="A847">
        <v>846</v>
      </c>
      <c r="B847" t="s">
        <v>1380</v>
      </c>
      <c r="C847" t="s">
        <v>679</v>
      </c>
      <c r="D847" s="1">
        <v>45314.396874999999</v>
      </c>
      <c r="E847" s="1">
        <v>45314.428819444445</v>
      </c>
      <c r="F847">
        <v>514</v>
      </c>
      <c r="G847">
        <v>0</v>
      </c>
      <c r="H847" t="s">
        <v>14</v>
      </c>
      <c r="I847" t="s">
        <v>28</v>
      </c>
      <c r="J847">
        <v>153</v>
      </c>
      <c r="K847">
        <v>11</v>
      </c>
      <c r="L847">
        <v>0</v>
      </c>
    </row>
    <row r="848" spans="1:12" x14ac:dyDescent="0.25">
      <c r="A848">
        <v>847</v>
      </c>
      <c r="B848" t="s">
        <v>1381</v>
      </c>
      <c r="C848" t="s">
        <v>1313</v>
      </c>
      <c r="D848" s="1">
        <v>45300.624791666669</v>
      </c>
      <c r="E848" s="1">
        <v>45300.690069444441</v>
      </c>
      <c r="F848">
        <v>1368</v>
      </c>
      <c r="G848">
        <v>50</v>
      </c>
      <c r="H848" t="s">
        <v>14</v>
      </c>
      <c r="I848" t="s">
        <v>28</v>
      </c>
      <c r="J848">
        <v>124</v>
      </c>
      <c r="K848">
        <v>41</v>
      </c>
      <c r="L848">
        <v>0</v>
      </c>
    </row>
    <row r="849" spans="1:12" x14ac:dyDescent="0.25">
      <c r="A849">
        <v>848</v>
      </c>
      <c r="B849" t="s">
        <v>1382</v>
      </c>
      <c r="C849" t="s">
        <v>1383</v>
      </c>
      <c r="D849" s="1">
        <v>45321.452650462961</v>
      </c>
      <c r="E849" s="1">
        <v>45321.52140046296</v>
      </c>
      <c r="F849">
        <v>1115</v>
      </c>
      <c r="G849">
        <v>20</v>
      </c>
      <c r="H849" t="s">
        <v>18</v>
      </c>
      <c r="I849" t="s">
        <v>25</v>
      </c>
      <c r="J849">
        <v>177</v>
      </c>
      <c r="K849">
        <v>31</v>
      </c>
      <c r="L849">
        <v>0</v>
      </c>
    </row>
    <row r="850" spans="1:12" x14ac:dyDescent="0.25">
      <c r="A850">
        <v>849</v>
      </c>
      <c r="B850" t="s">
        <v>1384</v>
      </c>
      <c r="C850" t="s">
        <v>1096</v>
      </c>
      <c r="D850" s="1">
        <v>45325.514710648145</v>
      </c>
      <c r="E850" s="1">
        <v>45325.582766203705</v>
      </c>
      <c r="F850">
        <v>774</v>
      </c>
      <c r="G850">
        <v>40</v>
      </c>
      <c r="H850" t="s">
        <v>21</v>
      </c>
      <c r="I850" t="s">
        <v>25</v>
      </c>
      <c r="J850">
        <v>105</v>
      </c>
      <c r="K850">
        <v>22</v>
      </c>
      <c r="L850">
        <v>0</v>
      </c>
    </row>
    <row r="851" spans="1:12" x14ac:dyDescent="0.25">
      <c r="A851">
        <v>850</v>
      </c>
      <c r="B851" t="s">
        <v>1385</v>
      </c>
      <c r="C851" t="s">
        <v>92</v>
      </c>
      <c r="D851" s="1">
        <v>45296.82613425926</v>
      </c>
      <c r="E851" s="1">
        <v>45296.887939814813</v>
      </c>
      <c r="F851">
        <v>1183</v>
      </c>
      <c r="G851">
        <v>20</v>
      </c>
      <c r="H851" t="s">
        <v>14</v>
      </c>
      <c r="I851" t="s">
        <v>25</v>
      </c>
      <c r="J851">
        <v>71</v>
      </c>
      <c r="K851">
        <v>17</v>
      </c>
      <c r="L851">
        <v>0</v>
      </c>
    </row>
    <row r="852" spans="1:12" x14ac:dyDescent="0.25">
      <c r="A852">
        <v>851</v>
      </c>
      <c r="B852" t="s">
        <v>1386</v>
      </c>
      <c r="C852" t="s">
        <v>580</v>
      </c>
      <c r="D852" s="1">
        <v>45303.959675925929</v>
      </c>
      <c r="E852" s="1">
        <v>45304.014537037037</v>
      </c>
      <c r="F852">
        <v>105</v>
      </c>
      <c r="G852">
        <v>30</v>
      </c>
      <c r="H852" t="s">
        <v>21</v>
      </c>
      <c r="I852" t="s">
        <v>28</v>
      </c>
      <c r="J852">
        <v>138</v>
      </c>
      <c r="K852">
        <v>10</v>
      </c>
      <c r="L852">
        <v>0</v>
      </c>
    </row>
    <row r="853" spans="1:12" x14ac:dyDescent="0.25">
      <c r="A853">
        <v>852</v>
      </c>
      <c r="B853" t="s">
        <v>1387</v>
      </c>
      <c r="C853" t="s">
        <v>839</v>
      </c>
      <c r="D853" s="1">
        <v>45326.331030092595</v>
      </c>
      <c r="E853" s="1">
        <v>45326.359502314815</v>
      </c>
      <c r="F853">
        <v>1832</v>
      </c>
      <c r="G853">
        <v>20</v>
      </c>
      <c r="H853" t="s">
        <v>14</v>
      </c>
      <c r="I853" t="s">
        <v>25</v>
      </c>
      <c r="J853">
        <v>68</v>
      </c>
      <c r="K853">
        <v>26</v>
      </c>
      <c r="L853">
        <v>0</v>
      </c>
    </row>
    <row r="854" spans="1:12" x14ac:dyDescent="0.25">
      <c r="A854">
        <v>853</v>
      </c>
      <c r="B854" t="s">
        <v>1388</v>
      </c>
      <c r="C854" t="s">
        <v>1389</v>
      </c>
      <c r="D854" s="1">
        <v>45299.231145833335</v>
      </c>
      <c r="E854" s="1">
        <v>45299.28392361111</v>
      </c>
      <c r="F854">
        <v>1081</v>
      </c>
      <c r="G854">
        <v>30</v>
      </c>
      <c r="H854" t="s">
        <v>14</v>
      </c>
      <c r="I854" t="s">
        <v>25</v>
      </c>
      <c r="J854">
        <v>75</v>
      </c>
      <c r="K854">
        <v>21</v>
      </c>
      <c r="L854">
        <v>0</v>
      </c>
    </row>
    <row r="855" spans="1:12" x14ac:dyDescent="0.25">
      <c r="A855">
        <v>854</v>
      </c>
      <c r="B855" t="s">
        <v>1390</v>
      </c>
      <c r="C855" t="s">
        <v>507</v>
      </c>
      <c r="D855" s="1">
        <v>45322.336087962962</v>
      </c>
      <c r="E855" s="1">
        <v>45322.402754629627</v>
      </c>
      <c r="F855">
        <v>669</v>
      </c>
      <c r="G855">
        <v>20</v>
      </c>
      <c r="H855" t="s">
        <v>14</v>
      </c>
      <c r="I855" t="s">
        <v>22</v>
      </c>
      <c r="J855">
        <v>72</v>
      </c>
      <c r="K855">
        <v>13</v>
      </c>
      <c r="L855">
        <v>0</v>
      </c>
    </row>
    <row r="856" spans="1:12" x14ac:dyDescent="0.25">
      <c r="A856">
        <v>855</v>
      </c>
      <c r="B856" t="s">
        <v>1391</v>
      </c>
      <c r="C856" t="s">
        <v>1155</v>
      </c>
      <c r="D856" s="1">
        <v>45310.315509259257</v>
      </c>
      <c r="E856" s="1">
        <v>45310.380787037036</v>
      </c>
      <c r="F856">
        <v>1940</v>
      </c>
      <c r="G856">
        <v>30</v>
      </c>
      <c r="H856" t="s">
        <v>14</v>
      </c>
      <c r="I856" t="s">
        <v>25</v>
      </c>
      <c r="J856">
        <v>96</v>
      </c>
      <c r="K856">
        <v>22</v>
      </c>
      <c r="L856">
        <v>50</v>
      </c>
    </row>
    <row r="857" spans="1:12" x14ac:dyDescent="0.25">
      <c r="A857">
        <v>856</v>
      </c>
      <c r="B857" t="s">
        <v>1392</v>
      </c>
      <c r="C857" t="s">
        <v>507</v>
      </c>
      <c r="D857" s="1">
        <v>45311.449108796296</v>
      </c>
      <c r="E857" s="1">
        <v>45311.487997685188</v>
      </c>
      <c r="F857">
        <v>506</v>
      </c>
      <c r="G857">
        <v>40</v>
      </c>
      <c r="H857" t="s">
        <v>14</v>
      </c>
      <c r="I857" s="2">
        <v>0.1</v>
      </c>
      <c r="J857">
        <v>62</v>
      </c>
      <c r="K857">
        <v>40</v>
      </c>
      <c r="L857">
        <v>0</v>
      </c>
    </row>
    <row r="858" spans="1:12" x14ac:dyDescent="0.25">
      <c r="A858">
        <v>857</v>
      </c>
      <c r="B858" t="s">
        <v>1393</v>
      </c>
      <c r="C858" t="s">
        <v>1394</v>
      </c>
      <c r="D858" s="1">
        <v>45298.280104166668</v>
      </c>
      <c r="E858" s="1">
        <v>45298.33357638889</v>
      </c>
      <c r="F858">
        <v>1340</v>
      </c>
      <c r="G858">
        <v>50</v>
      </c>
      <c r="H858" t="s">
        <v>21</v>
      </c>
      <c r="I858" t="s">
        <v>28</v>
      </c>
      <c r="J858">
        <v>115</v>
      </c>
      <c r="K858">
        <v>50</v>
      </c>
      <c r="L858">
        <v>0</v>
      </c>
    </row>
    <row r="859" spans="1:12" x14ac:dyDescent="0.25">
      <c r="A859">
        <v>858</v>
      </c>
      <c r="B859" t="s">
        <v>1395</v>
      </c>
      <c r="C859" t="s">
        <v>671</v>
      </c>
      <c r="D859" s="1">
        <v>45314.548414351855</v>
      </c>
      <c r="E859" s="1">
        <v>45314.629664351851</v>
      </c>
      <c r="F859">
        <v>125</v>
      </c>
      <c r="G859">
        <v>30</v>
      </c>
      <c r="H859" t="s">
        <v>14</v>
      </c>
      <c r="I859" t="s">
        <v>15</v>
      </c>
      <c r="J859">
        <v>193</v>
      </c>
      <c r="K859">
        <v>16</v>
      </c>
      <c r="L859">
        <v>0</v>
      </c>
    </row>
    <row r="860" spans="1:12" x14ac:dyDescent="0.25">
      <c r="A860">
        <v>859</v>
      </c>
      <c r="B860" t="s">
        <v>1396</v>
      </c>
      <c r="C860" t="s">
        <v>1397</v>
      </c>
      <c r="D860" s="1">
        <v>45312.491724537038</v>
      </c>
      <c r="E860" s="1">
        <v>45312.554918981485</v>
      </c>
      <c r="F860">
        <v>1938</v>
      </c>
      <c r="G860">
        <v>30</v>
      </c>
      <c r="H860" t="s">
        <v>21</v>
      </c>
      <c r="I860" t="s">
        <v>22</v>
      </c>
      <c r="J860">
        <v>122</v>
      </c>
      <c r="K860">
        <v>32</v>
      </c>
      <c r="L860">
        <v>0</v>
      </c>
    </row>
    <row r="861" spans="1:12" x14ac:dyDescent="0.25">
      <c r="A861">
        <v>860</v>
      </c>
      <c r="B861" t="s">
        <v>1398</v>
      </c>
      <c r="C861" t="s">
        <v>134</v>
      </c>
      <c r="D861" s="1">
        <v>45305.466319444444</v>
      </c>
      <c r="E861" s="1">
        <v>45305.517013888886</v>
      </c>
      <c r="F861">
        <v>1128</v>
      </c>
      <c r="G861">
        <v>40</v>
      </c>
      <c r="H861" t="s">
        <v>18</v>
      </c>
      <c r="I861" t="s">
        <v>28</v>
      </c>
      <c r="J861">
        <v>126</v>
      </c>
      <c r="K861">
        <v>33</v>
      </c>
      <c r="L861">
        <v>0</v>
      </c>
    </row>
    <row r="862" spans="1:12" x14ac:dyDescent="0.25">
      <c r="A862">
        <v>861</v>
      </c>
      <c r="B862" t="s">
        <v>1399</v>
      </c>
      <c r="C862" t="s">
        <v>1121</v>
      </c>
      <c r="D862" s="1">
        <v>45298.342511574076</v>
      </c>
      <c r="E862" s="1">
        <v>45298.375844907408</v>
      </c>
      <c r="F862">
        <v>1085</v>
      </c>
      <c r="G862">
        <v>30</v>
      </c>
      <c r="H862" t="s">
        <v>14</v>
      </c>
      <c r="I862" t="s">
        <v>28</v>
      </c>
      <c r="J862">
        <v>80</v>
      </c>
      <c r="K862">
        <v>14</v>
      </c>
      <c r="L862">
        <v>0</v>
      </c>
    </row>
    <row r="863" spans="1:12" x14ac:dyDescent="0.25">
      <c r="A863">
        <v>862</v>
      </c>
      <c r="B863" t="s">
        <v>1400</v>
      </c>
      <c r="C863" t="s">
        <v>1155</v>
      </c>
      <c r="D863" s="1">
        <v>45317.475046296298</v>
      </c>
      <c r="E863" s="1">
        <v>45317.536157407405</v>
      </c>
      <c r="F863">
        <v>1655</v>
      </c>
      <c r="G863">
        <v>0</v>
      </c>
      <c r="H863" t="s">
        <v>21</v>
      </c>
      <c r="I863" s="2">
        <v>0.1</v>
      </c>
      <c r="J863">
        <v>134</v>
      </c>
      <c r="K863">
        <v>14</v>
      </c>
      <c r="L863">
        <v>0</v>
      </c>
    </row>
    <row r="864" spans="1:12" x14ac:dyDescent="0.25">
      <c r="A864">
        <v>863</v>
      </c>
      <c r="B864" t="s">
        <v>1401</v>
      </c>
      <c r="C864" t="s">
        <v>1208</v>
      </c>
      <c r="D864" s="1">
        <v>45307.193784722222</v>
      </c>
      <c r="E864" s="1">
        <v>45307.21947916667</v>
      </c>
      <c r="F864">
        <v>489</v>
      </c>
      <c r="G864">
        <v>40</v>
      </c>
      <c r="H864" t="s">
        <v>18</v>
      </c>
      <c r="I864" t="s">
        <v>25</v>
      </c>
      <c r="J864">
        <v>108</v>
      </c>
      <c r="K864">
        <v>26</v>
      </c>
      <c r="L864">
        <v>0</v>
      </c>
    </row>
    <row r="865" spans="1:12" x14ac:dyDescent="0.25">
      <c r="A865">
        <v>864</v>
      </c>
      <c r="B865" t="s">
        <v>1402</v>
      </c>
      <c r="C865" t="s">
        <v>1403</v>
      </c>
      <c r="D865" s="1">
        <v>45323.725624999999</v>
      </c>
      <c r="E865" s="1">
        <v>45323.783958333333</v>
      </c>
      <c r="F865">
        <v>809</v>
      </c>
      <c r="G865">
        <v>0</v>
      </c>
      <c r="H865" t="s">
        <v>18</v>
      </c>
      <c r="I865" s="2">
        <v>0.1</v>
      </c>
      <c r="J865">
        <v>90</v>
      </c>
      <c r="K865">
        <v>39</v>
      </c>
      <c r="L865">
        <v>50</v>
      </c>
    </row>
    <row r="866" spans="1:12" x14ac:dyDescent="0.25">
      <c r="A866">
        <v>865</v>
      </c>
      <c r="B866" t="s">
        <v>1404</v>
      </c>
      <c r="C866" t="s">
        <v>1405</v>
      </c>
      <c r="D866" s="1">
        <v>45306.345416666663</v>
      </c>
      <c r="E866" s="1">
        <v>45306.398194444446</v>
      </c>
      <c r="F866">
        <v>670</v>
      </c>
      <c r="G866">
        <v>40</v>
      </c>
      <c r="H866" t="s">
        <v>18</v>
      </c>
      <c r="I866" t="s">
        <v>25</v>
      </c>
      <c r="J866">
        <v>161</v>
      </c>
      <c r="K866">
        <v>18</v>
      </c>
      <c r="L866">
        <v>150</v>
      </c>
    </row>
    <row r="867" spans="1:12" x14ac:dyDescent="0.25">
      <c r="A867">
        <v>866</v>
      </c>
      <c r="B867" t="s">
        <v>1406</v>
      </c>
      <c r="C867" t="s">
        <v>1407</v>
      </c>
      <c r="D867" s="1">
        <v>45329.335659722223</v>
      </c>
      <c r="E867" s="1">
        <v>45329.357187499998</v>
      </c>
      <c r="F867">
        <v>1571</v>
      </c>
      <c r="G867">
        <v>30</v>
      </c>
      <c r="H867" t="s">
        <v>21</v>
      </c>
      <c r="I867" t="s">
        <v>25</v>
      </c>
      <c r="J867">
        <v>145</v>
      </c>
      <c r="K867">
        <v>15</v>
      </c>
      <c r="L867">
        <v>0</v>
      </c>
    </row>
    <row r="868" spans="1:12" x14ac:dyDescent="0.25">
      <c r="A868">
        <v>867</v>
      </c>
      <c r="B868" t="s">
        <v>1408</v>
      </c>
      <c r="C868" t="s">
        <v>1080</v>
      </c>
      <c r="D868" s="1">
        <v>45314.305613425924</v>
      </c>
      <c r="E868" s="1">
        <v>45314.352835648147</v>
      </c>
      <c r="F868">
        <v>853</v>
      </c>
      <c r="G868">
        <v>0</v>
      </c>
      <c r="H868" t="s">
        <v>14</v>
      </c>
      <c r="I868" t="s">
        <v>28</v>
      </c>
      <c r="J868">
        <v>171</v>
      </c>
      <c r="K868">
        <v>34</v>
      </c>
      <c r="L868">
        <v>0</v>
      </c>
    </row>
    <row r="869" spans="1:12" x14ac:dyDescent="0.25">
      <c r="A869">
        <v>868</v>
      </c>
      <c r="B869" t="s">
        <v>1409</v>
      </c>
      <c r="C869" t="s">
        <v>1410</v>
      </c>
      <c r="D869" s="1">
        <v>45293.205960648149</v>
      </c>
      <c r="E869" s="1">
        <v>45293.257349537038</v>
      </c>
      <c r="F869">
        <v>245</v>
      </c>
      <c r="G869">
        <v>30</v>
      </c>
      <c r="H869" t="s">
        <v>14</v>
      </c>
      <c r="I869" t="s">
        <v>25</v>
      </c>
      <c r="J869">
        <v>154</v>
      </c>
      <c r="K869">
        <v>28</v>
      </c>
      <c r="L869">
        <v>0</v>
      </c>
    </row>
    <row r="870" spans="1:12" x14ac:dyDescent="0.25">
      <c r="A870">
        <v>869</v>
      </c>
      <c r="B870" t="s">
        <v>1411</v>
      </c>
      <c r="C870" t="s">
        <v>1412</v>
      </c>
      <c r="D870" s="1">
        <v>45324.571053240739</v>
      </c>
      <c r="E870" s="1">
        <v>45324.61341435185</v>
      </c>
      <c r="F870">
        <v>1511</v>
      </c>
      <c r="G870">
        <v>40</v>
      </c>
      <c r="H870" t="s">
        <v>21</v>
      </c>
      <c r="I870" t="s">
        <v>22</v>
      </c>
      <c r="J870">
        <v>123</v>
      </c>
      <c r="K870">
        <v>25</v>
      </c>
      <c r="L870">
        <v>150</v>
      </c>
    </row>
    <row r="871" spans="1:12" x14ac:dyDescent="0.25">
      <c r="A871">
        <v>870</v>
      </c>
      <c r="B871" t="s">
        <v>1413</v>
      </c>
      <c r="C871" t="s">
        <v>1414</v>
      </c>
      <c r="D871" s="1">
        <v>45304.528055555558</v>
      </c>
      <c r="E871" s="1">
        <v>45304.593333333331</v>
      </c>
      <c r="F871">
        <v>884</v>
      </c>
      <c r="G871">
        <v>30</v>
      </c>
      <c r="H871" t="s">
        <v>14</v>
      </c>
      <c r="I871" t="s">
        <v>22</v>
      </c>
      <c r="J871">
        <v>181</v>
      </c>
      <c r="K871">
        <v>30</v>
      </c>
      <c r="L871">
        <v>0</v>
      </c>
    </row>
    <row r="872" spans="1:12" x14ac:dyDescent="0.25">
      <c r="A872">
        <v>871</v>
      </c>
      <c r="B872" t="s">
        <v>1415</v>
      </c>
      <c r="C872" t="s">
        <v>1416</v>
      </c>
      <c r="D872" s="1">
        <v>45302.797256944446</v>
      </c>
      <c r="E872" s="1">
        <v>45302.843784722223</v>
      </c>
      <c r="F872">
        <v>1372</v>
      </c>
      <c r="G872">
        <v>0</v>
      </c>
      <c r="H872" t="s">
        <v>21</v>
      </c>
      <c r="I872" t="s">
        <v>22</v>
      </c>
      <c r="J872">
        <v>148</v>
      </c>
      <c r="K872">
        <v>11</v>
      </c>
      <c r="L872">
        <v>0</v>
      </c>
    </row>
    <row r="873" spans="1:12" x14ac:dyDescent="0.25">
      <c r="A873">
        <v>872</v>
      </c>
      <c r="B873" t="s">
        <v>1417</v>
      </c>
      <c r="C873" t="s">
        <v>1418</v>
      </c>
      <c r="D873" s="1">
        <v>45307.491736111115</v>
      </c>
      <c r="E873" s="1">
        <v>45307.565347222226</v>
      </c>
      <c r="F873">
        <v>625</v>
      </c>
      <c r="G873">
        <v>0</v>
      </c>
      <c r="H873" t="s">
        <v>14</v>
      </c>
      <c r="I873" t="s">
        <v>28</v>
      </c>
      <c r="J873">
        <v>175</v>
      </c>
      <c r="K873">
        <v>19</v>
      </c>
      <c r="L873">
        <v>0</v>
      </c>
    </row>
    <row r="874" spans="1:12" x14ac:dyDescent="0.25">
      <c r="A874">
        <v>873</v>
      </c>
      <c r="B874" t="s">
        <v>1419</v>
      </c>
      <c r="C874" t="s">
        <v>158</v>
      </c>
      <c r="D874" s="1">
        <v>45303.882291666669</v>
      </c>
      <c r="E874" s="1">
        <v>45303.910069444442</v>
      </c>
      <c r="F874">
        <v>1585</v>
      </c>
      <c r="G874">
        <v>30</v>
      </c>
      <c r="H874" t="s">
        <v>18</v>
      </c>
      <c r="I874" s="2">
        <v>0.1</v>
      </c>
      <c r="J874">
        <v>187</v>
      </c>
      <c r="K874">
        <v>25</v>
      </c>
      <c r="L874">
        <v>0</v>
      </c>
    </row>
    <row r="875" spans="1:12" x14ac:dyDescent="0.25">
      <c r="A875">
        <v>874</v>
      </c>
      <c r="B875" t="s">
        <v>1420</v>
      </c>
      <c r="C875" t="s">
        <v>313</v>
      </c>
      <c r="D875" s="1">
        <v>45317.06077546296</v>
      </c>
      <c r="E875" s="1">
        <v>45317.087858796294</v>
      </c>
      <c r="F875">
        <v>112</v>
      </c>
      <c r="G875">
        <v>20</v>
      </c>
      <c r="H875" t="s">
        <v>14</v>
      </c>
      <c r="I875" t="s">
        <v>15</v>
      </c>
      <c r="J875">
        <v>124</v>
      </c>
      <c r="K875">
        <v>46</v>
      </c>
      <c r="L875">
        <v>100</v>
      </c>
    </row>
    <row r="876" spans="1:12" x14ac:dyDescent="0.25">
      <c r="A876">
        <v>875</v>
      </c>
      <c r="B876" t="s">
        <v>1421</v>
      </c>
      <c r="C876" t="s">
        <v>1422</v>
      </c>
      <c r="D876" s="1">
        <v>45309.104768518519</v>
      </c>
      <c r="E876" s="1">
        <v>45309.165879629632</v>
      </c>
      <c r="F876">
        <v>1002</v>
      </c>
      <c r="G876">
        <v>40</v>
      </c>
      <c r="H876" t="s">
        <v>21</v>
      </c>
      <c r="I876" t="s">
        <v>25</v>
      </c>
      <c r="J876">
        <v>63</v>
      </c>
      <c r="K876">
        <v>24</v>
      </c>
      <c r="L876">
        <v>0</v>
      </c>
    </row>
    <row r="877" spans="1:12" x14ac:dyDescent="0.25">
      <c r="A877">
        <v>876</v>
      </c>
      <c r="B877" t="s">
        <v>1423</v>
      </c>
      <c r="C877" t="s">
        <v>1367</v>
      </c>
      <c r="D877" s="1">
        <v>45327.988298611112</v>
      </c>
      <c r="E877" s="1">
        <v>45328.070937500001</v>
      </c>
      <c r="F877">
        <v>483</v>
      </c>
      <c r="G877">
        <v>40</v>
      </c>
      <c r="H877" t="s">
        <v>21</v>
      </c>
      <c r="I877" t="s">
        <v>15</v>
      </c>
      <c r="J877">
        <v>87</v>
      </c>
      <c r="K877">
        <v>22</v>
      </c>
      <c r="L877">
        <v>100</v>
      </c>
    </row>
    <row r="878" spans="1:12" x14ac:dyDescent="0.25">
      <c r="A878">
        <v>877</v>
      </c>
      <c r="B878" t="s">
        <v>1424</v>
      </c>
      <c r="C878" t="s">
        <v>132</v>
      </c>
      <c r="D878" s="1">
        <v>45329.208912037036</v>
      </c>
      <c r="E878" s="1">
        <v>45329.267245370371</v>
      </c>
      <c r="F878">
        <v>655</v>
      </c>
      <c r="G878">
        <v>30</v>
      </c>
      <c r="H878" t="s">
        <v>18</v>
      </c>
      <c r="I878" s="2">
        <v>0.1</v>
      </c>
      <c r="J878">
        <v>189</v>
      </c>
      <c r="K878">
        <v>22</v>
      </c>
      <c r="L878">
        <v>0</v>
      </c>
    </row>
    <row r="879" spans="1:12" x14ac:dyDescent="0.25">
      <c r="A879">
        <v>878</v>
      </c>
      <c r="B879" t="s">
        <v>1425</v>
      </c>
      <c r="C879" t="s">
        <v>505</v>
      </c>
      <c r="D879" s="1">
        <v>45311.907673611109</v>
      </c>
      <c r="E879" s="1">
        <v>45311.941701388889</v>
      </c>
      <c r="F879">
        <v>986</v>
      </c>
      <c r="G879">
        <v>20</v>
      </c>
      <c r="H879" t="s">
        <v>21</v>
      </c>
      <c r="I879" s="2">
        <v>0.1</v>
      </c>
      <c r="J879">
        <v>94</v>
      </c>
      <c r="K879">
        <v>41</v>
      </c>
      <c r="L879">
        <v>0</v>
      </c>
    </row>
    <row r="880" spans="1:12" x14ac:dyDescent="0.25">
      <c r="A880">
        <v>879</v>
      </c>
      <c r="B880" t="s">
        <v>1426</v>
      </c>
      <c r="C880" t="s">
        <v>44</v>
      </c>
      <c r="D880" s="1">
        <v>45322.906342592592</v>
      </c>
      <c r="E880" s="1">
        <v>45322.982731481483</v>
      </c>
      <c r="F880">
        <v>1522</v>
      </c>
      <c r="G880">
        <v>0</v>
      </c>
      <c r="H880" t="s">
        <v>14</v>
      </c>
      <c r="I880" t="s">
        <v>28</v>
      </c>
      <c r="J880">
        <v>194</v>
      </c>
      <c r="K880">
        <v>17</v>
      </c>
      <c r="L880">
        <v>0</v>
      </c>
    </row>
    <row r="881" spans="1:12" x14ac:dyDescent="0.25">
      <c r="A881">
        <v>880</v>
      </c>
      <c r="B881" t="s">
        <v>1427</v>
      </c>
      <c r="C881" t="s">
        <v>484</v>
      </c>
      <c r="D881" s="1">
        <v>45297.628182870372</v>
      </c>
      <c r="E881" s="1">
        <v>45297.660127314812</v>
      </c>
      <c r="F881">
        <v>118</v>
      </c>
      <c r="G881">
        <v>50</v>
      </c>
      <c r="H881" t="s">
        <v>14</v>
      </c>
      <c r="I881" t="s">
        <v>22</v>
      </c>
      <c r="J881">
        <v>124</v>
      </c>
      <c r="K881">
        <v>27</v>
      </c>
      <c r="L881">
        <v>0</v>
      </c>
    </row>
    <row r="882" spans="1:12" x14ac:dyDescent="0.25">
      <c r="A882">
        <v>881</v>
      </c>
      <c r="B882" t="s">
        <v>1428</v>
      </c>
      <c r="C882" t="s">
        <v>1429</v>
      </c>
      <c r="D882" s="1">
        <v>45295.459155092591</v>
      </c>
      <c r="E882" s="1">
        <v>45295.526516203703</v>
      </c>
      <c r="F882">
        <v>674</v>
      </c>
      <c r="G882">
        <v>50</v>
      </c>
      <c r="H882" t="s">
        <v>18</v>
      </c>
      <c r="I882" t="s">
        <v>22</v>
      </c>
      <c r="J882">
        <v>78</v>
      </c>
      <c r="K882">
        <v>45</v>
      </c>
      <c r="L882">
        <v>0</v>
      </c>
    </row>
    <row r="883" spans="1:12" x14ac:dyDescent="0.25">
      <c r="A883">
        <v>882</v>
      </c>
      <c r="B883" t="s">
        <v>1430</v>
      </c>
      <c r="C883" t="s">
        <v>534</v>
      </c>
      <c r="D883" s="1">
        <v>45305.398784722223</v>
      </c>
      <c r="E883" s="1">
        <v>45305.422395833331</v>
      </c>
      <c r="F883">
        <v>1614</v>
      </c>
      <c r="G883">
        <v>30</v>
      </c>
      <c r="H883" t="s">
        <v>21</v>
      </c>
      <c r="I883" s="2">
        <v>0.1</v>
      </c>
      <c r="J883">
        <v>67</v>
      </c>
      <c r="K883">
        <v>35</v>
      </c>
      <c r="L883">
        <v>0</v>
      </c>
    </row>
    <row r="884" spans="1:12" x14ac:dyDescent="0.25">
      <c r="A884">
        <v>883</v>
      </c>
      <c r="B884" t="s">
        <v>1431</v>
      </c>
      <c r="C884" t="s">
        <v>930</v>
      </c>
      <c r="D884" s="1">
        <v>45326.135196759256</v>
      </c>
      <c r="E884" s="1">
        <v>45326.197002314817</v>
      </c>
      <c r="F884">
        <v>850</v>
      </c>
      <c r="G884">
        <v>20</v>
      </c>
      <c r="H884" t="s">
        <v>18</v>
      </c>
      <c r="I884" t="s">
        <v>28</v>
      </c>
      <c r="J884">
        <v>69</v>
      </c>
      <c r="K884">
        <v>19</v>
      </c>
      <c r="L884">
        <v>0</v>
      </c>
    </row>
    <row r="885" spans="1:12" x14ac:dyDescent="0.25">
      <c r="A885">
        <v>884</v>
      </c>
      <c r="B885" t="s">
        <v>1432</v>
      </c>
      <c r="C885" t="s">
        <v>797</v>
      </c>
      <c r="D885" s="1">
        <v>45328.594409722224</v>
      </c>
      <c r="E885" s="1">
        <v>45328.630520833336</v>
      </c>
      <c r="F885">
        <v>1103</v>
      </c>
      <c r="G885">
        <v>20</v>
      </c>
      <c r="H885" t="s">
        <v>14</v>
      </c>
      <c r="I885" t="s">
        <v>28</v>
      </c>
      <c r="J885">
        <v>63</v>
      </c>
      <c r="K885">
        <v>40</v>
      </c>
      <c r="L885">
        <v>0</v>
      </c>
    </row>
    <row r="886" spans="1:12" x14ac:dyDescent="0.25">
      <c r="A886">
        <v>885</v>
      </c>
      <c r="B886" t="s">
        <v>1433</v>
      </c>
      <c r="C886" t="s">
        <v>1353</v>
      </c>
      <c r="D886" s="1">
        <v>45306.987604166665</v>
      </c>
      <c r="E886" s="1">
        <v>45307.039687500001</v>
      </c>
      <c r="F886">
        <v>518</v>
      </c>
      <c r="G886">
        <v>40</v>
      </c>
      <c r="H886" t="s">
        <v>18</v>
      </c>
      <c r="I886" t="s">
        <v>25</v>
      </c>
      <c r="J886">
        <v>103</v>
      </c>
      <c r="K886">
        <v>42</v>
      </c>
      <c r="L886">
        <v>0</v>
      </c>
    </row>
    <row r="887" spans="1:12" x14ac:dyDescent="0.25">
      <c r="A887">
        <v>886</v>
      </c>
      <c r="B887" t="s">
        <v>1434</v>
      </c>
      <c r="C887" t="s">
        <v>146</v>
      </c>
      <c r="D887" s="1">
        <v>45320.988356481481</v>
      </c>
      <c r="E887" s="1">
        <v>45321.044606481482</v>
      </c>
      <c r="F887">
        <v>1460</v>
      </c>
      <c r="G887">
        <v>0</v>
      </c>
      <c r="H887" t="s">
        <v>21</v>
      </c>
      <c r="I887" t="s">
        <v>22</v>
      </c>
      <c r="J887">
        <v>80</v>
      </c>
      <c r="K887">
        <v>38</v>
      </c>
      <c r="L887">
        <v>150</v>
      </c>
    </row>
    <row r="888" spans="1:12" x14ac:dyDescent="0.25">
      <c r="A888">
        <v>887</v>
      </c>
      <c r="B888" t="s">
        <v>1435</v>
      </c>
      <c r="C888" t="s">
        <v>1436</v>
      </c>
      <c r="D888" s="1">
        <v>45306.389976851853</v>
      </c>
      <c r="E888" s="1">
        <v>45306.417060185187</v>
      </c>
      <c r="F888">
        <v>518</v>
      </c>
      <c r="G888">
        <v>20</v>
      </c>
      <c r="H888" t="s">
        <v>18</v>
      </c>
      <c r="I888" s="2">
        <v>0.1</v>
      </c>
      <c r="J888">
        <v>107</v>
      </c>
      <c r="K888">
        <v>14</v>
      </c>
      <c r="L888">
        <v>0</v>
      </c>
    </row>
    <row r="889" spans="1:12" x14ac:dyDescent="0.25">
      <c r="A889">
        <v>888</v>
      </c>
      <c r="B889" t="s">
        <v>1437</v>
      </c>
      <c r="C889" t="s">
        <v>1438</v>
      </c>
      <c r="D889" s="1">
        <v>45315.456979166665</v>
      </c>
      <c r="E889" s="1">
        <v>45315.509062500001</v>
      </c>
      <c r="F889">
        <v>1735</v>
      </c>
      <c r="G889">
        <v>50</v>
      </c>
      <c r="H889" t="s">
        <v>21</v>
      </c>
      <c r="I889" t="s">
        <v>15</v>
      </c>
      <c r="J889">
        <v>153</v>
      </c>
      <c r="K889">
        <v>22</v>
      </c>
      <c r="L889">
        <v>0</v>
      </c>
    </row>
    <row r="890" spans="1:12" x14ac:dyDescent="0.25">
      <c r="A890">
        <v>889</v>
      </c>
      <c r="B890" t="s">
        <v>1439</v>
      </c>
      <c r="C890" t="s">
        <v>290</v>
      </c>
      <c r="D890" s="1">
        <v>45302.379814814813</v>
      </c>
      <c r="E890" s="1">
        <v>45302.419398148151</v>
      </c>
      <c r="F890">
        <v>1798</v>
      </c>
      <c r="G890">
        <v>0</v>
      </c>
      <c r="H890" t="s">
        <v>21</v>
      </c>
      <c r="I890" t="s">
        <v>22</v>
      </c>
      <c r="J890">
        <v>177</v>
      </c>
      <c r="K890">
        <v>10</v>
      </c>
      <c r="L890">
        <v>0</v>
      </c>
    </row>
    <row r="891" spans="1:12" x14ac:dyDescent="0.25">
      <c r="A891">
        <v>890</v>
      </c>
      <c r="B891" t="s">
        <v>1267</v>
      </c>
      <c r="C891" t="s">
        <v>342</v>
      </c>
      <c r="D891" s="1">
        <v>45329.206643518519</v>
      </c>
      <c r="E891" s="1">
        <v>45329.256643518522</v>
      </c>
      <c r="F891">
        <v>221</v>
      </c>
      <c r="G891">
        <v>0</v>
      </c>
      <c r="H891" t="s">
        <v>14</v>
      </c>
      <c r="I891" t="s">
        <v>25</v>
      </c>
      <c r="J891">
        <v>74</v>
      </c>
      <c r="K891">
        <v>32</v>
      </c>
      <c r="L891">
        <v>0</v>
      </c>
    </row>
    <row r="892" spans="1:12" x14ac:dyDescent="0.25">
      <c r="A892">
        <v>891</v>
      </c>
      <c r="B892" t="s">
        <v>1440</v>
      </c>
      <c r="C892" t="s">
        <v>1441</v>
      </c>
      <c r="D892" s="1">
        <v>45319.949097222219</v>
      </c>
      <c r="E892" s="1">
        <v>45319.987291666665</v>
      </c>
      <c r="F892">
        <v>531</v>
      </c>
      <c r="G892">
        <v>30</v>
      </c>
      <c r="H892" t="s">
        <v>14</v>
      </c>
      <c r="I892" t="s">
        <v>28</v>
      </c>
      <c r="J892">
        <v>68</v>
      </c>
      <c r="K892">
        <v>49</v>
      </c>
      <c r="L892">
        <v>0</v>
      </c>
    </row>
    <row r="893" spans="1:12" x14ac:dyDescent="0.25">
      <c r="A893">
        <v>892</v>
      </c>
      <c r="B893" t="s">
        <v>1442</v>
      </c>
      <c r="C893" t="s">
        <v>1443</v>
      </c>
      <c r="D893" s="1">
        <v>45297.12767361111</v>
      </c>
      <c r="E893" s="1">
        <v>45297.186006944445</v>
      </c>
      <c r="F893">
        <v>143</v>
      </c>
      <c r="G893">
        <v>20</v>
      </c>
      <c r="H893" t="s">
        <v>14</v>
      </c>
      <c r="I893" s="2">
        <v>0.1</v>
      </c>
      <c r="J893">
        <v>185</v>
      </c>
      <c r="K893">
        <v>12</v>
      </c>
      <c r="L893">
        <v>150</v>
      </c>
    </row>
    <row r="894" spans="1:12" x14ac:dyDescent="0.25">
      <c r="A894">
        <v>893</v>
      </c>
      <c r="B894" t="s">
        <v>1444</v>
      </c>
      <c r="C894" t="s">
        <v>1445</v>
      </c>
      <c r="D894" s="1">
        <v>45304.623472222222</v>
      </c>
      <c r="E894" s="1">
        <v>45304.676944444444</v>
      </c>
      <c r="F894">
        <v>1995</v>
      </c>
      <c r="G894">
        <v>30</v>
      </c>
      <c r="H894" t="s">
        <v>21</v>
      </c>
      <c r="I894" t="s">
        <v>22</v>
      </c>
      <c r="J894">
        <v>52</v>
      </c>
      <c r="K894">
        <v>12</v>
      </c>
      <c r="L894">
        <v>100</v>
      </c>
    </row>
    <row r="895" spans="1:12" x14ac:dyDescent="0.25">
      <c r="A895">
        <v>894</v>
      </c>
      <c r="B895" t="s">
        <v>994</v>
      </c>
      <c r="C895" t="s">
        <v>1221</v>
      </c>
      <c r="D895" s="1">
        <v>45327.656631944446</v>
      </c>
      <c r="E895" s="1">
        <v>45327.696909722225</v>
      </c>
      <c r="F895">
        <v>1440</v>
      </c>
      <c r="G895">
        <v>20</v>
      </c>
      <c r="H895" t="s">
        <v>18</v>
      </c>
      <c r="I895" t="s">
        <v>15</v>
      </c>
      <c r="J895">
        <v>135</v>
      </c>
      <c r="K895">
        <v>16</v>
      </c>
      <c r="L895">
        <v>0</v>
      </c>
    </row>
    <row r="896" spans="1:12" x14ac:dyDescent="0.25">
      <c r="A896">
        <v>895</v>
      </c>
      <c r="B896" t="s">
        <v>1446</v>
      </c>
      <c r="C896" t="s">
        <v>1447</v>
      </c>
      <c r="D896" s="1">
        <v>45318.042141203703</v>
      </c>
      <c r="E896" s="1">
        <v>45318.081030092595</v>
      </c>
      <c r="F896">
        <v>480</v>
      </c>
      <c r="G896">
        <v>40</v>
      </c>
      <c r="H896" t="s">
        <v>21</v>
      </c>
      <c r="I896" t="s">
        <v>25</v>
      </c>
      <c r="J896">
        <v>194</v>
      </c>
      <c r="K896">
        <v>45</v>
      </c>
      <c r="L896">
        <v>0</v>
      </c>
    </row>
    <row r="897" spans="1:12" x14ac:dyDescent="0.25">
      <c r="A897">
        <v>896</v>
      </c>
      <c r="B897" t="s">
        <v>1448</v>
      </c>
      <c r="C897" t="s">
        <v>104</v>
      </c>
      <c r="D897" s="1">
        <v>45324.295983796299</v>
      </c>
      <c r="E897" s="1">
        <v>45324.328622685185</v>
      </c>
      <c r="F897">
        <v>244</v>
      </c>
      <c r="G897">
        <v>30</v>
      </c>
      <c r="H897" t="s">
        <v>14</v>
      </c>
      <c r="I897" t="s">
        <v>25</v>
      </c>
      <c r="J897">
        <v>191</v>
      </c>
      <c r="K897">
        <v>44</v>
      </c>
      <c r="L897">
        <v>150</v>
      </c>
    </row>
    <row r="898" spans="1:12" x14ac:dyDescent="0.25">
      <c r="A898">
        <v>897</v>
      </c>
      <c r="B898" t="s">
        <v>1449</v>
      </c>
      <c r="C898" t="s">
        <v>1450</v>
      </c>
      <c r="D898" s="1">
        <v>45318.298125000001</v>
      </c>
      <c r="E898" s="1">
        <v>45318.359930555554</v>
      </c>
      <c r="F898">
        <v>1450</v>
      </c>
      <c r="G898">
        <v>30</v>
      </c>
      <c r="H898" t="s">
        <v>14</v>
      </c>
      <c r="I898" t="s">
        <v>22</v>
      </c>
      <c r="J898">
        <v>58</v>
      </c>
      <c r="K898">
        <v>24</v>
      </c>
      <c r="L898">
        <v>50</v>
      </c>
    </row>
    <row r="899" spans="1:12" x14ac:dyDescent="0.25">
      <c r="A899">
        <v>898</v>
      </c>
      <c r="B899" t="s">
        <v>1451</v>
      </c>
      <c r="C899" t="s">
        <v>1452</v>
      </c>
      <c r="D899" s="1">
        <v>45325.181469907409</v>
      </c>
      <c r="E899" s="1">
        <v>45325.252997685187</v>
      </c>
      <c r="F899">
        <v>462</v>
      </c>
      <c r="G899">
        <v>50</v>
      </c>
      <c r="H899" t="s">
        <v>18</v>
      </c>
      <c r="I899" t="s">
        <v>15</v>
      </c>
      <c r="J899">
        <v>143</v>
      </c>
      <c r="K899">
        <v>49</v>
      </c>
      <c r="L899">
        <v>0</v>
      </c>
    </row>
    <row r="900" spans="1:12" x14ac:dyDescent="0.25">
      <c r="A900">
        <v>899</v>
      </c>
      <c r="B900" t="s">
        <v>1453</v>
      </c>
      <c r="C900" t="s">
        <v>588</v>
      </c>
      <c r="D900" s="1">
        <v>45329.077581018515</v>
      </c>
      <c r="E900" s="1">
        <v>45329.145636574074</v>
      </c>
      <c r="F900">
        <v>1173</v>
      </c>
      <c r="G900">
        <v>30</v>
      </c>
      <c r="H900" t="s">
        <v>14</v>
      </c>
      <c r="I900" t="s">
        <v>25</v>
      </c>
      <c r="J900">
        <v>198</v>
      </c>
      <c r="K900">
        <v>12</v>
      </c>
      <c r="L900">
        <v>0</v>
      </c>
    </row>
    <row r="901" spans="1:12" x14ac:dyDescent="0.25">
      <c r="A901">
        <v>900</v>
      </c>
      <c r="B901" t="s">
        <v>1454</v>
      </c>
      <c r="C901" t="s">
        <v>1455</v>
      </c>
      <c r="D901" s="1">
        <v>45312.665694444448</v>
      </c>
      <c r="E901" s="1">
        <v>45312.737222222226</v>
      </c>
      <c r="F901">
        <v>1188</v>
      </c>
      <c r="G901">
        <v>20</v>
      </c>
      <c r="H901" t="s">
        <v>14</v>
      </c>
      <c r="I901" s="2">
        <v>0.1</v>
      </c>
      <c r="J901">
        <v>188</v>
      </c>
      <c r="K901">
        <v>38</v>
      </c>
      <c r="L901">
        <v>0</v>
      </c>
    </row>
    <row r="902" spans="1:12" x14ac:dyDescent="0.25">
      <c r="A902">
        <v>901</v>
      </c>
      <c r="B902" t="s">
        <v>1456</v>
      </c>
      <c r="C902" t="s">
        <v>911</v>
      </c>
      <c r="D902" s="1">
        <v>45307.233668981484</v>
      </c>
      <c r="E902" s="1">
        <v>45307.268391203703</v>
      </c>
      <c r="F902">
        <v>454</v>
      </c>
      <c r="G902">
        <v>50</v>
      </c>
      <c r="H902" t="s">
        <v>14</v>
      </c>
      <c r="I902" t="s">
        <v>25</v>
      </c>
      <c r="J902">
        <v>69</v>
      </c>
      <c r="K902">
        <v>39</v>
      </c>
      <c r="L902">
        <v>100</v>
      </c>
    </row>
    <row r="903" spans="1:12" x14ac:dyDescent="0.25">
      <c r="A903">
        <v>902</v>
      </c>
      <c r="B903" t="s">
        <v>1457</v>
      </c>
      <c r="C903" t="s">
        <v>1458</v>
      </c>
      <c r="D903" s="1">
        <v>45295.368032407408</v>
      </c>
      <c r="E903" s="1">
        <v>45295.40483796296</v>
      </c>
      <c r="F903">
        <v>899</v>
      </c>
      <c r="G903">
        <v>30</v>
      </c>
      <c r="H903" t="s">
        <v>18</v>
      </c>
      <c r="I903" t="s">
        <v>15</v>
      </c>
      <c r="J903">
        <v>84</v>
      </c>
      <c r="K903">
        <v>48</v>
      </c>
      <c r="L903">
        <v>0</v>
      </c>
    </row>
    <row r="904" spans="1:12" x14ac:dyDescent="0.25">
      <c r="A904">
        <v>903</v>
      </c>
      <c r="B904" t="s">
        <v>1459</v>
      </c>
      <c r="C904" t="s">
        <v>1460</v>
      </c>
      <c r="D904" s="1">
        <v>45299.657592592594</v>
      </c>
      <c r="E904" s="1">
        <v>45299.679814814815</v>
      </c>
      <c r="F904">
        <v>1287</v>
      </c>
      <c r="G904">
        <v>30</v>
      </c>
      <c r="H904" t="s">
        <v>21</v>
      </c>
      <c r="I904" t="s">
        <v>28</v>
      </c>
      <c r="J904">
        <v>102</v>
      </c>
      <c r="K904">
        <v>27</v>
      </c>
      <c r="L904">
        <v>150</v>
      </c>
    </row>
    <row r="905" spans="1:12" x14ac:dyDescent="0.25">
      <c r="A905">
        <v>904</v>
      </c>
      <c r="B905" t="s">
        <v>1461</v>
      </c>
      <c r="C905" t="s">
        <v>1462</v>
      </c>
      <c r="D905" s="1">
        <v>45313.15766203704</v>
      </c>
      <c r="E905" s="1">
        <v>45313.220856481479</v>
      </c>
      <c r="F905">
        <v>1264</v>
      </c>
      <c r="G905">
        <v>40</v>
      </c>
      <c r="H905" t="s">
        <v>14</v>
      </c>
      <c r="I905" t="s">
        <v>28</v>
      </c>
      <c r="J905">
        <v>159</v>
      </c>
      <c r="K905">
        <v>20</v>
      </c>
      <c r="L905">
        <v>100</v>
      </c>
    </row>
    <row r="906" spans="1:12" x14ac:dyDescent="0.25">
      <c r="A906">
        <v>905</v>
      </c>
      <c r="B906" t="s">
        <v>1463</v>
      </c>
      <c r="C906" t="s">
        <v>1464</v>
      </c>
      <c r="D906" s="1">
        <v>45317.155185185184</v>
      </c>
      <c r="E906" s="1">
        <v>45317.176712962966</v>
      </c>
      <c r="F906">
        <v>925</v>
      </c>
      <c r="G906">
        <v>30</v>
      </c>
      <c r="H906" t="s">
        <v>18</v>
      </c>
      <c r="I906" t="s">
        <v>22</v>
      </c>
      <c r="J906">
        <v>185</v>
      </c>
      <c r="K906">
        <v>47</v>
      </c>
      <c r="L906">
        <v>0</v>
      </c>
    </row>
    <row r="907" spans="1:12" x14ac:dyDescent="0.25">
      <c r="A907">
        <v>906</v>
      </c>
      <c r="B907" t="s">
        <v>1465</v>
      </c>
      <c r="C907" t="s">
        <v>412</v>
      </c>
      <c r="D907" s="1">
        <v>45327.284641203703</v>
      </c>
      <c r="E907" s="1">
        <v>45327.350613425922</v>
      </c>
      <c r="F907">
        <v>1251</v>
      </c>
      <c r="G907">
        <v>0</v>
      </c>
      <c r="H907" t="s">
        <v>14</v>
      </c>
      <c r="I907" t="s">
        <v>15</v>
      </c>
      <c r="J907">
        <v>53</v>
      </c>
      <c r="K907">
        <v>49</v>
      </c>
      <c r="L907">
        <v>0</v>
      </c>
    </row>
    <row r="908" spans="1:12" x14ac:dyDescent="0.25">
      <c r="A908">
        <v>907</v>
      </c>
      <c r="B908" t="s">
        <v>1466</v>
      </c>
      <c r="C908" t="s">
        <v>1467</v>
      </c>
      <c r="D908" s="1">
        <v>45308.317754629628</v>
      </c>
      <c r="E908" s="1">
        <v>45308.367060185185</v>
      </c>
      <c r="F908">
        <v>497</v>
      </c>
      <c r="G908">
        <v>50</v>
      </c>
      <c r="H908" t="s">
        <v>18</v>
      </c>
      <c r="I908" t="s">
        <v>25</v>
      </c>
      <c r="J908">
        <v>151</v>
      </c>
      <c r="K908">
        <v>10</v>
      </c>
      <c r="L908">
        <v>0</v>
      </c>
    </row>
    <row r="909" spans="1:12" x14ac:dyDescent="0.25">
      <c r="A909">
        <v>908</v>
      </c>
      <c r="B909" t="s">
        <v>1468</v>
      </c>
      <c r="C909" t="s">
        <v>225</v>
      </c>
      <c r="D909" s="1">
        <v>45294.099074074074</v>
      </c>
      <c r="E909" s="1">
        <v>45294.142824074072</v>
      </c>
      <c r="F909">
        <v>979</v>
      </c>
      <c r="G909">
        <v>0</v>
      </c>
      <c r="H909" t="s">
        <v>14</v>
      </c>
      <c r="I909" t="s">
        <v>25</v>
      </c>
      <c r="J909">
        <v>96</v>
      </c>
      <c r="K909">
        <v>38</v>
      </c>
      <c r="L909">
        <v>150</v>
      </c>
    </row>
    <row r="910" spans="1:12" x14ac:dyDescent="0.25">
      <c r="A910">
        <v>909</v>
      </c>
      <c r="B910" t="s">
        <v>1469</v>
      </c>
      <c r="C910" t="s">
        <v>24</v>
      </c>
      <c r="D910" s="1">
        <v>45320.28733796296</v>
      </c>
      <c r="E910" s="1">
        <v>45320.336643518516</v>
      </c>
      <c r="F910">
        <v>562</v>
      </c>
      <c r="G910">
        <v>50</v>
      </c>
      <c r="H910" t="s">
        <v>18</v>
      </c>
      <c r="I910" t="s">
        <v>28</v>
      </c>
      <c r="J910">
        <v>143</v>
      </c>
      <c r="K910">
        <v>19</v>
      </c>
      <c r="L910">
        <v>0</v>
      </c>
    </row>
    <row r="911" spans="1:12" x14ac:dyDescent="0.25">
      <c r="A911">
        <v>910</v>
      </c>
      <c r="B911" t="s">
        <v>1470</v>
      </c>
      <c r="C911" t="s">
        <v>1471</v>
      </c>
      <c r="D911" s="1">
        <v>45321.113645833335</v>
      </c>
      <c r="E911" s="1">
        <v>45321.147673611114</v>
      </c>
      <c r="F911">
        <v>1874</v>
      </c>
      <c r="G911">
        <v>40</v>
      </c>
      <c r="H911" t="s">
        <v>14</v>
      </c>
      <c r="I911" t="s">
        <v>28</v>
      </c>
      <c r="J911">
        <v>97</v>
      </c>
      <c r="K911">
        <v>37</v>
      </c>
      <c r="L911">
        <v>0</v>
      </c>
    </row>
    <row r="912" spans="1:12" x14ac:dyDescent="0.25">
      <c r="A912">
        <v>911</v>
      </c>
      <c r="B912" t="s">
        <v>1472</v>
      </c>
      <c r="C912" t="s">
        <v>219</v>
      </c>
      <c r="D912" s="1">
        <v>45307.487337962964</v>
      </c>
      <c r="E912" s="1">
        <v>45307.554699074077</v>
      </c>
      <c r="F912">
        <v>1959</v>
      </c>
      <c r="G912">
        <v>30</v>
      </c>
      <c r="H912" t="s">
        <v>21</v>
      </c>
      <c r="I912" s="2">
        <v>0.1</v>
      </c>
      <c r="J912">
        <v>140</v>
      </c>
      <c r="K912">
        <v>40</v>
      </c>
      <c r="L912">
        <v>0</v>
      </c>
    </row>
    <row r="913" spans="1:12" x14ac:dyDescent="0.25">
      <c r="A913">
        <v>912</v>
      </c>
      <c r="B913" t="s">
        <v>1473</v>
      </c>
      <c r="C913" t="s">
        <v>1474</v>
      </c>
      <c r="D913" s="1">
        <v>45306.944560185184</v>
      </c>
      <c r="E913" s="1">
        <v>45306.995949074073</v>
      </c>
      <c r="F913">
        <v>907</v>
      </c>
      <c r="G913">
        <v>30</v>
      </c>
      <c r="H913" t="s">
        <v>14</v>
      </c>
      <c r="I913" t="s">
        <v>28</v>
      </c>
      <c r="J913">
        <v>133</v>
      </c>
      <c r="K913">
        <v>28</v>
      </c>
      <c r="L913">
        <v>150</v>
      </c>
    </row>
    <row r="914" spans="1:12" x14ac:dyDescent="0.25">
      <c r="A914">
        <v>913</v>
      </c>
      <c r="B914" t="s">
        <v>1475</v>
      </c>
      <c r="C914" t="s">
        <v>1476</v>
      </c>
      <c r="D914" s="1">
        <v>45302.806574074071</v>
      </c>
      <c r="E914" s="1">
        <v>45302.878796296296</v>
      </c>
      <c r="F914">
        <v>286</v>
      </c>
      <c r="G914">
        <v>30</v>
      </c>
      <c r="H914" t="s">
        <v>18</v>
      </c>
      <c r="I914" s="2">
        <v>0.1</v>
      </c>
      <c r="J914">
        <v>117</v>
      </c>
      <c r="K914">
        <v>12</v>
      </c>
      <c r="L914">
        <v>0</v>
      </c>
    </row>
    <row r="915" spans="1:12" x14ac:dyDescent="0.25">
      <c r="A915">
        <v>914</v>
      </c>
      <c r="B915" t="s">
        <v>1477</v>
      </c>
      <c r="C915" t="s">
        <v>1478</v>
      </c>
      <c r="D915" s="1">
        <v>45316.663645833331</v>
      </c>
      <c r="E915" s="1">
        <v>45316.712951388887</v>
      </c>
      <c r="F915">
        <v>1843</v>
      </c>
      <c r="G915">
        <v>50</v>
      </c>
      <c r="H915" t="s">
        <v>14</v>
      </c>
      <c r="I915" t="s">
        <v>25</v>
      </c>
      <c r="J915">
        <v>188</v>
      </c>
      <c r="K915">
        <v>45</v>
      </c>
      <c r="L915">
        <v>0</v>
      </c>
    </row>
    <row r="916" spans="1:12" x14ac:dyDescent="0.25">
      <c r="A916">
        <v>915</v>
      </c>
      <c r="B916" t="s">
        <v>1479</v>
      </c>
      <c r="C916" t="s">
        <v>1480</v>
      </c>
      <c r="D916" s="1">
        <v>45322.590983796297</v>
      </c>
      <c r="E916" s="1">
        <v>45322.643761574072</v>
      </c>
      <c r="F916">
        <v>831</v>
      </c>
      <c r="G916">
        <v>30</v>
      </c>
      <c r="H916" t="s">
        <v>21</v>
      </c>
      <c r="I916" s="2">
        <v>0.1</v>
      </c>
      <c r="J916">
        <v>174</v>
      </c>
      <c r="K916">
        <v>24</v>
      </c>
      <c r="L916">
        <v>50</v>
      </c>
    </row>
    <row r="917" spans="1:12" x14ac:dyDescent="0.25">
      <c r="A917">
        <v>916</v>
      </c>
      <c r="B917" t="s">
        <v>1481</v>
      </c>
      <c r="C917" t="s">
        <v>1482</v>
      </c>
      <c r="D917" s="1">
        <v>45323.243333333332</v>
      </c>
      <c r="E917" s="1">
        <v>45323.266944444447</v>
      </c>
      <c r="F917">
        <v>1313</v>
      </c>
      <c r="G917">
        <v>0</v>
      </c>
      <c r="H917" t="s">
        <v>14</v>
      </c>
      <c r="I917" s="2">
        <v>0.1</v>
      </c>
      <c r="J917">
        <v>122</v>
      </c>
      <c r="K917">
        <v>42</v>
      </c>
      <c r="L917">
        <v>0</v>
      </c>
    </row>
    <row r="918" spans="1:12" x14ac:dyDescent="0.25">
      <c r="A918">
        <v>917</v>
      </c>
      <c r="B918" t="s">
        <v>1483</v>
      </c>
      <c r="C918" t="s">
        <v>1484</v>
      </c>
      <c r="D918" s="1">
        <v>45309.379444444443</v>
      </c>
      <c r="E918" s="1">
        <v>45309.461388888885</v>
      </c>
      <c r="F918">
        <v>1511</v>
      </c>
      <c r="G918">
        <v>30</v>
      </c>
      <c r="H918" t="s">
        <v>18</v>
      </c>
      <c r="I918" t="s">
        <v>22</v>
      </c>
      <c r="J918">
        <v>53</v>
      </c>
      <c r="K918">
        <v>50</v>
      </c>
      <c r="L918">
        <v>0</v>
      </c>
    </row>
    <row r="919" spans="1:12" x14ac:dyDescent="0.25">
      <c r="A919">
        <v>918</v>
      </c>
      <c r="B919" t="s">
        <v>1485</v>
      </c>
      <c r="C919" t="s">
        <v>1486</v>
      </c>
      <c r="D919" s="1">
        <v>45313.632627314815</v>
      </c>
      <c r="E919" s="1">
        <v>45313.686793981484</v>
      </c>
      <c r="F919">
        <v>528</v>
      </c>
      <c r="G919">
        <v>40</v>
      </c>
      <c r="H919" t="s">
        <v>18</v>
      </c>
      <c r="I919" t="s">
        <v>28</v>
      </c>
      <c r="J919">
        <v>125</v>
      </c>
      <c r="K919">
        <v>35</v>
      </c>
      <c r="L919">
        <v>0</v>
      </c>
    </row>
    <row r="920" spans="1:12" x14ac:dyDescent="0.25">
      <c r="A920">
        <v>919</v>
      </c>
      <c r="B920" t="s">
        <v>1487</v>
      </c>
      <c r="C920" t="s">
        <v>958</v>
      </c>
      <c r="D920" s="1">
        <v>45295.610590277778</v>
      </c>
      <c r="E920" s="1">
        <v>45295.656423611108</v>
      </c>
      <c r="F920">
        <v>957</v>
      </c>
      <c r="G920">
        <v>0</v>
      </c>
      <c r="H920" t="s">
        <v>21</v>
      </c>
      <c r="I920" s="2">
        <v>0.1</v>
      </c>
      <c r="J920">
        <v>122</v>
      </c>
      <c r="K920">
        <v>25</v>
      </c>
      <c r="L920">
        <v>0</v>
      </c>
    </row>
    <row r="921" spans="1:12" x14ac:dyDescent="0.25">
      <c r="A921">
        <v>920</v>
      </c>
      <c r="B921" t="s">
        <v>1131</v>
      </c>
      <c r="C921" t="s">
        <v>1488</v>
      </c>
      <c r="D921" s="1">
        <v>45316.624988425923</v>
      </c>
      <c r="E921" s="1">
        <v>45316.668738425928</v>
      </c>
      <c r="F921">
        <v>1407</v>
      </c>
      <c r="G921">
        <v>30</v>
      </c>
      <c r="H921" t="s">
        <v>18</v>
      </c>
      <c r="I921" t="s">
        <v>25</v>
      </c>
      <c r="J921">
        <v>126</v>
      </c>
      <c r="K921">
        <v>45</v>
      </c>
      <c r="L921">
        <v>150</v>
      </c>
    </row>
    <row r="922" spans="1:12" x14ac:dyDescent="0.25">
      <c r="A922">
        <v>921</v>
      </c>
      <c r="B922" t="s">
        <v>1489</v>
      </c>
      <c r="C922" t="s">
        <v>884</v>
      </c>
      <c r="D922" s="1">
        <v>45317.754606481481</v>
      </c>
      <c r="E922" s="1">
        <v>45317.825439814813</v>
      </c>
      <c r="F922">
        <v>1987</v>
      </c>
      <c r="G922">
        <v>30</v>
      </c>
      <c r="H922" t="s">
        <v>14</v>
      </c>
      <c r="I922" t="s">
        <v>15</v>
      </c>
      <c r="J922">
        <v>97</v>
      </c>
      <c r="K922">
        <v>42</v>
      </c>
      <c r="L922">
        <v>0</v>
      </c>
    </row>
    <row r="923" spans="1:12" x14ac:dyDescent="0.25">
      <c r="A923">
        <v>922</v>
      </c>
      <c r="B923" t="s">
        <v>1490</v>
      </c>
      <c r="C923" t="s">
        <v>494</v>
      </c>
      <c r="D923" s="1">
        <v>45300.556597222225</v>
      </c>
      <c r="E923" s="1">
        <v>45300.625347222223</v>
      </c>
      <c r="F923">
        <v>336</v>
      </c>
      <c r="G923">
        <v>20</v>
      </c>
      <c r="H923" t="s">
        <v>14</v>
      </c>
      <c r="I923" s="2">
        <v>0.1</v>
      </c>
      <c r="J923">
        <v>151</v>
      </c>
      <c r="K923">
        <v>29</v>
      </c>
      <c r="L923">
        <v>150</v>
      </c>
    </row>
    <row r="924" spans="1:12" x14ac:dyDescent="0.25">
      <c r="A924">
        <v>923</v>
      </c>
      <c r="B924" t="s">
        <v>1491</v>
      </c>
      <c r="C924" t="s">
        <v>1492</v>
      </c>
      <c r="D924" s="1">
        <v>45310.114236111112</v>
      </c>
      <c r="E924" s="1">
        <v>45310.146874999999</v>
      </c>
      <c r="F924">
        <v>1317</v>
      </c>
      <c r="G924">
        <v>50</v>
      </c>
      <c r="H924" t="s">
        <v>14</v>
      </c>
      <c r="I924" t="s">
        <v>28</v>
      </c>
      <c r="J924">
        <v>155</v>
      </c>
      <c r="K924">
        <v>22</v>
      </c>
      <c r="L924">
        <v>0</v>
      </c>
    </row>
    <row r="925" spans="1:12" x14ac:dyDescent="0.25">
      <c r="A925">
        <v>924</v>
      </c>
      <c r="B925" t="s">
        <v>631</v>
      </c>
      <c r="C925" t="s">
        <v>1493</v>
      </c>
      <c r="D925" s="1">
        <v>45328.049687500003</v>
      </c>
      <c r="E925" s="1">
        <v>45328.123993055553</v>
      </c>
      <c r="F925">
        <v>1410</v>
      </c>
      <c r="G925">
        <v>0</v>
      </c>
      <c r="H925" t="s">
        <v>18</v>
      </c>
      <c r="I925" t="s">
        <v>22</v>
      </c>
      <c r="J925">
        <v>126</v>
      </c>
      <c r="K925">
        <v>42</v>
      </c>
      <c r="L925">
        <v>50</v>
      </c>
    </row>
    <row r="926" spans="1:12" x14ac:dyDescent="0.25">
      <c r="A926">
        <v>925</v>
      </c>
      <c r="B926" t="s">
        <v>1494</v>
      </c>
      <c r="C926" t="s">
        <v>610</v>
      </c>
      <c r="D926" s="1">
        <v>45299.420682870368</v>
      </c>
      <c r="E926" s="1">
        <v>45299.454016203701</v>
      </c>
      <c r="F926">
        <v>870</v>
      </c>
      <c r="G926">
        <v>20</v>
      </c>
      <c r="H926" t="s">
        <v>14</v>
      </c>
      <c r="I926" t="s">
        <v>25</v>
      </c>
      <c r="J926">
        <v>88</v>
      </c>
      <c r="K926">
        <v>14</v>
      </c>
      <c r="L926">
        <v>50</v>
      </c>
    </row>
    <row r="927" spans="1:12" x14ac:dyDescent="0.25">
      <c r="A927">
        <v>926</v>
      </c>
      <c r="B927" t="s">
        <v>1495</v>
      </c>
      <c r="C927" t="s">
        <v>1496</v>
      </c>
      <c r="D927" s="1">
        <v>45294.181597222225</v>
      </c>
      <c r="E927" s="1">
        <v>45294.255902777775</v>
      </c>
      <c r="F927">
        <v>857</v>
      </c>
      <c r="G927">
        <v>40</v>
      </c>
      <c r="H927" t="s">
        <v>14</v>
      </c>
      <c r="I927" t="s">
        <v>22</v>
      </c>
      <c r="J927">
        <v>107</v>
      </c>
      <c r="K927">
        <v>46</v>
      </c>
      <c r="L927">
        <v>100</v>
      </c>
    </row>
    <row r="928" spans="1:12" x14ac:dyDescent="0.25">
      <c r="A928">
        <v>927</v>
      </c>
      <c r="B928" t="s">
        <v>1497</v>
      </c>
      <c r="C928" t="s">
        <v>496</v>
      </c>
      <c r="D928" s="1">
        <v>45328.217476851853</v>
      </c>
      <c r="E928" s="1">
        <v>45328.265393518515</v>
      </c>
      <c r="F928">
        <v>235</v>
      </c>
      <c r="G928">
        <v>50</v>
      </c>
      <c r="H928" t="s">
        <v>14</v>
      </c>
      <c r="I928" t="s">
        <v>15</v>
      </c>
      <c r="J928">
        <v>68</v>
      </c>
      <c r="K928">
        <v>23</v>
      </c>
      <c r="L928">
        <v>0</v>
      </c>
    </row>
    <row r="929" spans="1:12" x14ac:dyDescent="0.25">
      <c r="A929">
        <v>928</v>
      </c>
      <c r="B929" t="s">
        <v>1498</v>
      </c>
      <c r="C929" t="s">
        <v>1499</v>
      </c>
      <c r="D929" s="1">
        <v>45320.991203703707</v>
      </c>
      <c r="E929" s="1">
        <v>45321.023148148146</v>
      </c>
      <c r="F929">
        <v>891</v>
      </c>
      <c r="G929">
        <v>0</v>
      </c>
      <c r="H929" t="s">
        <v>21</v>
      </c>
      <c r="I929" s="2">
        <v>0.1</v>
      </c>
      <c r="J929">
        <v>137</v>
      </c>
      <c r="K929">
        <v>36</v>
      </c>
      <c r="L929">
        <v>0</v>
      </c>
    </row>
    <row r="930" spans="1:12" x14ac:dyDescent="0.25">
      <c r="A930">
        <v>929</v>
      </c>
      <c r="B930" t="s">
        <v>763</v>
      </c>
      <c r="C930" t="s">
        <v>1500</v>
      </c>
      <c r="D930" s="1">
        <v>45297.838067129633</v>
      </c>
      <c r="E930" s="1">
        <v>45297.899872685186</v>
      </c>
      <c r="F930">
        <v>1906</v>
      </c>
      <c r="G930">
        <v>30</v>
      </c>
      <c r="H930" t="s">
        <v>18</v>
      </c>
      <c r="I930" s="2">
        <v>0.1</v>
      </c>
      <c r="J930">
        <v>162</v>
      </c>
      <c r="K930">
        <v>32</v>
      </c>
      <c r="L930">
        <v>0</v>
      </c>
    </row>
    <row r="931" spans="1:12" x14ac:dyDescent="0.25">
      <c r="A931">
        <v>930</v>
      </c>
      <c r="B931" t="s">
        <v>1501</v>
      </c>
      <c r="C931" t="s">
        <v>190</v>
      </c>
      <c r="D931" s="1">
        <v>45297.979108796295</v>
      </c>
      <c r="E931" s="1">
        <v>45298.028414351851</v>
      </c>
      <c r="F931">
        <v>270</v>
      </c>
      <c r="G931">
        <v>0</v>
      </c>
      <c r="H931" t="s">
        <v>18</v>
      </c>
      <c r="I931" t="s">
        <v>28</v>
      </c>
      <c r="J931">
        <v>126</v>
      </c>
      <c r="K931">
        <v>23</v>
      </c>
      <c r="L931">
        <v>0</v>
      </c>
    </row>
    <row r="932" spans="1:12" x14ac:dyDescent="0.25">
      <c r="A932">
        <v>931</v>
      </c>
      <c r="B932" t="s">
        <v>1502</v>
      </c>
      <c r="C932" t="s">
        <v>640</v>
      </c>
      <c r="D932" s="1">
        <v>45299.681585648148</v>
      </c>
      <c r="E932" s="1">
        <v>45299.757974537039</v>
      </c>
      <c r="F932">
        <v>258</v>
      </c>
      <c r="G932">
        <v>30</v>
      </c>
      <c r="H932" t="s">
        <v>18</v>
      </c>
      <c r="I932" s="2">
        <v>0.1</v>
      </c>
      <c r="J932">
        <v>126</v>
      </c>
      <c r="K932">
        <v>49</v>
      </c>
      <c r="L932">
        <v>0</v>
      </c>
    </row>
    <row r="933" spans="1:12" x14ac:dyDescent="0.25">
      <c r="A933">
        <v>932</v>
      </c>
      <c r="B933" t="s">
        <v>1503</v>
      </c>
      <c r="C933" t="s">
        <v>1504</v>
      </c>
      <c r="D933" s="1">
        <v>45318.193159722221</v>
      </c>
      <c r="E933" s="1">
        <v>45318.263298611113</v>
      </c>
      <c r="F933">
        <v>300</v>
      </c>
      <c r="G933">
        <v>50</v>
      </c>
      <c r="H933" t="s">
        <v>21</v>
      </c>
      <c r="I933" t="s">
        <v>25</v>
      </c>
      <c r="J933">
        <v>77</v>
      </c>
      <c r="K933">
        <v>13</v>
      </c>
      <c r="L933">
        <v>0</v>
      </c>
    </row>
    <row r="934" spans="1:12" x14ac:dyDescent="0.25">
      <c r="A934">
        <v>933</v>
      </c>
      <c r="B934" t="s">
        <v>1505</v>
      </c>
      <c r="C934" t="s">
        <v>213</v>
      </c>
      <c r="D934" s="1">
        <v>45304.678541666668</v>
      </c>
      <c r="E934" s="1">
        <v>45304.743819444448</v>
      </c>
      <c r="F934">
        <v>1610</v>
      </c>
      <c r="G934">
        <v>30</v>
      </c>
      <c r="H934" t="s">
        <v>18</v>
      </c>
      <c r="I934" t="s">
        <v>15</v>
      </c>
      <c r="J934">
        <v>115</v>
      </c>
      <c r="K934">
        <v>48</v>
      </c>
      <c r="L934">
        <v>0</v>
      </c>
    </row>
    <row r="935" spans="1:12" x14ac:dyDescent="0.25">
      <c r="A935">
        <v>934</v>
      </c>
      <c r="B935" t="s">
        <v>1506</v>
      </c>
      <c r="C935" t="s">
        <v>1163</v>
      </c>
      <c r="D935" s="1">
        <v>45294.816041666665</v>
      </c>
      <c r="E935" s="1">
        <v>45294.872986111113</v>
      </c>
      <c r="F935">
        <v>1680</v>
      </c>
      <c r="G935">
        <v>40</v>
      </c>
      <c r="H935" t="s">
        <v>21</v>
      </c>
      <c r="I935" t="s">
        <v>22</v>
      </c>
      <c r="J935">
        <v>59</v>
      </c>
      <c r="K935">
        <v>28</v>
      </c>
      <c r="L935">
        <v>0</v>
      </c>
    </row>
    <row r="936" spans="1:12" x14ac:dyDescent="0.25">
      <c r="A936">
        <v>935</v>
      </c>
      <c r="B936" t="s">
        <v>943</v>
      </c>
      <c r="C936" t="s">
        <v>186</v>
      </c>
      <c r="D936" s="1">
        <v>45329.494629629633</v>
      </c>
      <c r="E936" s="1">
        <v>45329.519629629627</v>
      </c>
      <c r="F936">
        <v>1061</v>
      </c>
      <c r="G936">
        <v>30</v>
      </c>
      <c r="H936" t="s">
        <v>21</v>
      </c>
      <c r="I936" t="s">
        <v>15</v>
      </c>
      <c r="J936">
        <v>175</v>
      </c>
      <c r="K936">
        <v>13</v>
      </c>
      <c r="L936">
        <v>0</v>
      </c>
    </row>
    <row r="937" spans="1:12" x14ac:dyDescent="0.25">
      <c r="A937">
        <v>936</v>
      </c>
      <c r="B937" t="s">
        <v>1507</v>
      </c>
      <c r="C937" t="s">
        <v>1262</v>
      </c>
      <c r="D937" s="1">
        <v>45323.931817129633</v>
      </c>
      <c r="E937" s="1">
        <v>45323.955428240741</v>
      </c>
      <c r="F937">
        <v>1899</v>
      </c>
      <c r="G937">
        <v>40</v>
      </c>
      <c r="H937" t="s">
        <v>18</v>
      </c>
      <c r="I937" s="2">
        <v>0.1</v>
      </c>
      <c r="J937">
        <v>107</v>
      </c>
      <c r="K937">
        <v>39</v>
      </c>
      <c r="L937">
        <v>50</v>
      </c>
    </row>
    <row r="938" spans="1:12" x14ac:dyDescent="0.25">
      <c r="A938">
        <v>937</v>
      </c>
      <c r="B938" t="s">
        <v>1508</v>
      </c>
      <c r="C938" t="s">
        <v>612</v>
      </c>
      <c r="D938" s="1">
        <v>45318.922835648147</v>
      </c>
      <c r="E938" s="1">
        <v>45318.959641203706</v>
      </c>
      <c r="F938">
        <v>682</v>
      </c>
      <c r="G938">
        <v>50</v>
      </c>
      <c r="H938" t="s">
        <v>14</v>
      </c>
      <c r="I938" t="s">
        <v>22</v>
      </c>
      <c r="J938">
        <v>191</v>
      </c>
      <c r="K938">
        <v>28</v>
      </c>
      <c r="L938">
        <v>0</v>
      </c>
    </row>
    <row r="939" spans="1:12" x14ac:dyDescent="0.25">
      <c r="A939">
        <v>938</v>
      </c>
      <c r="B939" t="s">
        <v>1509</v>
      </c>
      <c r="C939" t="s">
        <v>1230</v>
      </c>
      <c r="D939" s="1">
        <v>45322.316805555558</v>
      </c>
      <c r="E939" s="1">
        <v>45322.356388888889</v>
      </c>
      <c r="F939">
        <v>1627</v>
      </c>
      <c r="G939">
        <v>50</v>
      </c>
      <c r="H939" t="s">
        <v>14</v>
      </c>
      <c r="I939" t="s">
        <v>28</v>
      </c>
      <c r="J939">
        <v>174</v>
      </c>
      <c r="K939">
        <v>40</v>
      </c>
      <c r="L939">
        <v>0</v>
      </c>
    </row>
    <row r="940" spans="1:12" x14ac:dyDescent="0.25">
      <c r="A940">
        <v>939</v>
      </c>
      <c r="B940" t="s">
        <v>1510</v>
      </c>
      <c r="C940" t="s">
        <v>718</v>
      </c>
      <c r="D940" s="1">
        <v>45312.132650462961</v>
      </c>
      <c r="E940" s="1">
        <v>45312.195844907408</v>
      </c>
      <c r="F940">
        <v>975</v>
      </c>
      <c r="G940">
        <v>0</v>
      </c>
      <c r="H940" t="s">
        <v>18</v>
      </c>
      <c r="I940" t="s">
        <v>15</v>
      </c>
      <c r="J940">
        <v>161</v>
      </c>
      <c r="K940">
        <v>40</v>
      </c>
      <c r="L940">
        <v>50</v>
      </c>
    </row>
    <row r="941" spans="1:12" x14ac:dyDescent="0.25">
      <c r="A941">
        <v>940</v>
      </c>
      <c r="B941" t="s">
        <v>1511</v>
      </c>
      <c r="C941" t="s">
        <v>1119</v>
      </c>
      <c r="D941" s="1">
        <v>45316.88685185185</v>
      </c>
      <c r="E941" s="1">
        <v>45316.918796296297</v>
      </c>
      <c r="F941">
        <v>470</v>
      </c>
      <c r="G941">
        <v>40</v>
      </c>
      <c r="H941" t="s">
        <v>18</v>
      </c>
      <c r="I941" t="s">
        <v>22</v>
      </c>
      <c r="J941">
        <v>133</v>
      </c>
      <c r="K941">
        <v>18</v>
      </c>
      <c r="L941">
        <v>100</v>
      </c>
    </row>
    <row r="942" spans="1:12" x14ac:dyDescent="0.25">
      <c r="A942">
        <v>941</v>
      </c>
      <c r="B942" t="s">
        <v>1512</v>
      </c>
      <c r="C942" t="s">
        <v>681</v>
      </c>
      <c r="D942" s="1">
        <v>45309.665763888886</v>
      </c>
      <c r="E942" s="1">
        <v>45309.699791666666</v>
      </c>
      <c r="F942">
        <v>202</v>
      </c>
      <c r="G942">
        <v>40</v>
      </c>
      <c r="H942" t="s">
        <v>21</v>
      </c>
      <c r="I942" t="s">
        <v>22</v>
      </c>
      <c r="J942">
        <v>192</v>
      </c>
      <c r="K942">
        <v>22</v>
      </c>
      <c r="L942">
        <v>0</v>
      </c>
    </row>
    <row r="943" spans="1:12" x14ac:dyDescent="0.25">
      <c r="A943">
        <v>942</v>
      </c>
      <c r="B943" t="s">
        <v>1513</v>
      </c>
      <c r="C943" t="s">
        <v>865</v>
      </c>
      <c r="D943" s="1">
        <v>45304.405787037038</v>
      </c>
      <c r="E943" s="1">
        <v>45304.42800925926</v>
      </c>
      <c r="F943">
        <v>1101</v>
      </c>
      <c r="G943">
        <v>20</v>
      </c>
      <c r="H943" t="s">
        <v>18</v>
      </c>
      <c r="I943" t="s">
        <v>22</v>
      </c>
      <c r="J943">
        <v>145</v>
      </c>
      <c r="K943">
        <v>23</v>
      </c>
      <c r="L943">
        <v>0</v>
      </c>
    </row>
    <row r="944" spans="1:12" x14ac:dyDescent="0.25">
      <c r="A944">
        <v>943</v>
      </c>
      <c r="B944" t="s">
        <v>1514</v>
      </c>
      <c r="C944" t="s">
        <v>1515</v>
      </c>
      <c r="D944" s="1">
        <v>45315.46539351852</v>
      </c>
      <c r="E944" s="1">
        <v>45315.51122685185</v>
      </c>
      <c r="F944">
        <v>1248</v>
      </c>
      <c r="G944">
        <v>20</v>
      </c>
      <c r="H944" t="s">
        <v>21</v>
      </c>
      <c r="I944" t="s">
        <v>25</v>
      </c>
      <c r="J944">
        <v>82</v>
      </c>
      <c r="K944">
        <v>19</v>
      </c>
      <c r="L944">
        <v>0</v>
      </c>
    </row>
    <row r="945" spans="1:12" x14ac:dyDescent="0.25">
      <c r="A945">
        <v>944</v>
      </c>
      <c r="B945" t="s">
        <v>1516</v>
      </c>
      <c r="C945" t="s">
        <v>564</v>
      </c>
      <c r="D945" s="1">
        <v>45317.237511574072</v>
      </c>
      <c r="E945" s="1">
        <v>45317.320150462961</v>
      </c>
      <c r="F945">
        <v>1436</v>
      </c>
      <c r="G945">
        <v>20</v>
      </c>
      <c r="H945" t="s">
        <v>18</v>
      </c>
      <c r="I945" t="s">
        <v>15</v>
      </c>
      <c r="J945">
        <v>194</v>
      </c>
      <c r="K945">
        <v>40</v>
      </c>
      <c r="L945">
        <v>0</v>
      </c>
    </row>
    <row r="946" spans="1:12" x14ac:dyDescent="0.25">
      <c r="A946">
        <v>945</v>
      </c>
      <c r="B946" t="s">
        <v>1517</v>
      </c>
      <c r="C946" t="s">
        <v>1268</v>
      </c>
      <c r="D946" s="1">
        <v>45301.39298611111</v>
      </c>
      <c r="E946" s="1">
        <v>45301.423541666663</v>
      </c>
      <c r="F946">
        <v>1075</v>
      </c>
      <c r="G946">
        <v>30</v>
      </c>
      <c r="H946" t="s">
        <v>14</v>
      </c>
      <c r="I946" t="s">
        <v>22</v>
      </c>
      <c r="J946">
        <v>190</v>
      </c>
      <c r="K946">
        <v>46</v>
      </c>
      <c r="L946">
        <v>0</v>
      </c>
    </row>
    <row r="947" spans="1:12" x14ac:dyDescent="0.25">
      <c r="A947">
        <v>946</v>
      </c>
      <c r="B947" t="s">
        <v>1518</v>
      </c>
      <c r="C947" t="s">
        <v>482</v>
      </c>
      <c r="D947" s="1">
        <v>45324.805763888886</v>
      </c>
      <c r="E947" s="1">
        <v>45324.861319444448</v>
      </c>
      <c r="F947">
        <v>897</v>
      </c>
      <c r="G947">
        <v>20</v>
      </c>
      <c r="H947" t="s">
        <v>14</v>
      </c>
      <c r="I947" t="s">
        <v>15</v>
      </c>
      <c r="J947">
        <v>96</v>
      </c>
      <c r="K947">
        <v>32</v>
      </c>
      <c r="L947">
        <v>0</v>
      </c>
    </row>
    <row r="948" spans="1:12" x14ac:dyDescent="0.25">
      <c r="A948">
        <v>947</v>
      </c>
      <c r="B948" t="s">
        <v>1519</v>
      </c>
      <c r="C948" t="s">
        <v>384</v>
      </c>
      <c r="D948" s="1">
        <v>45298.795138888891</v>
      </c>
      <c r="E948" s="1">
        <v>45298.848611111112</v>
      </c>
      <c r="F948">
        <v>1581</v>
      </c>
      <c r="G948">
        <v>40</v>
      </c>
      <c r="H948" t="s">
        <v>18</v>
      </c>
      <c r="I948" t="s">
        <v>22</v>
      </c>
      <c r="J948">
        <v>161</v>
      </c>
      <c r="K948">
        <v>36</v>
      </c>
      <c r="L948">
        <v>0</v>
      </c>
    </row>
    <row r="949" spans="1:12" x14ac:dyDescent="0.25">
      <c r="A949">
        <v>948</v>
      </c>
      <c r="B949" t="s">
        <v>1520</v>
      </c>
      <c r="C949" t="s">
        <v>1256</v>
      </c>
      <c r="D949" s="1">
        <v>45319.566342592596</v>
      </c>
      <c r="E949" s="1">
        <v>45319.592037037037</v>
      </c>
      <c r="F949">
        <v>1353</v>
      </c>
      <c r="G949">
        <v>30</v>
      </c>
      <c r="H949" t="s">
        <v>21</v>
      </c>
      <c r="I949" t="s">
        <v>28</v>
      </c>
      <c r="J949">
        <v>193</v>
      </c>
      <c r="K949">
        <v>15</v>
      </c>
      <c r="L949">
        <v>0</v>
      </c>
    </row>
    <row r="950" spans="1:12" x14ac:dyDescent="0.25">
      <c r="A950">
        <v>949</v>
      </c>
      <c r="B950" t="s">
        <v>1521</v>
      </c>
      <c r="C950" t="s">
        <v>1522</v>
      </c>
      <c r="D950" s="1">
        <v>45313.735775462963</v>
      </c>
      <c r="E950" s="1">
        <v>45313.76494212963</v>
      </c>
      <c r="F950">
        <v>757</v>
      </c>
      <c r="G950">
        <v>50</v>
      </c>
      <c r="H950" t="s">
        <v>14</v>
      </c>
      <c r="I950" t="s">
        <v>28</v>
      </c>
      <c r="J950">
        <v>92</v>
      </c>
      <c r="K950">
        <v>35</v>
      </c>
      <c r="L950">
        <v>0</v>
      </c>
    </row>
    <row r="951" spans="1:12" x14ac:dyDescent="0.25">
      <c r="A951">
        <v>950</v>
      </c>
      <c r="B951" t="s">
        <v>1523</v>
      </c>
      <c r="C951" t="s">
        <v>569</v>
      </c>
      <c r="D951" s="1">
        <v>45322.327638888892</v>
      </c>
      <c r="E951" s="1">
        <v>45322.381111111114</v>
      </c>
      <c r="F951">
        <v>981</v>
      </c>
      <c r="G951">
        <v>0</v>
      </c>
      <c r="H951" t="s">
        <v>21</v>
      </c>
      <c r="I951" t="s">
        <v>28</v>
      </c>
      <c r="J951">
        <v>57</v>
      </c>
      <c r="K951">
        <v>11</v>
      </c>
      <c r="L951">
        <v>150</v>
      </c>
    </row>
    <row r="952" spans="1:12" x14ac:dyDescent="0.25">
      <c r="A952">
        <v>951</v>
      </c>
      <c r="B952" t="s">
        <v>1524</v>
      </c>
      <c r="C952" t="s">
        <v>94</v>
      </c>
      <c r="D952" s="1">
        <v>45300.901585648149</v>
      </c>
      <c r="E952" s="1">
        <v>45300.923807870371</v>
      </c>
      <c r="F952">
        <v>1320</v>
      </c>
      <c r="G952">
        <v>20</v>
      </c>
      <c r="H952" t="s">
        <v>18</v>
      </c>
      <c r="I952" s="2">
        <v>0.1</v>
      </c>
      <c r="J952">
        <v>52</v>
      </c>
      <c r="K952">
        <v>22</v>
      </c>
      <c r="L952">
        <v>0</v>
      </c>
    </row>
    <row r="953" spans="1:12" x14ac:dyDescent="0.25">
      <c r="A953">
        <v>952</v>
      </c>
      <c r="B953" t="s">
        <v>1525</v>
      </c>
      <c r="C953" t="s">
        <v>1526</v>
      </c>
      <c r="D953" s="1">
        <v>45319.191157407404</v>
      </c>
      <c r="E953" s="1">
        <v>45319.256435185183</v>
      </c>
      <c r="F953">
        <v>832</v>
      </c>
      <c r="G953">
        <v>50</v>
      </c>
      <c r="H953" t="s">
        <v>18</v>
      </c>
      <c r="I953" t="s">
        <v>22</v>
      </c>
      <c r="J953">
        <v>174</v>
      </c>
      <c r="K953">
        <v>28</v>
      </c>
      <c r="L953">
        <v>0</v>
      </c>
    </row>
    <row r="954" spans="1:12" x14ac:dyDescent="0.25">
      <c r="A954">
        <v>953</v>
      </c>
      <c r="B954" t="s">
        <v>1527</v>
      </c>
      <c r="C954" t="s">
        <v>817</v>
      </c>
      <c r="D954" s="1">
        <v>45325.18005787037</v>
      </c>
      <c r="E954" s="1">
        <v>45325.250891203701</v>
      </c>
      <c r="F954">
        <v>522</v>
      </c>
      <c r="G954">
        <v>40</v>
      </c>
      <c r="H954" t="s">
        <v>14</v>
      </c>
      <c r="I954" s="2">
        <v>0.1</v>
      </c>
      <c r="J954">
        <v>61</v>
      </c>
      <c r="K954">
        <v>10</v>
      </c>
      <c r="L954">
        <v>0</v>
      </c>
    </row>
    <row r="955" spans="1:12" x14ac:dyDescent="0.25">
      <c r="A955">
        <v>954</v>
      </c>
      <c r="B955" t="s">
        <v>59</v>
      </c>
      <c r="C955" t="s">
        <v>1016</v>
      </c>
      <c r="D955" s="1">
        <v>45307.473622685182</v>
      </c>
      <c r="E955" s="1">
        <v>45307.515289351853</v>
      </c>
      <c r="F955">
        <v>671</v>
      </c>
      <c r="G955">
        <v>0</v>
      </c>
      <c r="H955" t="s">
        <v>18</v>
      </c>
      <c r="I955" t="s">
        <v>15</v>
      </c>
      <c r="J955">
        <v>133</v>
      </c>
      <c r="K955">
        <v>49</v>
      </c>
      <c r="L955">
        <v>150</v>
      </c>
    </row>
    <row r="956" spans="1:12" x14ac:dyDescent="0.25">
      <c r="A956">
        <v>955</v>
      </c>
      <c r="B956" t="s">
        <v>1528</v>
      </c>
      <c r="C956" t="s">
        <v>1529</v>
      </c>
      <c r="D956" s="1">
        <v>45318.017812500002</v>
      </c>
      <c r="E956" s="1">
        <v>45318.056006944447</v>
      </c>
      <c r="F956">
        <v>1733</v>
      </c>
      <c r="G956">
        <v>50</v>
      </c>
      <c r="H956" t="s">
        <v>14</v>
      </c>
      <c r="I956" s="2">
        <v>0.1</v>
      </c>
      <c r="J956">
        <v>65</v>
      </c>
      <c r="K956">
        <v>41</v>
      </c>
      <c r="L956">
        <v>0</v>
      </c>
    </row>
    <row r="957" spans="1:12" x14ac:dyDescent="0.25">
      <c r="A957">
        <v>956</v>
      </c>
      <c r="B957" t="s">
        <v>1530</v>
      </c>
      <c r="C957" t="s">
        <v>1474</v>
      </c>
      <c r="D957" s="1">
        <v>45293.856261574074</v>
      </c>
      <c r="E957" s="1">
        <v>45293.932650462964</v>
      </c>
      <c r="F957">
        <v>270</v>
      </c>
      <c r="G957">
        <v>0</v>
      </c>
      <c r="H957" t="s">
        <v>21</v>
      </c>
      <c r="I957" t="s">
        <v>15</v>
      </c>
      <c r="J957">
        <v>127</v>
      </c>
      <c r="K957">
        <v>31</v>
      </c>
      <c r="L957">
        <v>0</v>
      </c>
    </row>
    <row r="958" spans="1:12" x14ac:dyDescent="0.25">
      <c r="A958">
        <v>957</v>
      </c>
      <c r="B958" t="s">
        <v>1531</v>
      </c>
      <c r="C958" t="s">
        <v>371</v>
      </c>
      <c r="D958" s="1">
        <v>45311.895995370367</v>
      </c>
      <c r="E958" s="1">
        <v>45311.955023148148</v>
      </c>
      <c r="F958">
        <v>1505</v>
      </c>
      <c r="G958">
        <v>20</v>
      </c>
      <c r="H958" t="s">
        <v>14</v>
      </c>
      <c r="I958" t="s">
        <v>15</v>
      </c>
      <c r="J958">
        <v>108</v>
      </c>
      <c r="K958">
        <v>38</v>
      </c>
      <c r="L958">
        <v>0</v>
      </c>
    </row>
    <row r="959" spans="1:12" x14ac:dyDescent="0.25">
      <c r="A959">
        <v>958</v>
      </c>
      <c r="B959" t="s">
        <v>1532</v>
      </c>
      <c r="C959" t="s">
        <v>1533</v>
      </c>
      <c r="D959" s="1">
        <v>45321.478958333333</v>
      </c>
      <c r="E959" s="1">
        <v>45321.52270833333</v>
      </c>
      <c r="F959">
        <v>272</v>
      </c>
      <c r="G959">
        <v>40</v>
      </c>
      <c r="H959" t="s">
        <v>14</v>
      </c>
      <c r="I959" t="s">
        <v>15</v>
      </c>
      <c r="J959">
        <v>112</v>
      </c>
      <c r="K959">
        <v>11</v>
      </c>
      <c r="L959">
        <v>0</v>
      </c>
    </row>
    <row r="960" spans="1:12" x14ac:dyDescent="0.25">
      <c r="A960">
        <v>959</v>
      </c>
      <c r="B960" t="s">
        <v>1534</v>
      </c>
      <c r="C960" t="s">
        <v>1535</v>
      </c>
      <c r="D960" s="1">
        <v>45310.26353009259</v>
      </c>
      <c r="E960" s="1">
        <v>45310.289918981478</v>
      </c>
      <c r="F960">
        <v>762</v>
      </c>
      <c r="G960">
        <v>0</v>
      </c>
      <c r="H960" t="s">
        <v>21</v>
      </c>
      <c r="I960" s="2">
        <v>0.1</v>
      </c>
      <c r="J960">
        <v>98</v>
      </c>
      <c r="K960">
        <v>49</v>
      </c>
      <c r="L960">
        <v>0</v>
      </c>
    </row>
    <row r="961" spans="1:12" x14ac:dyDescent="0.25">
      <c r="A961">
        <v>960</v>
      </c>
      <c r="B961" t="s">
        <v>1536</v>
      </c>
      <c r="C961" t="s">
        <v>1537</v>
      </c>
      <c r="D961" s="1">
        <v>45302.464097222219</v>
      </c>
      <c r="E961" s="1">
        <v>45302.527291666665</v>
      </c>
      <c r="F961">
        <v>552</v>
      </c>
      <c r="G961">
        <v>50</v>
      </c>
      <c r="H961" t="s">
        <v>14</v>
      </c>
      <c r="I961" t="s">
        <v>22</v>
      </c>
      <c r="J961">
        <v>100</v>
      </c>
      <c r="K961">
        <v>47</v>
      </c>
      <c r="L961">
        <v>0</v>
      </c>
    </row>
    <row r="962" spans="1:12" x14ac:dyDescent="0.25">
      <c r="A962">
        <v>961</v>
      </c>
      <c r="B962" t="s">
        <v>1538</v>
      </c>
      <c r="C962" t="s">
        <v>332</v>
      </c>
      <c r="D962" s="1">
        <v>45308.268148148149</v>
      </c>
      <c r="E962" s="1">
        <v>45308.297314814816</v>
      </c>
      <c r="F962">
        <v>449</v>
      </c>
      <c r="G962">
        <v>20</v>
      </c>
      <c r="H962" t="s">
        <v>14</v>
      </c>
      <c r="I962" s="2">
        <v>0.1</v>
      </c>
      <c r="J962">
        <v>82</v>
      </c>
      <c r="K962">
        <v>20</v>
      </c>
      <c r="L962">
        <v>0</v>
      </c>
    </row>
    <row r="963" spans="1:12" x14ac:dyDescent="0.25">
      <c r="A963">
        <v>962</v>
      </c>
      <c r="B963" t="s">
        <v>1539</v>
      </c>
      <c r="C963" t="s">
        <v>24</v>
      </c>
      <c r="D963" s="1">
        <v>45292.797685185185</v>
      </c>
      <c r="E963" s="1">
        <v>45292.865740740737</v>
      </c>
      <c r="F963">
        <v>1757</v>
      </c>
      <c r="G963">
        <v>20</v>
      </c>
      <c r="H963" t="s">
        <v>18</v>
      </c>
      <c r="I963" t="s">
        <v>22</v>
      </c>
      <c r="J963">
        <v>79</v>
      </c>
      <c r="K963">
        <v>26</v>
      </c>
      <c r="L963">
        <v>150</v>
      </c>
    </row>
    <row r="964" spans="1:12" x14ac:dyDescent="0.25">
      <c r="A964">
        <v>963</v>
      </c>
      <c r="B964" t="s">
        <v>1540</v>
      </c>
      <c r="C964" t="s">
        <v>249</v>
      </c>
      <c r="D964" s="1">
        <v>45301.607071759259</v>
      </c>
      <c r="E964" s="1">
        <v>45301.655682870369</v>
      </c>
      <c r="F964">
        <v>593</v>
      </c>
      <c r="G964">
        <v>50</v>
      </c>
      <c r="H964" t="s">
        <v>21</v>
      </c>
      <c r="I964" t="s">
        <v>22</v>
      </c>
      <c r="J964">
        <v>125</v>
      </c>
      <c r="K964">
        <v>17</v>
      </c>
      <c r="L964">
        <v>100</v>
      </c>
    </row>
    <row r="965" spans="1:12" x14ac:dyDescent="0.25">
      <c r="A965">
        <v>964</v>
      </c>
      <c r="B965" t="s">
        <v>1541</v>
      </c>
      <c r="C965" t="s">
        <v>1542</v>
      </c>
      <c r="D965" s="1">
        <v>45323.796018518522</v>
      </c>
      <c r="E965" s="1">
        <v>45323.869629629633</v>
      </c>
      <c r="F965">
        <v>719</v>
      </c>
      <c r="G965">
        <v>50</v>
      </c>
      <c r="H965" t="s">
        <v>14</v>
      </c>
      <c r="I965" t="s">
        <v>15</v>
      </c>
      <c r="J965">
        <v>64</v>
      </c>
      <c r="K965">
        <v>31</v>
      </c>
      <c r="L965">
        <v>0</v>
      </c>
    </row>
    <row r="966" spans="1:12" x14ac:dyDescent="0.25">
      <c r="A966">
        <v>965</v>
      </c>
      <c r="B966" t="s">
        <v>1543</v>
      </c>
      <c r="C966" t="s">
        <v>245</v>
      </c>
      <c r="D966" s="1">
        <v>45327.048020833332</v>
      </c>
      <c r="E966" s="1">
        <v>45327.068854166668</v>
      </c>
      <c r="F966">
        <v>1127</v>
      </c>
      <c r="G966">
        <v>0</v>
      </c>
      <c r="H966" t="s">
        <v>21</v>
      </c>
      <c r="I966" s="2">
        <v>0.1</v>
      </c>
      <c r="J966">
        <v>131</v>
      </c>
      <c r="K966">
        <v>13</v>
      </c>
      <c r="L966">
        <v>0</v>
      </c>
    </row>
    <row r="967" spans="1:12" x14ac:dyDescent="0.25">
      <c r="A967">
        <v>966</v>
      </c>
      <c r="B967" t="s">
        <v>772</v>
      </c>
      <c r="C967" t="s">
        <v>1169</v>
      </c>
      <c r="D967" s="1">
        <v>45322.538298611114</v>
      </c>
      <c r="E967" s="1">
        <v>45322.620243055557</v>
      </c>
      <c r="F967">
        <v>1216</v>
      </c>
      <c r="G967">
        <v>30</v>
      </c>
      <c r="H967" t="s">
        <v>21</v>
      </c>
      <c r="I967" t="s">
        <v>22</v>
      </c>
      <c r="J967">
        <v>141</v>
      </c>
      <c r="K967">
        <v>20</v>
      </c>
      <c r="L967">
        <v>100</v>
      </c>
    </row>
    <row r="968" spans="1:12" x14ac:dyDescent="0.25">
      <c r="A968">
        <v>967</v>
      </c>
      <c r="B968" t="s">
        <v>1544</v>
      </c>
      <c r="C968" t="s">
        <v>1545</v>
      </c>
      <c r="D968" s="1">
        <v>45316.359756944446</v>
      </c>
      <c r="E968" s="1">
        <v>45316.412534722222</v>
      </c>
      <c r="F968">
        <v>1018</v>
      </c>
      <c r="G968">
        <v>20</v>
      </c>
      <c r="H968" t="s">
        <v>14</v>
      </c>
      <c r="I968" t="s">
        <v>28</v>
      </c>
      <c r="J968">
        <v>72</v>
      </c>
      <c r="K968">
        <v>17</v>
      </c>
      <c r="L968">
        <v>0</v>
      </c>
    </row>
    <row r="969" spans="1:12" x14ac:dyDescent="0.25">
      <c r="A969">
        <v>968</v>
      </c>
      <c r="B969" t="s">
        <v>1546</v>
      </c>
      <c r="C969" t="s">
        <v>1547</v>
      </c>
      <c r="D969" s="1">
        <v>45321.252534722225</v>
      </c>
      <c r="E969" s="1">
        <v>45321.275451388887</v>
      </c>
      <c r="F969">
        <v>105</v>
      </c>
      <c r="G969">
        <v>0</v>
      </c>
      <c r="H969" t="s">
        <v>18</v>
      </c>
      <c r="I969" t="s">
        <v>22</v>
      </c>
      <c r="J969">
        <v>143</v>
      </c>
      <c r="K969">
        <v>18</v>
      </c>
      <c r="L969">
        <v>0</v>
      </c>
    </row>
    <row r="970" spans="1:12" x14ac:dyDescent="0.25">
      <c r="A970">
        <v>969</v>
      </c>
      <c r="B970" t="s">
        <v>861</v>
      </c>
      <c r="C970" t="s">
        <v>206</v>
      </c>
      <c r="D970" s="1">
        <v>45311.811018518521</v>
      </c>
      <c r="E970" s="1">
        <v>45311.874907407408</v>
      </c>
      <c r="F970">
        <v>387</v>
      </c>
      <c r="G970">
        <v>50</v>
      </c>
      <c r="H970" t="s">
        <v>21</v>
      </c>
      <c r="I970" t="s">
        <v>28</v>
      </c>
      <c r="J970">
        <v>94</v>
      </c>
      <c r="K970">
        <v>35</v>
      </c>
      <c r="L970">
        <v>0</v>
      </c>
    </row>
    <row r="971" spans="1:12" x14ac:dyDescent="0.25">
      <c r="A971">
        <v>970</v>
      </c>
      <c r="B971" t="s">
        <v>1548</v>
      </c>
      <c r="C971" t="s">
        <v>373</v>
      </c>
      <c r="D971" s="1">
        <v>45311.810717592591</v>
      </c>
      <c r="E971" s="1">
        <v>45311.866967592592</v>
      </c>
      <c r="F971">
        <v>1741</v>
      </c>
      <c r="G971">
        <v>0</v>
      </c>
      <c r="H971" t="s">
        <v>14</v>
      </c>
      <c r="I971" s="2">
        <v>0.1</v>
      </c>
      <c r="J971">
        <v>111</v>
      </c>
      <c r="K971">
        <v>11</v>
      </c>
      <c r="L971">
        <v>50</v>
      </c>
    </row>
    <row r="972" spans="1:12" x14ac:dyDescent="0.25">
      <c r="A972">
        <v>971</v>
      </c>
      <c r="B972" t="s">
        <v>1549</v>
      </c>
      <c r="C972" t="s">
        <v>1223</v>
      </c>
      <c r="D972" s="1">
        <v>45329.186145833337</v>
      </c>
      <c r="E972" s="1">
        <v>45329.213229166664</v>
      </c>
      <c r="F972">
        <v>1269</v>
      </c>
      <c r="G972">
        <v>50</v>
      </c>
      <c r="H972" t="s">
        <v>21</v>
      </c>
      <c r="I972" s="2">
        <v>0.1</v>
      </c>
      <c r="J972">
        <v>64</v>
      </c>
      <c r="K972">
        <v>25</v>
      </c>
      <c r="L972">
        <v>0</v>
      </c>
    </row>
    <row r="973" spans="1:12" x14ac:dyDescent="0.25">
      <c r="A973">
        <v>972</v>
      </c>
      <c r="B973" t="s">
        <v>1550</v>
      </c>
      <c r="C973" t="s">
        <v>1551</v>
      </c>
      <c r="D973" s="1">
        <v>45327.053599537037</v>
      </c>
      <c r="E973" s="1">
        <v>45327.093182870369</v>
      </c>
      <c r="F973">
        <v>1906</v>
      </c>
      <c r="G973">
        <v>40</v>
      </c>
      <c r="H973" t="s">
        <v>18</v>
      </c>
      <c r="I973" s="2">
        <v>0.1</v>
      </c>
      <c r="J973">
        <v>95</v>
      </c>
      <c r="K973">
        <v>40</v>
      </c>
      <c r="L973">
        <v>0</v>
      </c>
    </row>
    <row r="974" spans="1:12" x14ac:dyDescent="0.25">
      <c r="A974">
        <v>973</v>
      </c>
      <c r="B974" t="s">
        <v>1552</v>
      </c>
      <c r="C974" t="s">
        <v>1553</v>
      </c>
      <c r="D974" s="1">
        <v>45310.926944444444</v>
      </c>
      <c r="E974" s="1">
        <v>45310.951249999998</v>
      </c>
      <c r="F974">
        <v>1547</v>
      </c>
      <c r="G974">
        <v>50</v>
      </c>
      <c r="H974" t="s">
        <v>18</v>
      </c>
      <c r="I974" t="s">
        <v>22</v>
      </c>
      <c r="J974">
        <v>113</v>
      </c>
      <c r="K974">
        <v>15</v>
      </c>
      <c r="L974">
        <v>150</v>
      </c>
    </row>
    <row r="975" spans="1:12" x14ac:dyDescent="0.25">
      <c r="A975">
        <v>974</v>
      </c>
      <c r="B975" t="s">
        <v>1554</v>
      </c>
      <c r="C975" t="s">
        <v>478</v>
      </c>
      <c r="D975" s="1">
        <v>45319.834479166668</v>
      </c>
      <c r="E975" s="1">
        <v>45319.873368055552</v>
      </c>
      <c r="F975">
        <v>707</v>
      </c>
      <c r="G975">
        <v>50</v>
      </c>
      <c r="H975" t="s">
        <v>18</v>
      </c>
      <c r="I975" t="s">
        <v>25</v>
      </c>
      <c r="J975">
        <v>124</v>
      </c>
      <c r="K975">
        <v>30</v>
      </c>
      <c r="L975">
        <v>0</v>
      </c>
    </row>
    <row r="976" spans="1:12" x14ac:dyDescent="0.25">
      <c r="A976">
        <v>975</v>
      </c>
      <c r="B976" t="s">
        <v>1555</v>
      </c>
      <c r="C976" t="s">
        <v>309</v>
      </c>
      <c r="D976" s="1">
        <v>45327.16097222222</v>
      </c>
      <c r="E976" s="1">
        <v>45327.189444444448</v>
      </c>
      <c r="F976">
        <v>556</v>
      </c>
      <c r="G976">
        <v>50</v>
      </c>
      <c r="H976" t="s">
        <v>14</v>
      </c>
      <c r="I976" t="s">
        <v>22</v>
      </c>
      <c r="J976">
        <v>101</v>
      </c>
      <c r="K976">
        <v>35</v>
      </c>
      <c r="L976">
        <v>0</v>
      </c>
    </row>
    <row r="977" spans="1:12" x14ac:dyDescent="0.25">
      <c r="A977">
        <v>976</v>
      </c>
      <c r="B977" t="s">
        <v>1556</v>
      </c>
      <c r="C977" t="s">
        <v>1557</v>
      </c>
      <c r="D977" s="1">
        <v>45321.75885416667</v>
      </c>
      <c r="E977" s="1">
        <v>45321.822048611109</v>
      </c>
      <c r="F977">
        <v>1864</v>
      </c>
      <c r="G977">
        <v>30</v>
      </c>
      <c r="H977" t="s">
        <v>14</v>
      </c>
      <c r="I977" t="s">
        <v>22</v>
      </c>
      <c r="J977">
        <v>137</v>
      </c>
      <c r="K977">
        <v>28</v>
      </c>
      <c r="L977">
        <v>0</v>
      </c>
    </row>
    <row r="978" spans="1:12" x14ac:dyDescent="0.25">
      <c r="A978">
        <v>977</v>
      </c>
      <c r="B978" t="s">
        <v>1558</v>
      </c>
      <c r="C978" t="s">
        <v>204</v>
      </c>
      <c r="D978" s="1">
        <v>45317.806192129632</v>
      </c>
      <c r="E978" s="1">
        <v>45317.862442129626</v>
      </c>
      <c r="F978">
        <v>1325</v>
      </c>
      <c r="G978">
        <v>50</v>
      </c>
      <c r="H978" t="s">
        <v>18</v>
      </c>
      <c r="I978" t="s">
        <v>15</v>
      </c>
      <c r="J978">
        <v>106</v>
      </c>
      <c r="K978">
        <v>37</v>
      </c>
      <c r="L978">
        <v>0</v>
      </c>
    </row>
    <row r="979" spans="1:12" x14ac:dyDescent="0.25">
      <c r="A979">
        <v>978</v>
      </c>
      <c r="B979" t="s">
        <v>1559</v>
      </c>
      <c r="C979" t="s">
        <v>241</v>
      </c>
      <c r="D979" s="1">
        <v>45312.58494212963</v>
      </c>
      <c r="E979" s="1">
        <v>45312.638414351852</v>
      </c>
      <c r="F979">
        <v>1335</v>
      </c>
      <c r="G979">
        <v>20</v>
      </c>
      <c r="H979" t="s">
        <v>14</v>
      </c>
      <c r="I979" t="s">
        <v>15</v>
      </c>
      <c r="J979">
        <v>132</v>
      </c>
      <c r="K979">
        <v>17</v>
      </c>
      <c r="L979">
        <v>50</v>
      </c>
    </row>
    <row r="980" spans="1:12" x14ac:dyDescent="0.25">
      <c r="A980">
        <v>979</v>
      </c>
      <c r="B980" t="s">
        <v>1560</v>
      </c>
      <c r="C980" t="s">
        <v>1561</v>
      </c>
      <c r="D980" s="1">
        <v>45324.291585648149</v>
      </c>
      <c r="E980" s="1">
        <v>45324.358252314814</v>
      </c>
      <c r="F980">
        <v>1129</v>
      </c>
      <c r="G980">
        <v>20</v>
      </c>
      <c r="H980" t="s">
        <v>18</v>
      </c>
      <c r="I980" t="s">
        <v>22</v>
      </c>
      <c r="J980">
        <v>115</v>
      </c>
      <c r="K980">
        <v>23</v>
      </c>
      <c r="L980">
        <v>100</v>
      </c>
    </row>
    <row r="981" spans="1:12" x14ac:dyDescent="0.25">
      <c r="A981">
        <v>980</v>
      </c>
      <c r="B981" t="s">
        <v>1562</v>
      </c>
      <c r="C981" t="s">
        <v>1331</v>
      </c>
      <c r="D981" s="1">
        <v>45299.695798611108</v>
      </c>
      <c r="E981" s="1">
        <v>45299.747881944444</v>
      </c>
      <c r="F981">
        <v>723</v>
      </c>
      <c r="G981">
        <v>0</v>
      </c>
      <c r="H981" t="s">
        <v>14</v>
      </c>
      <c r="I981" t="s">
        <v>28</v>
      </c>
      <c r="J981">
        <v>199</v>
      </c>
      <c r="K981">
        <v>33</v>
      </c>
      <c r="L981">
        <v>0</v>
      </c>
    </row>
    <row r="982" spans="1:12" x14ac:dyDescent="0.25">
      <c r="A982">
        <v>981</v>
      </c>
      <c r="B982" t="s">
        <v>1563</v>
      </c>
      <c r="C982" t="s">
        <v>1564</v>
      </c>
      <c r="D982" s="1">
        <v>45308.365995370368</v>
      </c>
      <c r="E982" s="1">
        <v>45308.437523148146</v>
      </c>
      <c r="F982">
        <v>475</v>
      </c>
      <c r="G982">
        <v>30</v>
      </c>
      <c r="H982" t="s">
        <v>18</v>
      </c>
      <c r="I982" t="s">
        <v>15</v>
      </c>
      <c r="J982">
        <v>69</v>
      </c>
      <c r="K982">
        <v>46</v>
      </c>
      <c r="L982">
        <v>0</v>
      </c>
    </row>
    <row r="983" spans="1:12" x14ac:dyDescent="0.25">
      <c r="A983">
        <v>982</v>
      </c>
      <c r="B983" t="s">
        <v>1565</v>
      </c>
      <c r="C983" t="s">
        <v>734</v>
      </c>
      <c r="D983" s="1">
        <v>45303.021365740744</v>
      </c>
      <c r="E983" s="1">
        <v>45303.051921296297</v>
      </c>
      <c r="F983">
        <v>546</v>
      </c>
      <c r="G983">
        <v>0</v>
      </c>
      <c r="H983" t="s">
        <v>21</v>
      </c>
      <c r="I983" t="s">
        <v>22</v>
      </c>
      <c r="J983">
        <v>82</v>
      </c>
      <c r="K983">
        <v>35</v>
      </c>
      <c r="L983">
        <v>0</v>
      </c>
    </row>
    <row r="984" spans="1:12" x14ac:dyDescent="0.25">
      <c r="A984">
        <v>983</v>
      </c>
      <c r="B984" t="s">
        <v>1566</v>
      </c>
      <c r="C984" t="s">
        <v>1567</v>
      </c>
      <c r="D984" s="1">
        <v>45292.227719907409</v>
      </c>
      <c r="E984" s="1">
        <v>45292.297164351854</v>
      </c>
      <c r="F984">
        <v>934</v>
      </c>
      <c r="G984">
        <v>20</v>
      </c>
      <c r="H984" t="s">
        <v>18</v>
      </c>
      <c r="I984" t="s">
        <v>25</v>
      </c>
      <c r="J984">
        <v>121</v>
      </c>
      <c r="K984">
        <v>40</v>
      </c>
      <c r="L984">
        <v>0</v>
      </c>
    </row>
    <row r="985" spans="1:12" x14ac:dyDescent="0.25">
      <c r="A985">
        <v>984</v>
      </c>
      <c r="B985" t="s">
        <v>1568</v>
      </c>
      <c r="C985" t="s">
        <v>192</v>
      </c>
      <c r="D985" s="1">
        <v>45292.856446759259</v>
      </c>
      <c r="E985" s="1">
        <v>45292.901585648149</v>
      </c>
      <c r="F985">
        <v>1229</v>
      </c>
      <c r="G985">
        <v>20</v>
      </c>
      <c r="H985" t="s">
        <v>18</v>
      </c>
      <c r="I985" t="s">
        <v>28</v>
      </c>
      <c r="J985">
        <v>74</v>
      </c>
      <c r="K985">
        <v>41</v>
      </c>
      <c r="L985">
        <v>0</v>
      </c>
    </row>
    <row r="986" spans="1:12" x14ac:dyDescent="0.25">
      <c r="A986">
        <v>985</v>
      </c>
      <c r="B986" t="s">
        <v>1569</v>
      </c>
      <c r="C986" t="s">
        <v>1313</v>
      </c>
      <c r="D986" s="1">
        <v>45317.986562500002</v>
      </c>
      <c r="E986" s="1">
        <v>45318.016423611109</v>
      </c>
      <c r="F986">
        <v>1774</v>
      </c>
      <c r="G986">
        <v>40</v>
      </c>
      <c r="H986" t="s">
        <v>14</v>
      </c>
      <c r="I986" s="2">
        <v>0.1</v>
      </c>
      <c r="J986">
        <v>95</v>
      </c>
      <c r="K986">
        <v>50</v>
      </c>
      <c r="L986">
        <v>0</v>
      </c>
    </row>
    <row r="987" spans="1:12" x14ac:dyDescent="0.25">
      <c r="A987">
        <v>986</v>
      </c>
      <c r="B987" t="s">
        <v>1570</v>
      </c>
      <c r="C987" t="s">
        <v>507</v>
      </c>
      <c r="D987" s="1">
        <v>45303.198622685188</v>
      </c>
      <c r="E987" s="1">
        <v>45303.272928240738</v>
      </c>
      <c r="F987">
        <v>910</v>
      </c>
      <c r="G987">
        <v>50</v>
      </c>
      <c r="H987" t="s">
        <v>14</v>
      </c>
      <c r="I987" t="s">
        <v>22</v>
      </c>
      <c r="J987">
        <v>122</v>
      </c>
      <c r="K987">
        <v>11</v>
      </c>
      <c r="L987">
        <v>150</v>
      </c>
    </row>
    <row r="988" spans="1:12" x14ac:dyDescent="0.25">
      <c r="A988">
        <v>987</v>
      </c>
      <c r="B988" t="s">
        <v>1571</v>
      </c>
      <c r="C988" t="s">
        <v>1572</v>
      </c>
      <c r="D988" s="1">
        <v>45315.1327662037</v>
      </c>
      <c r="E988" s="1">
        <v>45315.154988425929</v>
      </c>
      <c r="F988">
        <v>1524</v>
      </c>
      <c r="G988">
        <v>20</v>
      </c>
      <c r="H988" t="s">
        <v>14</v>
      </c>
      <c r="I988" t="s">
        <v>22</v>
      </c>
      <c r="J988">
        <v>147</v>
      </c>
      <c r="K988">
        <v>34</v>
      </c>
      <c r="L988">
        <v>0</v>
      </c>
    </row>
    <row r="989" spans="1:12" x14ac:dyDescent="0.25">
      <c r="A989">
        <v>988</v>
      </c>
      <c r="B989" t="s">
        <v>1573</v>
      </c>
      <c r="C989" t="s">
        <v>1241</v>
      </c>
      <c r="D989" s="1">
        <v>45297.634247685186</v>
      </c>
      <c r="E989" s="1">
        <v>45297.700914351852</v>
      </c>
      <c r="F989">
        <v>1219</v>
      </c>
      <c r="G989">
        <v>0</v>
      </c>
      <c r="H989" t="s">
        <v>14</v>
      </c>
      <c r="I989" t="s">
        <v>28</v>
      </c>
      <c r="J989">
        <v>106</v>
      </c>
      <c r="K989">
        <v>11</v>
      </c>
      <c r="L989">
        <v>0</v>
      </c>
    </row>
    <row r="990" spans="1:12" x14ac:dyDescent="0.25">
      <c r="A990">
        <v>989</v>
      </c>
      <c r="B990" t="s">
        <v>1574</v>
      </c>
      <c r="C990" t="s">
        <v>150</v>
      </c>
      <c r="D990" s="1">
        <v>45322.283576388887</v>
      </c>
      <c r="E990" s="1">
        <v>45322.363437499997</v>
      </c>
      <c r="F990">
        <v>1511</v>
      </c>
      <c r="G990">
        <v>0</v>
      </c>
      <c r="H990" t="s">
        <v>14</v>
      </c>
      <c r="I990" t="s">
        <v>15</v>
      </c>
      <c r="J990">
        <v>136</v>
      </c>
      <c r="K990">
        <v>10</v>
      </c>
      <c r="L990">
        <v>0</v>
      </c>
    </row>
    <row r="991" spans="1:12" x14ac:dyDescent="0.25">
      <c r="A991">
        <v>990</v>
      </c>
      <c r="B991" t="s">
        <v>840</v>
      </c>
      <c r="C991" t="s">
        <v>403</v>
      </c>
      <c r="D991" s="1">
        <v>45300.74627314815</v>
      </c>
      <c r="E991" s="1">
        <v>45300.779606481483</v>
      </c>
      <c r="F991">
        <v>1058</v>
      </c>
      <c r="G991">
        <v>50</v>
      </c>
      <c r="H991" t="s">
        <v>14</v>
      </c>
      <c r="I991" t="s">
        <v>15</v>
      </c>
      <c r="J991">
        <v>182</v>
      </c>
      <c r="K991">
        <v>45</v>
      </c>
      <c r="L991">
        <v>0</v>
      </c>
    </row>
    <row r="992" spans="1:12" x14ac:dyDescent="0.25">
      <c r="A992">
        <v>991</v>
      </c>
      <c r="B992" t="s">
        <v>1575</v>
      </c>
      <c r="C992" t="s">
        <v>1422</v>
      </c>
      <c r="D992" s="1">
        <v>45317.903437499997</v>
      </c>
      <c r="E992" s="1">
        <v>45317.976354166669</v>
      </c>
      <c r="F992">
        <v>1575</v>
      </c>
      <c r="G992">
        <v>50</v>
      </c>
      <c r="H992" t="s">
        <v>21</v>
      </c>
      <c r="I992" t="s">
        <v>15</v>
      </c>
      <c r="J992">
        <v>104</v>
      </c>
      <c r="K992">
        <v>21</v>
      </c>
      <c r="L992">
        <v>0</v>
      </c>
    </row>
    <row r="993" spans="1:12" x14ac:dyDescent="0.25">
      <c r="A993">
        <v>992</v>
      </c>
      <c r="B993" t="s">
        <v>1576</v>
      </c>
      <c r="C993" t="s">
        <v>1577</v>
      </c>
      <c r="D993" s="1">
        <v>45295.125462962962</v>
      </c>
      <c r="E993" s="1">
        <v>45295.18310185185</v>
      </c>
      <c r="F993">
        <v>948</v>
      </c>
      <c r="G993">
        <v>40</v>
      </c>
      <c r="H993" t="s">
        <v>18</v>
      </c>
      <c r="I993" s="2">
        <v>0.1</v>
      </c>
      <c r="J993">
        <v>110</v>
      </c>
      <c r="K993">
        <v>18</v>
      </c>
      <c r="L993">
        <v>0</v>
      </c>
    </row>
    <row r="994" spans="1:12" x14ac:dyDescent="0.25">
      <c r="A994">
        <v>993</v>
      </c>
      <c r="B994" t="s">
        <v>1578</v>
      </c>
      <c r="C994" t="s">
        <v>1579</v>
      </c>
      <c r="D994" s="1">
        <v>45309.069027777776</v>
      </c>
      <c r="E994" s="1">
        <v>45309.137083333335</v>
      </c>
      <c r="F994">
        <v>908</v>
      </c>
      <c r="G994">
        <v>30</v>
      </c>
      <c r="H994" t="s">
        <v>18</v>
      </c>
      <c r="I994" t="s">
        <v>28</v>
      </c>
      <c r="J994">
        <v>138</v>
      </c>
      <c r="K994">
        <v>45</v>
      </c>
      <c r="L994">
        <v>0</v>
      </c>
    </row>
    <row r="995" spans="1:12" x14ac:dyDescent="0.25">
      <c r="A995">
        <v>994</v>
      </c>
      <c r="B995" t="s">
        <v>1580</v>
      </c>
      <c r="C995" t="s">
        <v>1215</v>
      </c>
      <c r="D995" s="1">
        <v>45319.882280092592</v>
      </c>
      <c r="E995" s="1">
        <v>45319.909363425926</v>
      </c>
      <c r="F995">
        <v>1078</v>
      </c>
      <c r="G995">
        <v>0</v>
      </c>
      <c r="H995" t="s">
        <v>18</v>
      </c>
      <c r="I995" t="s">
        <v>28</v>
      </c>
      <c r="J995">
        <v>57</v>
      </c>
      <c r="K995">
        <v>50</v>
      </c>
      <c r="L995">
        <v>0</v>
      </c>
    </row>
    <row r="996" spans="1:12" x14ac:dyDescent="0.25">
      <c r="A996">
        <v>995</v>
      </c>
      <c r="B996" t="s">
        <v>1581</v>
      </c>
      <c r="C996" t="s">
        <v>1155</v>
      </c>
      <c r="D996" s="1">
        <v>45298.551944444444</v>
      </c>
      <c r="E996" s="1">
        <v>45298.595000000001</v>
      </c>
      <c r="F996">
        <v>515</v>
      </c>
      <c r="G996">
        <v>50</v>
      </c>
      <c r="H996" t="s">
        <v>21</v>
      </c>
      <c r="I996" t="s">
        <v>15</v>
      </c>
      <c r="J996">
        <v>65</v>
      </c>
      <c r="K996">
        <v>37</v>
      </c>
      <c r="L996">
        <v>0</v>
      </c>
    </row>
    <row r="997" spans="1:12" x14ac:dyDescent="0.25">
      <c r="A997">
        <v>996</v>
      </c>
      <c r="B997" t="s">
        <v>320</v>
      </c>
      <c r="C997" t="s">
        <v>357</v>
      </c>
      <c r="D997" s="1">
        <v>45305.247916666667</v>
      </c>
      <c r="E997" s="1">
        <v>45305.277083333334</v>
      </c>
      <c r="F997">
        <v>825</v>
      </c>
      <c r="G997">
        <v>0</v>
      </c>
      <c r="H997" t="s">
        <v>18</v>
      </c>
      <c r="I997" t="s">
        <v>15</v>
      </c>
      <c r="J997">
        <v>165</v>
      </c>
      <c r="K997">
        <v>47</v>
      </c>
      <c r="L997">
        <v>50</v>
      </c>
    </row>
    <row r="998" spans="1:12" x14ac:dyDescent="0.25">
      <c r="A998">
        <v>997</v>
      </c>
      <c r="B998" t="s">
        <v>1582</v>
      </c>
      <c r="C998" t="s">
        <v>1583</v>
      </c>
      <c r="D998" s="1">
        <v>45319.36855324074</v>
      </c>
      <c r="E998" s="1">
        <v>45319.424108796295</v>
      </c>
      <c r="F998">
        <v>1627</v>
      </c>
      <c r="G998">
        <v>50</v>
      </c>
      <c r="H998" t="s">
        <v>21</v>
      </c>
      <c r="I998" t="s">
        <v>25</v>
      </c>
      <c r="J998">
        <v>110</v>
      </c>
      <c r="K998">
        <v>42</v>
      </c>
      <c r="L998">
        <v>0</v>
      </c>
    </row>
    <row r="999" spans="1:12" x14ac:dyDescent="0.25">
      <c r="A999">
        <v>998</v>
      </c>
      <c r="B999" t="s">
        <v>1584</v>
      </c>
      <c r="C999" t="s">
        <v>281</v>
      </c>
      <c r="D999" s="1">
        <v>45312.405081018522</v>
      </c>
      <c r="E999" s="1">
        <v>45312.447442129633</v>
      </c>
      <c r="F999">
        <v>553</v>
      </c>
      <c r="G999">
        <v>20</v>
      </c>
      <c r="H999" t="s">
        <v>21</v>
      </c>
      <c r="I999" t="s">
        <v>25</v>
      </c>
      <c r="J999">
        <v>64</v>
      </c>
      <c r="K999">
        <v>31</v>
      </c>
      <c r="L999">
        <v>0</v>
      </c>
    </row>
    <row r="1000" spans="1:12" x14ac:dyDescent="0.25">
      <c r="A1000">
        <v>999</v>
      </c>
      <c r="B1000" t="s">
        <v>1585</v>
      </c>
      <c r="C1000" t="s">
        <v>843</v>
      </c>
      <c r="D1000" s="1">
        <v>45321.933078703703</v>
      </c>
      <c r="E1000" s="1">
        <v>45322.005300925928</v>
      </c>
      <c r="F1000">
        <v>1414</v>
      </c>
      <c r="G1000">
        <v>0</v>
      </c>
      <c r="H1000" t="s">
        <v>21</v>
      </c>
      <c r="I1000" t="s">
        <v>22</v>
      </c>
      <c r="J1000">
        <v>199</v>
      </c>
      <c r="K1000">
        <v>34</v>
      </c>
      <c r="L1000">
        <v>0</v>
      </c>
    </row>
    <row r="1001" spans="1:12" x14ac:dyDescent="0.25">
      <c r="A1001">
        <v>1000</v>
      </c>
      <c r="B1001" t="s">
        <v>1586</v>
      </c>
      <c r="C1001" t="s">
        <v>684</v>
      </c>
      <c r="D1001" s="1">
        <v>45299.61577546296</v>
      </c>
      <c r="E1001" s="1">
        <v>45299.652581018519</v>
      </c>
      <c r="F1001">
        <v>1657</v>
      </c>
      <c r="G1001">
        <v>20</v>
      </c>
      <c r="H1001" t="s">
        <v>18</v>
      </c>
      <c r="I1001" t="s">
        <v>22</v>
      </c>
      <c r="J1001">
        <v>180</v>
      </c>
      <c r="K1001">
        <v>27</v>
      </c>
      <c r="L1001">
        <v>100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01"/>
  <sheetViews>
    <sheetView showGridLines="0" workbookViewId="0"/>
  </sheetViews>
  <sheetFormatPr defaultRowHeight="15" x14ac:dyDescent="0.25"/>
  <cols>
    <col min="1" max="1" width="11.140625" customWidth="1"/>
    <col min="2" max="2" width="14.5703125" customWidth="1"/>
    <col min="3" max="3" width="15.5703125" customWidth="1"/>
    <col min="4" max="5" width="16.28515625" bestFit="1" customWidth="1"/>
    <col min="6" max="6" width="15.7109375" customWidth="1"/>
    <col min="7" max="7" width="14.140625" customWidth="1"/>
    <col min="8" max="8" width="14.5703125" customWidth="1"/>
    <col min="9" max="9" width="19" customWidth="1"/>
    <col min="10" max="10" width="22.28515625" customWidth="1"/>
    <col min="11" max="11" width="18" customWidth="1"/>
    <col min="12" max="12" width="25.42578125" customWidth="1"/>
    <col min="13" max="13" width="22" customWidth="1"/>
    <col min="14" max="14" width="18.7109375" customWidth="1"/>
    <col min="15" max="15" width="16.85546875" customWidth="1"/>
    <col min="16" max="16" width="16.28515625" customWidth="1"/>
    <col min="17" max="17" width="24.42578125" customWidth="1"/>
    <col min="18" max="18" width="25.28515625" customWidth="1"/>
  </cols>
  <sheetData>
    <row r="1" spans="1:18" x14ac:dyDescent="0.25">
      <c r="A1" t="s">
        <v>1587</v>
      </c>
      <c r="B1" t="s">
        <v>1588</v>
      </c>
      <c r="C1" t="s">
        <v>1589</v>
      </c>
      <c r="D1" t="s">
        <v>1593</v>
      </c>
      <c r="E1" t="s">
        <v>1594</v>
      </c>
      <c r="F1" t="s">
        <v>1595</v>
      </c>
      <c r="G1" t="s">
        <v>1596</v>
      </c>
      <c r="H1" t="s">
        <v>1597</v>
      </c>
      <c r="I1" t="s">
        <v>1598</v>
      </c>
      <c r="J1" t="s">
        <v>1599</v>
      </c>
      <c r="K1" t="s">
        <v>1600</v>
      </c>
      <c r="L1" t="s">
        <v>1601</v>
      </c>
      <c r="M1" t="s">
        <v>1602</v>
      </c>
      <c r="N1" t="s">
        <v>1590</v>
      </c>
      <c r="O1" t="s">
        <v>1591</v>
      </c>
      <c r="P1" t="s">
        <v>1592</v>
      </c>
      <c r="Q1" t="s">
        <v>1611</v>
      </c>
      <c r="R1" t="s">
        <v>1612</v>
      </c>
    </row>
    <row r="2" spans="1:18" x14ac:dyDescent="0.25">
      <c r="A2">
        <f>Raw_data!A2</f>
        <v>1</v>
      </c>
      <c r="B2" t="str">
        <f>Raw_data!B2</f>
        <v>C8270</v>
      </c>
      <c r="C2" t="str">
        <f>Raw_data!C2</f>
        <v>R2924</v>
      </c>
      <c r="D2" s="3">
        <f>Raw_data!D2</f>
        <v>45323.049907407411</v>
      </c>
      <c r="E2" s="3">
        <f>Raw_data!E2</f>
        <v>45323.111018518517</v>
      </c>
      <c r="F2" s="4">
        <f>E2-D2</f>
        <v>6.1111111106583849E-2</v>
      </c>
      <c r="G2" s="6">
        <f>Raw_data!F2</f>
        <v>1914</v>
      </c>
      <c r="H2" s="6">
        <f>Raw_data!G2</f>
        <v>0</v>
      </c>
      <c r="I2" t="str">
        <f>Raw_data!H2</f>
        <v>Credit Card</v>
      </c>
      <c r="J2" s="7" t="str">
        <f>IF(Raw_data!I2=0.1,"10%",Raw_data!I2)</f>
        <v>5% on App</v>
      </c>
      <c r="K2" s="6">
        <f>Raw_data!J2</f>
        <v>150</v>
      </c>
      <c r="L2" s="6">
        <f>Raw_data!K2</f>
        <v>47</v>
      </c>
      <c r="M2" s="6">
        <f>Raw_data!L2</f>
        <v>0</v>
      </c>
      <c r="N2" s="6">
        <f>G2-K2-L2</f>
        <v>1717</v>
      </c>
      <c r="O2" s="6">
        <f>K2+L2-M2</f>
        <v>197</v>
      </c>
      <c r="P2" s="6">
        <f>G2+H2</f>
        <v>1914</v>
      </c>
      <c r="Q2">
        <f>COUNTIF(B$2:B$1001,B2)</f>
        <v>1</v>
      </c>
      <c r="R2">
        <f>COUNTIF(C$2:C$1001,C2)</f>
        <v>1</v>
      </c>
    </row>
    <row r="3" spans="1:18" x14ac:dyDescent="0.25">
      <c r="A3">
        <f>Raw_data!A3</f>
        <v>2</v>
      </c>
      <c r="B3" t="str">
        <f>Raw_data!B3</f>
        <v>C1860</v>
      </c>
      <c r="C3" t="str">
        <f>Raw_data!C3</f>
        <v>R2054</v>
      </c>
      <c r="D3" s="3">
        <f>Raw_data!D3</f>
        <v>45324.924351851849</v>
      </c>
      <c r="E3" s="3">
        <f>Raw_data!E3</f>
        <v>45324.948657407411</v>
      </c>
      <c r="F3" s="4">
        <f t="shared" ref="F3:F66" si="0">E3-D3</f>
        <v>2.4305555562023073E-2</v>
      </c>
      <c r="G3" s="6">
        <f>Raw_data!F3</f>
        <v>986</v>
      </c>
      <c r="H3" s="6">
        <f>Raw_data!G3</f>
        <v>40</v>
      </c>
      <c r="I3" t="str">
        <f>Raw_data!H3</f>
        <v>Digital Wallet</v>
      </c>
      <c r="J3" s="7" t="str">
        <f>IF(Raw_data!I3=0.1,"10%",Raw_data!I3)</f>
        <v>10%</v>
      </c>
      <c r="K3" s="6">
        <f>Raw_data!J3</f>
        <v>198</v>
      </c>
      <c r="L3" s="6">
        <f>Raw_data!K3</f>
        <v>23</v>
      </c>
      <c r="M3" s="6">
        <f>Raw_data!L3</f>
        <v>0</v>
      </c>
      <c r="N3" s="6">
        <f t="shared" ref="N3:N66" si="1">G3-K3-L3</f>
        <v>765</v>
      </c>
      <c r="O3" s="6">
        <f t="shared" ref="O3:O66" si="2">K3+L3-M3</f>
        <v>221</v>
      </c>
      <c r="P3" s="6">
        <f t="shared" ref="P3:P66" si="3">G3+H3</f>
        <v>1026</v>
      </c>
      <c r="Q3">
        <f t="shared" ref="Q3:Q66" si="4">COUNTIF(B$2:B$1001,B3)</f>
        <v>1</v>
      </c>
      <c r="R3">
        <f t="shared" ref="R3:R66" si="5">COUNTIF(C$2:C$1001,C3)</f>
        <v>3</v>
      </c>
    </row>
    <row r="4" spans="1:18" x14ac:dyDescent="0.25">
      <c r="A4">
        <f>Raw_data!A4</f>
        <v>3</v>
      </c>
      <c r="B4" t="str">
        <f>Raw_data!B4</f>
        <v>C6390</v>
      </c>
      <c r="C4" t="str">
        <f>Raw_data!C4</f>
        <v>R2870</v>
      </c>
      <c r="D4" s="3">
        <f>Raw_data!D4</f>
        <v>45322.246238425927</v>
      </c>
      <c r="E4" s="3">
        <f>Raw_data!E4</f>
        <v>45322.286516203705</v>
      </c>
      <c r="F4" s="4">
        <f t="shared" si="0"/>
        <v>4.0277777778101154E-2</v>
      </c>
      <c r="G4" s="6">
        <f>Raw_data!F4</f>
        <v>937</v>
      </c>
      <c r="H4" s="6">
        <f>Raw_data!G4</f>
        <v>30</v>
      </c>
      <c r="I4" t="str">
        <f>Raw_data!H4</f>
        <v>Cash on Delivery</v>
      </c>
      <c r="J4" s="7" t="str">
        <f>IF(Raw_data!I4=0.1,"10%",Raw_data!I4)</f>
        <v>15% New User</v>
      </c>
      <c r="K4" s="6">
        <f>Raw_data!J4</f>
        <v>195</v>
      </c>
      <c r="L4" s="6">
        <f>Raw_data!K4</f>
        <v>45</v>
      </c>
      <c r="M4" s="6">
        <f>Raw_data!L4</f>
        <v>0</v>
      </c>
      <c r="N4" s="6">
        <f t="shared" si="1"/>
        <v>697</v>
      </c>
      <c r="O4" s="6">
        <f t="shared" si="2"/>
        <v>240</v>
      </c>
      <c r="P4" s="6">
        <f t="shared" si="3"/>
        <v>967</v>
      </c>
      <c r="Q4">
        <f t="shared" si="4"/>
        <v>1</v>
      </c>
      <c r="R4">
        <f t="shared" si="5"/>
        <v>2</v>
      </c>
    </row>
    <row r="5" spans="1:18" x14ac:dyDescent="0.25">
      <c r="A5">
        <f>Raw_data!A5</f>
        <v>4</v>
      </c>
      <c r="B5" t="str">
        <f>Raw_data!B5</f>
        <v>C6191</v>
      </c>
      <c r="C5" t="str">
        <f>Raw_data!C5</f>
        <v>R2642</v>
      </c>
      <c r="D5" s="3">
        <f>Raw_data!D5</f>
        <v>45307.953344907408</v>
      </c>
      <c r="E5" s="3">
        <f>Raw_data!E5</f>
        <v>45307.985289351855</v>
      </c>
      <c r="F5" s="4">
        <f t="shared" si="0"/>
        <v>3.1944444446708076E-2</v>
      </c>
      <c r="G5" s="6">
        <f>Raw_data!F5</f>
        <v>1463</v>
      </c>
      <c r="H5" s="6">
        <f>Raw_data!G5</f>
        <v>50</v>
      </c>
      <c r="I5" t="str">
        <f>Raw_data!H5</f>
        <v>Cash on Delivery</v>
      </c>
      <c r="J5" s="7" t="str">
        <f>IF(Raw_data!I5=0.1,"10%",Raw_data!I5)</f>
        <v>None</v>
      </c>
      <c r="K5" s="6">
        <f>Raw_data!J5</f>
        <v>146</v>
      </c>
      <c r="L5" s="6">
        <f>Raw_data!K5</f>
        <v>27</v>
      </c>
      <c r="M5" s="6">
        <f>Raw_data!L5</f>
        <v>0</v>
      </c>
      <c r="N5" s="6">
        <f t="shared" si="1"/>
        <v>1290</v>
      </c>
      <c r="O5" s="6">
        <f t="shared" si="2"/>
        <v>173</v>
      </c>
      <c r="P5" s="6">
        <f t="shared" si="3"/>
        <v>1513</v>
      </c>
      <c r="Q5">
        <f t="shared" si="4"/>
        <v>1</v>
      </c>
      <c r="R5">
        <f t="shared" si="5"/>
        <v>3</v>
      </c>
    </row>
    <row r="6" spans="1:18" x14ac:dyDescent="0.25">
      <c r="A6">
        <f>Raw_data!A6</f>
        <v>5</v>
      </c>
      <c r="B6" t="str">
        <f>Raw_data!B6</f>
        <v>C6734</v>
      </c>
      <c r="C6" t="str">
        <f>Raw_data!C6</f>
        <v>R2799</v>
      </c>
      <c r="D6" s="3">
        <f>Raw_data!D6</f>
        <v>45320.055208333331</v>
      </c>
      <c r="E6" s="3">
        <f>Raw_data!E6</f>
        <v>45320.117013888892</v>
      </c>
      <c r="F6" s="4">
        <f t="shared" si="0"/>
        <v>6.1805555560567882E-2</v>
      </c>
      <c r="G6" s="6">
        <f>Raw_data!F6</f>
        <v>1992</v>
      </c>
      <c r="H6" s="6">
        <f>Raw_data!G6</f>
        <v>30</v>
      </c>
      <c r="I6" t="str">
        <f>Raw_data!H6</f>
        <v>Cash on Delivery</v>
      </c>
      <c r="J6" s="7" t="str">
        <f>IF(Raw_data!I6=0.1,"10%",Raw_data!I6)</f>
        <v>50 off Promo</v>
      </c>
      <c r="K6" s="6">
        <f>Raw_data!J6</f>
        <v>130</v>
      </c>
      <c r="L6" s="6">
        <f>Raw_data!K6</f>
        <v>50</v>
      </c>
      <c r="M6" s="6">
        <f>Raw_data!L6</f>
        <v>0</v>
      </c>
      <c r="N6" s="6">
        <f t="shared" si="1"/>
        <v>1812</v>
      </c>
      <c r="O6" s="6">
        <f t="shared" si="2"/>
        <v>180</v>
      </c>
      <c r="P6" s="6">
        <f t="shared" si="3"/>
        <v>2022</v>
      </c>
      <c r="Q6">
        <f t="shared" si="4"/>
        <v>1</v>
      </c>
      <c r="R6">
        <f t="shared" si="5"/>
        <v>3</v>
      </c>
    </row>
    <row r="7" spans="1:18" x14ac:dyDescent="0.25">
      <c r="A7">
        <f>Raw_data!A7</f>
        <v>6</v>
      </c>
      <c r="B7" t="str">
        <f>Raw_data!B7</f>
        <v>C7265</v>
      </c>
      <c r="C7" t="str">
        <f>Raw_data!C7</f>
        <v>R2777</v>
      </c>
      <c r="D7" s="3">
        <f>Raw_data!D7</f>
        <v>45316.19226851852</v>
      </c>
      <c r="E7" s="3">
        <f>Raw_data!E7</f>
        <v>45316.227685185186</v>
      </c>
      <c r="F7" s="4">
        <f t="shared" si="0"/>
        <v>3.5416666665696539E-2</v>
      </c>
      <c r="G7" s="6">
        <f>Raw_data!F7</f>
        <v>439</v>
      </c>
      <c r="H7" s="6">
        <f>Raw_data!G7</f>
        <v>20</v>
      </c>
      <c r="I7" t="str">
        <f>Raw_data!H7</f>
        <v>Cash on Delivery</v>
      </c>
      <c r="J7" s="7" t="str">
        <f>IF(Raw_data!I7=0.1,"10%",Raw_data!I7)</f>
        <v>10%</v>
      </c>
      <c r="K7" s="6">
        <f>Raw_data!J7</f>
        <v>92</v>
      </c>
      <c r="L7" s="6">
        <f>Raw_data!K7</f>
        <v>27</v>
      </c>
      <c r="M7" s="6">
        <f>Raw_data!L7</f>
        <v>150</v>
      </c>
      <c r="N7" s="6">
        <f t="shared" si="1"/>
        <v>320</v>
      </c>
      <c r="O7" s="6">
        <f t="shared" si="2"/>
        <v>-31</v>
      </c>
      <c r="P7" s="6">
        <f t="shared" si="3"/>
        <v>459</v>
      </c>
      <c r="Q7">
        <f t="shared" si="4"/>
        <v>1</v>
      </c>
      <c r="R7">
        <f t="shared" si="5"/>
        <v>2</v>
      </c>
    </row>
    <row r="8" spans="1:18" x14ac:dyDescent="0.25">
      <c r="A8">
        <f>Raw_data!A8</f>
        <v>7</v>
      </c>
      <c r="B8" t="str">
        <f>Raw_data!B8</f>
        <v>C1466</v>
      </c>
      <c r="C8" t="str">
        <f>Raw_data!C8</f>
        <v>R2457</v>
      </c>
      <c r="D8" s="3">
        <f>Raw_data!D8</f>
        <v>45303.997083333335</v>
      </c>
      <c r="E8" s="3">
        <f>Raw_data!E8</f>
        <v>45304.033888888887</v>
      </c>
      <c r="F8" s="4">
        <f t="shared" si="0"/>
        <v>3.6805555551836733E-2</v>
      </c>
      <c r="G8" s="6">
        <f>Raw_data!F8</f>
        <v>303</v>
      </c>
      <c r="H8" s="6">
        <f>Raw_data!G8</f>
        <v>30</v>
      </c>
      <c r="I8" t="str">
        <f>Raw_data!H8</f>
        <v>Digital Wallet</v>
      </c>
      <c r="J8" s="7" t="str">
        <f>IF(Raw_data!I8=0.1,"10%",Raw_data!I8)</f>
        <v>5% on App</v>
      </c>
      <c r="K8" s="6">
        <f>Raw_data!J8</f>
        <v>144</v>
      </c>
      <c r="L8" s="6">
        <f>Raw_data!K8</f>
        <v>12</v>
      </c>
      <c r="M8" s="6">
        <f>Raw_data!L8</f>
        <v>50</v>
      </c>
      <c r="N8" s="6">
        <f t="shared" si="1"/>
        <v>147</v>
      </c>
      <c r="O8" s="6">
        <f t="shared" si="2"/>
        <v>106</v>
      </c>
      <c r="P8" s="6">
        <f t="shared" si="3"/>
        <v>333</v>
      </c>
      <c r="Q8">
        <f t="shared" si="4"/>
        <v>1</v>
      </c>
      <c r="R8">
        <f t="shared" si="5"/>
        <v>1</v>
      </c>
    </row>
    <row r="9" spans="1:18" x14ac:dyDescent="0.25">
      <c r="A9">
        <f>Raw_data!A9</f>
        <v>8</v>
      </c>
      <c r="B9" t="str">
        <f>Raw_data!B9</f>
        <v>C5426</v>
      </c>
      <c r="C9" t="str">
        <f>Raw_data!C9</f>
        <v>R2978</v>
      </c>
      <c r="D9" s="3">
        <f>Raw_data!D9</f>
        <v>45317.948888888888</v>
      </c>
      <c r="E9" s="3">
        <f>Raw_data!E9</f>
        <v>45318.025277777779</v>
      </c>
      <c r="F9" s="4">
        <f t="shared" si="0"/>
        <v>7.6388888890505768E-2</v>
      </c>
      <c r="G9" s="6">
        <f>Raw_data!F9</f>
        <v>260</v>
      </c>
      <c r="H9" s="6">
        <f>Raw_data!G9</f>
        <v>0</v>
      </c>
      <c r="I9" t="str">
        <f>Raw_data!H9</f>
        <v>Credit Card</v>
      </c>
      <c r="J9" s="7" t="str">
        <f>IF(Raw_data!I9=0.1,"10%",Raw_data!I9)</f>
        <v>10%</v>
      </c>
      <c r="K9" s="6">
        <f>Raw_data!J9</f>
        <v>55</v>
      </c>
      <c r="L9" s="6">
        <f>Raw_data!K9</f>
        <v>19</v>
      </c>
      <c r="M9" s="6">
        <f>Raw_data!L9</f>
        <v>0</v>
      </c>
      <c r="N9" s="6">
        <f t="shared" si="1"/>
        <v>186</v>
      </c>
      <c r="O9" s="6">
        <f t="shared" si="2"/>
        <v>74</v>
      </c>
      <c r="P9" s="6">
        <f t="shared" si="3"/>
        <v>260</v>
      </c>
      <c r="Q9">
        <f t="shared" si="4"/>
        <v>1</v>
      </c>
      <c r="R9">
        <f t="shared" si="5"/>
        <v>1</v>
      </c>
    </row>
    <row r="10" spans="1:18" x14ac:dyDescent="0.25">
      <c r="A10">
        <f>Raw_data!A10</f>
        <v>9</v>
      </c>
      <c r="B10" t="str">
        <f>Raw_data!B10</f>
        <v>C6578</v>
      </c>
      <c r="C10" t="str">
        <f>Raw_data!C10</f>
        <v>R2877</v>
      </c>
      <c r="D10" s="3">
        <f>Raw_data!D10</f>
        <v>45293.770821759259</v>
      </c>
      <c r="E10" s="3">
        <f>Raw_data!E10</f>
        <v>45293.849988425929</v>
      </c>
      <c r="F10" s="4">
        <f t="shared" si="0"/>
        <v>7.9166666670062114E-2</v>
      </c>
      <c r="G10" s="6">
        <f>Raw_data!F10</f>
        <v>1663</v>
      </c>
      <c r="H10" s="6">
        <f>Raw_data!G10</f>
        <v>40</v>
      </c>
      <c r="I10" t="str">
        <f>Raw_data!H10</f>
        <v>Cash on Delivery</v>
      </c>
      <c r="J10" s="7" t="str">
        <f>IF(Raw_data!I10=0.1,"10%",Raw_data!I10)</f>
        <v>5% on App</v>
      </c>
      <c r="K10" s="6">
        <f>Raw_data!J10</f>
        <v>116</v>
      </c>
      <c r="L10" s="6">
        <f>Raw_data!K10</f>
        <v>48</v>
      </c>
      <c r="M10" s="6">
        <f>Raw_data!L10</f>
        <v>0</v>
      </c>
      <c r="N10" s="6">
        <f t="shared" si="1"/>
        <v>1499</v>
      </c>
      <c r="O10" s="6">
        <f t="shared" si="2"/>
        <v>164</v>
      </c>
      <c r="P10" s="6">
        <f t="shared" si="3"/>
        <v>1703</v>
      </c>
      <c r="Q10">
        <f t="shared" si="4"/>
        <v>1</v>
      </c>
      <c r="R10">
        <f t="shared" si="5"/>
        <v>1</v>
      </c>
    </row>
    <row r="11" spans="1:18" x14ac:dyDescent="0.25">
      <c r="A11">
        <f>Raw_data!A11</f>
        <v>10</v>
      </c>
      <c r="B11" t="str">
        <f>Raw_data!B11</f>
        <v>C9322</v>
      </c>
      <c r="C11" t="str">
        <f>Raw_data!C11</f>
        <v>R2161</v>
      </c>
      <c r="D11" s="3">
        <f>Raw_data!D11</f>
        <v>45296.034942129627</v>
      </c>
      <c r="E11" s="3">
        <f>Raw_data!E11</f>
        <v>45296.090497685182</v>
      </c>
      <c r="F11" s="4">
        <f t="shared" si="0"/>
        <v>5.5555555554747116E-2</v>
      </c>
      <c r="G11" s="6">
        <f>Raw_data!F11</f>
        <v>491</v>
      </c>
      <c r="H11" s="6">
        <f>Raw_data!G11</f>
        <v>40</v>
      </c>
      <c r="I11" t="str">
        <f>Raw_data!H11</f>
        <v>Digital Wallet</v>
      </c>
      <c r="J11" s="7" t="str">
        <f>IF(Raw_data!I11=0.1,"10%",Raw_data!I11)</f>
        <v>10%</v>
      </c>
      <c r="K11" s="6">
        <f>Raw_data!J11</f>
        <v>189</v>
      </c>
      <c r="L11" s="6">
        <f>Raw_data!K11</f>
        <v>10</v>
      </c>
      <c r="M11" s="6">
        <f>Raw_data!L11</f>
        <v>0</v>
      </c>
      <c r="N11" s="6">
        <f t="shared" si="1"/>
        <v>292</v>
      </c>
      <c r="O11" s="6">
        <f t="shared" si="2"/>
        <v>199</v>
      </c>
      <c r="P11" s="6">
        <f t="shared" si="3"/>
        <v>531</v>
      </c>
      <c r="Q11">
        <f t="shared" si="4"/>
        <v>1</v>
      </c>
      <c r="R11">
        <f t="shared" si="5"/>
        <v>2</v>
      </c>
    </row>
    <row r="12" spans="1:18" x14ac:dyDescent="0.25">
      <c r="A12">
        <f>Raw_data!A12</f>
        <v>11</v>
      </c>
      <c r="B12" t="str">
        <f>Raw_data!B12</f>
        <v>C2685</v>
      </c>
      <c r="C12" t="str">
        <f>Raw_data!C12</f>
        <v>R2379</v>
      </c>
      <c r="D12" s="3">
        <f>Raw_data!D12</f>
        <v>45292.710266203707</v>
      </c>
      <c r="E12" s="3">
        <f>Raw_data!E12</f>
        <v>45292.765127314815</v>
      </c>
      <c r="F12" s="4">
        <f t="shared" si="0"/>
        <v>5.486111110803904E-2</v>
      </c>
      <c r="G12" s="6">
        <f>Raw_data!F12</f>
        <v>868</v>
      </c>
      <c r="H12" s="6">
        <f>Raw_data!G12</f>
        <v>0</v>
      </c>
      <c r="I12" t="str">
        <f>Raw_data!H12</f>
        <v>Cash on Delivery</v>
      </c>
      <c r="J12" s="7" t="str">
        <f>IF(Raw_data!I12=0.1,"10%",Raw_data!I12)</f>
        <v>5% on App</v>
      </c>
      <c r="K12" s="6">
        <f>Raw_data!J12</f>
        <v>149</v>
      </c>
      <c r="L12" s="6">
        <f>Raw_data!K12</f>
        <v>36</v>
      </c>
      <c r="M12" s="6">
        <f>Raw_data!L12</f>
        <v>0</v>
      </c>
      <c r="N12" s="6">
        <f t="shared" si="1"/>
        <v>683</v>
      </c>
      <c r="O12" s="6">
        <f t="shared" si="2"/>
        <v>185</v>
      </c>
      <c r="P12" s="6">
        <f t="shared" si="3"/>
        <v>868</v>
      </c>
      <c r="Q12">
        <f t="shared" si="4"/>
        <v>1</v>
      </c>
      <c r="R12">
        <f t="shared" si="5"/>
        <v>2</v>
      </c>
    </row>
    <row r="13" spans="1:18" x14ac:dyDescent="0.25">
      <c r="A13">
        <f>Raw_data!A13</f>
        <v>12</v>
      </c>
      <c r="B13" t="str">
        <f>Raw_data!B13</f>
        <v>C1769</v>
      </c>
      <c r="C13" t="str">
        <f>Raw_data!C13</f>
        <v>R2992</v>
      </c>
      <c r="D13" s="3">
        <f>Raw_data!D13</f>
        <v>45300.718923611108</v>
      </c>
      <c r="E13" s="3">
        <f>Raw_data!E13</f>
        <v>45300.746701388889</v>
      </c>
      <c r="F13" s="4">
        <f t="shared" si="0"/>
        <v>2.7777777781011537E-2</v>
      </c>
      <c r="G13" s="6">
        <f>Raw_data!F13</f>
        <v>1800</v>
      </c>
      <c r="H13" s="6">
        <f>Raw_data!G13</f>
        <v>20</v>
      </c>
      <c r="I13" t="str">
        <f>Raw_data!H13</f>
        <v>Credit Card</v>
      </c>
      <c r="J13" s="7" t="str">
        <f>IF(Raw_data!I13=0.1,"10%",Raw_data!I13)</f>
        <v>15% New User</v>
      </c>
      <c r="K13" s="6">
        <f>Raw_data!J13</f>
        <v>61</v>
      </c>
      <c r="L13" s="6">
        <f>Raw_data!K13</f>
        <v>36</v>
      </c>
      <c r="M13" s="6">
        <f>Raw_data!L13</f>
        <v>0</v>
      </c>
      <c r="N13" s="6">
        <f t="shared" si="1"/>
        <v>1703</v>
      </c>
      <c r="O13" s="6">
        <f t="shared" si="2"/>
        <v>97</v>
      </c>
      <c r="P13" s="6">
        <f t="shared" si="3"/>
        <v>1820</v>
      </c>
      <c r="Q13">
        <f t="shared" si="4"/>
        <v>1</v>
      </c>
      <c r="R13">
        <f t="shared" si="5"/>
        <v>1</v>
      </c>
    </row>
    <row r="14" spans="1:18" x14ac:dyDescent="0.25">
      <c r="A14">
        <f>Raw_data!A14</f>
        <v>13</v>
      </c>
      <c r="B14" t="str">
        <f>Raw_data!B14</f>
        <v>C7949</v>
      </c>
      <c r="C14" t="str">
        <f>Raw_data!C14</f>
        <v>R2086</v>
      </c>
      <c r="D14" s="3">
        <f>Raw_data!D14</f>
        <v>45296.696805555555</v>
      </c>
      <c r="E14" s="3">
        <f>Raw_data!E14</f>
        <v>45296.755833333336</v>
      </c>
      <c r="F14" s="4">
        <f t="shared" si="0"/>
        <v>5.9027777781011537E-2</v>
      </c>
      <c r="G14" s="6">
        <f>Raw_data!F14</f>
        <v>674</v>
      </c>
      <c r="H14" s="6">
        <f>Raw_data!G14</f>
        <v>0</v>
      </c>
      <c r="I14" t="str">
        <f>Raw_data!H14</f>
        <v>Cash on Delivery</v>
      </c>
      <c r="J14" s="7" t="str">
        <f>IF(Raw_data!I14=0.1,"10%",Raw_data!I14)</f>
        <v>None</v>
      </c>
      <c r="K14" s="6">
        <f>Raw_data!J14</f>
        <v>115</v>
      </c>
      <c r="L14" s="6">
        <f>Raw_data!K14</f>
        <v>20</v>
      </c>
      <c r="M14" s="6">
        <f>Raw_data!L14</f>
        <v>0</v>
      </c>
      <c r="N14" s="6">
        <f t="shared" si="1"/>
        <v>539</v>
      </c>
      <c r="O14" s="6">
        <f t="shared" si="2"/>
        <v>135</v>
      </c>
      <c r="P14" s="6">
        <f t="shared" si="3"/>
        <v>674</v>
      </c>
      <c r="Q14">
        <f t="shared" si="4"/>
        <v>3</v>
      </c>
      <c r="R14">
        <f t="shared" si="5"/>
        <v>2</v>
      </c>
    </row>
    <row r="15" spans="1:18" x14ac:dyDescent="0.25">
      <c r="A15">
        <f>Raw_data!A15</f>
        <v>14</v>
      </c>
      <c r="B15" t="str">
        <f>Raw_data!B15</f>
        <v>C3433</v>
      </c>
      <c r="C15" t="str">
        <f>Raw_data!C15</f>
        <v>R2054</v>
      </c>
      <c r="D15" s="3">
        <f>Raw_data!D15</f>
        <v>45326.783958333333</v>
      </c>
      <c r="E15" s="3">
        <f>Raw_data!E15</f>
        <v>45326.853402777779</v>
      </c>
      <c r="F15" s="4">
        <f t="shared" si="0"/>
        <v>6.9444444445252884E-2</v>
      </c>
      <c r="G15" s="6">
        <f>Raw_data!F15</f>
        <v>633</v>
      </c>
      <c r="H15" s="6">
        <f>Raw_data!G15</f>
        <v>30</v>
      </c>
      <c r="I15" t="str">
        <f>Raw_data!H15</f>
        <v>Digital Wallet</v>
      </c>
      <c r="J15" s="7" t="str">
        <f>IF(Raw_data!I15=0.1,"10%",Raw_data!I15)</f>
        <v>15% New User</v>
      </c>
      <c r="K15" s="6">
        <f>Raw_data!J15</f>
        <v>51</v>
      </c>
      <c r="L15" s="6">
        <f>Raw_data!K15</f>
        <v>14</v>
      </c>
      <c r="M15" s="6">
        <f>Raw_data!L15</f>
        <v>50</v>
      </c>
      <c r="N15" s="6">
        <f t="shared" si="1"/>
        <v>568</v>
      </c>
      <c r="O15" s="6">
        <f t="shared" si="2"/>
        <v>15</v>
      </c>
      <c r="P15" s="6">
        <f t="shared" si="3"/>
        <v>663</v>
      </c>
      <c r="Q15">
        <f t="shared" si="4"/>
        <v>1</v>
      </c>
      <c r="R15">
        <f t="shared" si="5"/>
        <v>3</v>
      </c>
    </row>
    <row r="16" spans="1:18" x14ac:dyDescent="0.25">
      <c r="A16">
        <f>Raw_data!A16</f>
        <v>15</v>
      </c>
      <c r="B16" t="str">
        <f>Raw_data!B16</f>
        <v>C6311</v>
      </c>
      <c r="C16" t="str">
        <f>Raw_data!C16</f>
        <v>R2475</v>
      </c>
      <c r="D16" s="3">
        <f>Raw_data!D16</f>
        <v>45325.03460648148</v>
      </c>
      <c r="E16" s="3">
        <f>Raw_data!E16</f>
        <v>45325.083912037036</v>
      </c>
      <c r="F16" s="4">
        <f t="shared" si="0"/>
        <v>4.9305555556202307E-2</v>
      </c>
      <c r="G16" s="6">
        <f>Raw_data!F16</f>
        <v>1193</v>
      </c>
      <c r="H16" s="6">
        <f>Raw_data!G16</f>
        <v>0</v>
      </c>
      <c r="I16" t="str">
        <f>Raw_data!H16</f>
        <v>Credit Card</v>
      </c>
      <c r="J16" s="7" t="str">
        <f>IF(Raw_data!I16=0.1,"10%",Raw_data!I16)</f>
        <v>None</v>
      </c>
      <c r="K16" s="6">
        <f>Raw_data!J16</f>
        <v>192</v>
      </c>
      <c r="L16" s="6">
        <f>Raw_data!K16</f>
        <v>16</v>
      </c>
      <c r="M16" s="6">
        <f>Raw_data!L16</f>
        <v>0</v>
      </c>
      <c r="N16" s="6">
        <f t="shared" si="1"/>
        <v>985</v>
      </c>
      <c r="O16" s="6">
        <f t="shared" si="2"/>
        <v>208</v>
      </c>
      <c r="P16" s="6">
        <f t="shared" si="3"/>
        <v>1193</v>
      </c>
      <c r="Q16">
        <f t="shared" si="4"/>
        <v>1</v>
      </c>
      <c r="R16">
        <f t="shared" si="5"/>
        <v>2</v>
      </c>
    </row>
    <row r="17" spans="1:18" x14ac:dyDescent="0.25">
      <c r="A17">
        <f>Raw_data!A17</f>
        <v>16</v>
      </c>
      <c r="B17" t="str">
        <f>Raw_data!B17</f>
        <v>C6051</v>
      </c>
      <c r="C17" t="str">
        <f>Raw_data!C17</f>
        <v>R2799</v>
      </c>
      <c r="D17" s="3">
        <f>Raw_data!D17</f>
        <v>45306.865532407406</v>
      </c>
      <c r="E17" s="3">
        <f>Raw_data!E17</f>
        <v>45306.912754629629</v>
      </c>
      <c r="F17" s="4">
        <f t="shared" si="0"/>
        <v>4.7222222223354038E-2</v>
      </c>
      <c r="G17" s="6">
        <f>Raw_data!F17</f>
        <v>992</v>
      </c>
      <c r="H17" s="6">
        <f>Raw_data!G17</f>
        <v>0</v>
      </c>
      <c r="I17" t="str">
        <f>Raw_data!H17</f>
        <v>Digital Wallet</v>
      </c>
      <c r="J17" s="7" t="str">
        <f>IF(Raw_data!I17=0.1,"10%",Raw_data!I17)</f>
        <v>15% New User</v>
      </c>
      <c r="K17" s="6">
        <f>Raw_data!J17</f>
        <v>200</v>
      </c>
      <c r="L17" s="6">
        <f>Raw_data!K17</f>
        <v>28</v>
      </c>
      <c r="M17" s="6">
        <f>Raw_data!L17</f>
        <v>0</v>
      </c>
      <c r="N17" s="6">
        <f t="shared" si="1"/>
        <v>764</v>
      </c>
      <c r="O17" s="6">
        <f t="shared" si="2"/>
        <v>228</v>
      </c>
      <c r="P17" s="6">
        <f t="shared" si="3"/>
        <v>992</v>
      </c>
      <c r="Q17">
        <f t="shared" si="4"/>
        <v>1</v>
      </c>
      <c r="R17">
        <f t="shared" si="5"/>
        <v>3</v>
      </c>
    </row>
    <row r="18" spans="1:18" x14ac:dyDescent="0.25">
      <c r="A18">
        <f>Raw_data!A18</f>
        <v>17</v>
      </c>
      <c r="B18" t="str">
        <f>Raw_data!B18</f>
        <v>C7420</v>
      </c>
      <c r="C18" t="str">
        <f>Raw_data!C18</f>
        <v>R2177</v>
      </c>
      <c r="D18" s="3">
        <f>Raw_data!D18</f>
        <v>45326.742337962962</v>
      </c>
      <c r="E18" s="3">
        <f>Raw_data!E18</f>
        <v>45326.810393518521</v>
      </c>
      <c r="F18" s="4">
        <f t="shared" si="0"/>
        <v>6.805555555911269E-2</v>
      </c>
      <c r="G18" s="6">
        <f>Raw_data!F18</f>
        <v>504</v>
      </c>
      <c r="H18" s="6">
        <f>Raw_data!G18</f>
        <v>20</v>
      </c>
      <c r="I18" t="str">
        <f>Raw_data!H18</f>
        <v>Credit Card</v>
      </c>
      <c r="J18" s="7" t="str">
        <f>IF(Raw_data!I18=0.1,"10%",Raw_data!I18)</f>
        <v>15% New User</v>
      </c>
      <c r="K18" s="6">
        <f>Raw_data!J18</f>
        <v>130</v>
      </c>
      <c r="L18" s="6">
        <f>Raw_data!K18</f>
        <v>38</v>
      </c>
      <c r="M18" s="6">
        <f>Raw_data!L18</f>
        <v>0</v>
      </c>
      <c r="N18" s="6">
        <f t="shared" si="1"/>
        <v>336</v>
      </c>
      <c r="O18" s="6">
        <f t="shared" si="2"/>
        <v>168</v>
      </c>
      <c r="P18" s="6">
        <f t="shared" si="3"/>
        <v>524</v>
      </c>
      <c r="Q18">
        <f t="shared" si="4"/>
        <v>1</v>
      </c>
      <c r="R18">
        <f t="shared" si="5"/>
        <v>1</v>
      </c>
    </row>
    <row r="19" spans="1:18" x14ac:dyDescent="0.25">
      <c r="A19">
        <f>Raw_data!A19</f>
        <v>18</v>
      </c>
      <c r="B19" t="str">
        <f>Raw_data!B19</f>
        <v>C2184</v>
      </c>
      <c r="C19" t="str">
        <f>Raw_data!C19</f>
        <v>R2390</v>
      </c>
      <c r="D19" s="3">
        <f>Raw_data!D19</f>
        <v>45304.654097222221</v>
      </c>
      <c r="E19" s="3">
        <f>Raw_data!E19</f>
        <v>45304.707569444443</v>
      </c>
      <c r="F19" s="4">
        <f t="shared" si="0"/>
        <v>5.3472222221898846E-2</v>
      </c>
      <c r="G19" s="6">
        <f>Raw_data!F19</f>
        <v>707</v>
      </c>
      <c r="H19" s="6">
        <f>Raw_data!G19</f>
        <v>30</v>
      </c>
      <c r="I19" t="str">
        <f>Raw_data!H19</f>
        <v>Credit Card</v>
      </c>
      <c r="J19" s="7" t="str">
        <f>IF(Raw_data!I19=0.1,"10%",Raw_data!I19)</f>
        <v>10%</v>
      </c>
      <c r="K19" s="6">
        <f>Raw_data!J19</f>
        <v>184</v>
      </c>
      <c r="L19" s="6">
        <f>Raw_data!K19</f>
        <v>24</v>
      </c>
      <c r="M19" s="6">
        <f>Raw_data!L19</f>
        <v>0</v>
      </c>
      <c r="N19" s="6">
        <f t="shared" si="1"/>
        <v>499</v>
      </c>
      <c r="O19" s="6">
        <f t="shared" si="2"/>
        <v>208</v>
      </c>
      <c r="P19" s="6">
        <f t="shared" si="3"/>
        <v>737</v>
      </c>
      <c r="Q19">
        <f t="shared" si="4"/>
        <v>2</v>
      </c>
      <c r="R19">
        <f t="shared" si="5"/>
        <v>2</v>
      </c>
    </row>
    <row r="20" spans="1:18" x14ac:dyDescent="0.25">
      <c r="A20">
        <f>Raw_data!A20</f>
        <v>19</v>
      </c>
      <c r="B20" t="str">
        <f>Raw_data!B20</f>
        <v>C5555</v>
      </c>
      <c r="C20" t="str">
        <f>Raw_data!C20</f>
        <v>R2348</v>
      </c>
      <c r="D20" s="3">
        <f>Raw_data!D20</f>
        <v>45322.727280092593</v>
      </c>
      <c r="E20" s="3">
        <f>Raw_data!E20</f>
        <v>45322.787002314813</v>
      </c>
      <c r="F20" s="4">
        <f t="shared" si="0"/>
        <v>5.9722222220443655E-2</v>
      </c>
      <c r="G20" s="6">
        <f>Raw_data!F20</f>
        <v>1798</v>
      </c>
      <c r="H20" s="6">
        <f>Raw_data!G20</f>
        <v>50</v>
      </c>
      <c r="I20" t="str">
        <f>Raw_data!H20</f>
        <v>Credit Card</v>
      </c>
      <c r="J20" s="7" t="str">
        <f>IF(Raw_data!I20=0.1,"10%",Raw_data!I20)</f>
        <v>50 off Promo</v>
      </c>
      <c r="K20" s="6">
        <f>Raw_data!J20</f>
        <v>191</v>
      </c>
      <c r="L20" s="6">
        <f>Raw_data!K20</f>
        <v>44</v>
      </c>
      <c r="M20" s="6">
        <f>Raw_data!L20</f>
        <v>0</v>
      </c>
      <c r="N20" s="6">
        <f t="shared" si="1"/>
        <v>1563</v>
      </c>
      <c r="O20" s="6">
        <f t="shared" si="2"/>
        <v>235</v>
      </c>
      <c r="P20" s="6">
        <f t="shared" si="3"/>
        <v>1848</v>
      </c>
      <c r="Q20">
        <f t="shared" si="4"/>
        <v>2</v>
      </c>
      <c r="R20">
        <f t="shared" si="5"/>
        <v>4</v>
      </c>
    </row>
    <row r="21" spans="1:18" x14ac:dyDescent="0.25">
      <c r="A21">
        <f>Raw_data!A21</f>
        <v>20</v>
      </c>
      <c r="B21" t="str">
        <f>Raw_data!B21</f>
        <v>C4385</v>
      </c>
      <c r="C21" t="str">
        <f>Raw_data!C21</f>
        <v>R2007</v>
      </c>
      <c r="D21" s="3">
        <f>Raw_data!D21</f>
        <v>45304.06454861111</v>
      </c>
      <c r="E21" s="3">
        <f>Raw_data!E21</f>
        <v>45304.099270833336</v>
      </c>
      <c r="F21" s="4">
        <f t="shared" si="0"/>
        <v>3.4722222226264421E-2</v>
      </c>
      <c r="G21" s="6">
        <f>Raw_data!F21</f>
        <v>1714</v>
      </c>
      <c r="H21" s="6">
        <f>Raw_data!G21</f>
        <v>50</v>
      </c>
      <c r="I21" t="str">
        <f>Raw_data!H21</f>
        <v>Cash on Delivery</v>
      </c>
      <c r="J21" s="7" t="str">
        <f>IF(Raw_data!I21=0.1,"10%",Raw_data!I21)</f>
        <v>5% on App</v>
      </c>
      <c r="K21" s="6">
        <f>Raw_data!J21</f>
        <v>119</v>
      </c>
      <c r="L21" s="6">
        <f>Raw_data!K21</f>
        <v>46</v>
      </c>
      <c r="M21" s="6">
        <f>Raw_data!L21</f>
        <v>100</v>
      </c>
      <c r="N21" s="6">
        <f t="shared" si="1"/>
        <v>1549</v>
      </c>
      <c r="O21" s="6">
        <f t="shared" si="2"/>
        <v>65</v>
      </c>
      <c r="P21" s="6">
        <f t="shared" si="3"/>
        <v>1764</v>
      </c>
      <c r="Q21">
        <f t="shared" si="4"/>
        <v>1</v>
      </c>
      <c r="R21">
        <f t="shared" si="5"/>
        <v>1</v>
      </c>
    </row>
    <row r="22" spans="1:18" x14ac:dyDescent="0.25">
      <c r="A22">
        <f>Raw_data!A22</f>
        <v>21</v>
      </c>
      <c r="B22" t="str">
        <f>Raw_data!B22</f>
        <v>C7396</v>
      </c>
      <c r="C22" t="str">
        <f>Raw_data!C22</f>
        <v>R2832</v>
      </c>
      <c r="D22" s="3">
        <f>Raw_data!D22</f>
        <v>45318.614398148151</v>
      </c>
      <c r="E22" s="3">
        <f>Raw_data!E22</f>
        <v>45318.691481481481</v>
      </c>
      <c r="F22" s="4">
        <f t="shared" si="0"/>
        <v>7.7083333329937886E-2</v>
      </c>
      <c r="G22" s="6">
        <f>Raw_data!F22</f>
        <v>1640</v>
      </c>
      <c r="H22" s="6">
        <f>Raw_data!G22</f>
        <v>40</v>
      </c>
      <c r="I22" t="str">
        <f>Raw_data!H22</f>
        <v>Digital Wallet</v>
      </c>
      <c r="J22" s="7" t="str">
        <f>IF(Raw_data!I22=0.1,"10%",Raw_data!I22)</f>
        <v>5% on App</v>
      </c>
      <c r="K22" s="6">
        <f>Raw_data!J22</f>
        <v>164</v>
      </c>
      <c r="L22" s="6">
        <f>Raw_data!K22</f>
        <v>21</v>
      </c>
      <c r="M22" s="6">
        <f>Raw_data!L22</f>
        <v>0</v>
      </c>
      <c r="N22" s="6">
        <f t="shared" si="1"/>
        <v>1455</v>
      </c>
      <c r="O22" s="6">
        <f t="shared" si="2"/>
        <v>185</v>
      </c>
      <c r="P22" s="6">
        <f t="shared" si="3"/>
        <v>1680</v>
      </c>
      <c r="Q22">
        <f t="shared" si="4"/>
        <v>1</v>
      </c>
      <c r="R22">
        <f t="shared" si="5"/>
        <v>1</v>
      </c>
    </row>
    <row r="23" spans="1:18" x14ac:dyDescent="0.25">
      <c r="A23">
        <f>Raw_data!A23</f>
        <v>22</v>
      </c>
      <c r="B23" t="str">
        <f>Raw_data!B23</f>
        <v>C9666</v>
      </c>
      <c r="C23" t="str">
        <f>Raw_data!C23</f>
        <v>R2312</v>
      </c>
      <c r="D23" s="3">
        <f>Raw_data!D23</f>
        <v>45296.4297337963</v>
      </c>
      <c r="E23" s="3">
        <f>Raw_data!E23</f>
        <v>45296.463761574072</v>
      </c>
      <c r="F23" s="4">
        <f t="shared" si="0"/>
        <v>3.4027777772280388E-2</v>
      </c>
      <c r="G23" s="6">
        <f>Raw_data!F23</f>
        <v>927</v>
      </c>
      <c r="H23" s="6">
        <f>Raw_data!G23</f>
        <v>0</v>
      </c>
      <c r="I23" t="str">
        <f>Raw_data!H23</f>
        <v>Digital Wallet</v>
      </c>
      <c r="J23" s="7" t="str">
        <f>IF(Raw_data!I23=0.1,"10%",Raw_data!I23)</f>
        <v>5% on App</v>
      </c>
      <c r="K23" s="6">
        <f>Raw_data!J23</f>
        <v>137</v>
      </c>
      <c r="L23" s="6">
        <f>Raw_data!K23</f>
        <v>39</v>
      </c>
      <c r="M23" s="6">
        <f>Raw_data!L23</f>
        <v>0</v>
      </c>
      <c r="N23" s="6">
        <f t="shared" si="1"/>
        <v>751</v>
      </c>
      <c r="O23" s="6">
        <f t="shared" si="2"/>
        <v>176</v>
      </c>
      <c r="P23" s="6">
        <f t="shared" si="3"/>
        <v>927</v>
      </c>
      <c r="Q23">
        <f t="shared" si="4"/>
        <v>2</v>
      </c>
      <c r="R23">
        <f t="shared" si="5"/>
        <v>1</v>
      </c>
    </row>
    <row r="24" spans="1:18" x14ac:dyDescent="0.25">
      <c r="A24">
        <f>Raw_data!A24</f>
        <v>23</v>
      </c>
      <c r="B24" t="str">
        <f>Raw_data!B24</f>
        <v>C3558</v>
      </c>
      <c r="C24" t="str">
        <f>Raw_data!C24</f>
        <v>R2758</v>
      </c>
      <c r="D24" s="3">
        <f>Raw_data!D24</f>
        <v>45314.1253125</v>
      </c>
      <c r="E24" s="3">
        <f>Raw_data!E24</f>
        <v>45314.155868055554</v>
      </c>
      <c r="F24" s="4">
        <f t="shared" si="0"/>
        <v>3.0555555553291924E-2</v>
      </c>
      <c r="G24" s="6">
        <f>Raw_data!F24</f>
        <v>1243</v>
      </c>
      <c r="H24" s="6">
        <f>Raw_data!G24</f>
        <v>40</v>
      </c>
      <c r="I24" t="str">
        <f>Raw_data!H24</f>
        <v>Digital Wallet</v>
      </c>
      <c r="J24" s="7" t="str">
        <f>IF(Raw_data!I24=0.1,"10%",Raw_data!I24)</f>
        <v>None</v>
      </c>
      <c r="K24" s="6">
        <f>Raw_data!J24</f>
        <v>55</v>
      </c>
      <c r="L24" s="6">
        <f>Raw_data!K24</f>
        <v>29</v>
      </c>
      <c r="M24" s="6">
        <f>Raw_data!L24</f>
        <v>100</v>
      </c>
      <c r="N24" s="6">
        <f t="shared" si="1"/>
        <v>1159</v>
      </c>
      <c r="O24" s="6">
        <f t="shared" si="2"/>
        <v>-16</v>
      </c>
      <c r="P24" s="6">
        <f t="shared" si="3"/>
        <v>1283</v>
      </c>
      <c r="Q24">
        <f t="shared" si="4"/>
        <v>1</v>
      </c>
      <c r="R24">
        <f t="shared" si="5"/>
        <v>2</v>
      </c>
    </row>
    <row r="25" spans="1:18" x14ac:dyDescent="0.25">
      <c r="A25">
        <f>Raw_data!A25</f>
        <v>24</v>
      </c>
      <c r="B25" t="str">
        <f>Raw_data!B25</f>
        <v>C8849</v>
      </c>
      <c r="C25" t="str">
        <f>Raw_data!C25</f>
        <v>R2834</v>
      </c>
      <c r="D25" s="3">
        <f>Raw_data!D25</f>
        <v>45329.698854166665</v>
      </c>
      <c r="E25" s="3">
        <f>Raw_data!E25</f>
        <v>45329.766909722224</v>
      </c>
      <c r="F25" s="4">
        <f t="shared" si="0"/>
        <v>6.805555555911269E-2</v>
      </c>
      <c r="G25" s="6">
        <f>Raw_data!F25</f>
        <v>1937</v>
      </c>
      <c r="H25" s="6">
        <f>Raw_data!G25</f>
        <v>20</v>
      </c>
      <c r="I25" t="str">
        <f>Raw_data!H25</f>
        <v>Credit Card</v>
      </c>
      <c r="J25" s="7" t="str">
        <f>IF(Raw_data!I25=0.1,"10%",Raw_data!I25)</f>
        <v>5% on App</v>
      </c>
      <c r="K25" s="6">
        <f>Raw_data!J25</f>
        <v>76</v>
      </c>
      <c r="L25" s="6">
        <f>Raw_data!K25</f>
        <v>46</v>
      </c>
      <c r="M25" s="6">
        <f>Raw_data!L25</f>
        <v>0</v>
      </c>
      <c r="N25" s="6">
        <f t="shared" si="1"/>
        <v>1815</v>
      </c>
      <c r="O25" s="6">
        <f t="shared" si="2"/>
        <v>122</v>
      </c>
      <c r="P25" s="6">
        <f t="shared" si="3"/>
        <v>1957</v>
      </c>
      <c r="Q25">
        <f t="shared" si="4"/>
        <v>1</v>
      </c>
      <c r="R25">
        <f t="shared" si="5"/>
        <v>1</v>
      </c>
    </row>
    <row r="26" spans="1:18" x14ac:dyDescent="0.25">
      <c r="A26">
        <f>Raw_data!A26</f>
        <v>25</v>
      </c>
      <c r="B26" t="str">
        <f>Raw_data!B26</f>
        <v>C3047</v>
      </c>
      <c r="C26" t="str">
        <f>Raw_data!C26</f>
        <v>R2983</v>
      </c>
      <c r="D26" s="3">
        <f>Raw_data!D26</f>
        <v>45304.365648148145</v>
      </c>
      <c r="E26" s="3">
        <f>Raw_data!E26</f>
        <v>45304.439259259256</v>
      </c>
      <c r="F26" s="4">
        <f t="shared" si="0"/>
        <v>7.3611111110949423E-2</v>
      </c>
      <c r="G26" s="6">
        <f>Raw_data!F26</f>
        <v>789</v>
      </c>
      <c r="H26" s="6">
        <f>Raw_data!G26</f>
        <v>50</v>
      </c>
      <c r="I26" t="str">
        <f>Raw_data!H26</f>
        <v>Cash on Delivery</v>
      </c>
      <c r="J26" s="7" t="str">
        <f>IF(Raw_data!I26=0.1,"10%",Raw_data!I26)</f>
        <v>5% on App</v>
      </c>
      <c r="K26" s="6">
        <f>Raw_data!J26</f>
        <v>131</v>
      </c>
      <c r="L26" s="6">
        <f>Raw_data!K26</f>
        <v>12</v>
      </c>
      <c r="M26" s="6">
        <f>Raw_data!L26</f>
        <v>0</v>
      </c>
      <c r="N26" s="6">
        <f t="shared" si="1"/>
        <v>646</v>
      </c>
      <c r="O26" s="6">
        <f t="shared" si="2"/>
        <v>143</v>
      </c>
      <c r="P26" s="6">
        <f t="shared" si="3"/>
        <v>839</v>
      </c>
      <c r="Q26">
        <f t="shared" si="4"/>
        <v>1</v>
      </c>
      <c r="R26">
        <f t="shared" si="5"/>
        <v>2</v>
      </c>
    </row>
    <row r="27" spans="1:18" x14ac:dyDescent="0.25">
      <c r="A27">
        <f>Raw_data!A27</f>
        <v>26</v>
      </c>
      <c r="B27" t="str">
        <f>Raw_data!B27</f>
        <v>C3747</v>
      </c>
      <c r="C27" t="str">
        <f>Raw_data!C27</f>
        <v>R2982</v>
      </c>
      <c r="D27" s="3">
        <f>Raw_data!D27</f>
        <v>45303.108148148145</v>
      </c>
      <c r="E27" s="3">
        <f>Raw_data!E27</f>
        <v>45303.163703703707</v>
      </c>
      <c r="F27" s="4">
        <f t="shared" si="0"/>
        <v>5.5555555562023073E-2</v>
      </c>
      <c r="G27" s="6">
        <f>Raw_data!F27</f>
        <v>1811</v>
      </c>
      <c r="H27" s="6">
        <f>Raw_data!G27</f>
        <v>0</v>
      </c>
      <c r="I27" t="str">
        <f>Raw_data!H27</f>
        <v>Credit Card</v>
      </c>
      <c r="J27" s="7" t="str">
        <f>IF(Raw_data!I27=0.1,"10%",Raw_data!I27)</f>
        <v>10%</v>
      </c>
      <c r="K27" s="6">
        <f>Raw_data!J27</f>
        <v>137</v>
      </c>
      <c r="L27" s="6">
        <f>Raw_data!K27</f>
        <v>18</v>
      </c>
      <c r="M27" s="6">
        <f>Raw_data!L27</f>
        <v>0</v>
      </c>
      <c r="N27" s="6">
        <f t="shared" si="1"/>
        <v>1656</v>
      </c>
      <c r="O27" s="6">
        <f t="shared" si="2"/>
        <v>155</v>
      </c>
      <c r="P27" s="6">
        <f t="shared" si="3"/>
        <v>1811</v>
      </c>
      <c r="Q27">
        <f t="shared" si="4"/>
        <v>1</v>
      </c>
      <c r="R27">
        <f t="shared" si="5"/>
        <v>3</v>
      </c>
    </row>
    <row r="28" spans="1:18" x14ac:dyDescent="0.25">
      <c r="A28">
        <f>Raw_data!A28</f>
        <v>27</v>
      </c>
      <c r="B28" t="str">
        <f>Raw_data!B28</f>
        <v>C1189</v>
      </c>
      <c r="C28" t="str">
        <f>Raw_data!C28</f>
        <v>R2442</v>
      </c>
      <c r="D28" s="3">
        <f>Raw_data!D28</f>
        <v>45302.69189814815</v>
      </c>
      <c r="E28" s="3">
        <f>Raw_data!E28</f>
        <v>45302.764814814815</v>
      </c>
      <c r="F28" s="4">
        <f t="shared" si="0"/>
        <v>7.2916666664241347E-2</v>
      </c>
      <c r="G28" s="6">
        <f>Raw_data!F28</f>
        <v>1001</v>
      </c>
      <c r="H28" s="6">
        <f>Raw_data!G28</f>
        <v>20</v>
      </c>
      <c r="I28" t="str">
        <f>Raw_data!H28</f>
        <v>Digital Wallet</v>
      </c>
      <c r="J28" s="7" t="str">
        <f>IF(Raw_data!I28=0.1,"10%",Raw_data!I28)</f>
        <v>15% New User</v>
      </c>
      <c r="K28" s="6">
        <f>Raw_data!J28</f>
        <v>169</v>
      </c>
      <c r="L28" s="6">
        <f>Raw_data!K28</f>
        <v>50</v>
      </c>
      <c r="M28" s="6">
        <f>Raw_data!L28</f>
        <v>0</v>
      </c>
      <c r="N28" s="6">
        <f t="shared" si="1"/>
        <v>782</v>
      </c>
      <c r="O28" s="6">
        <f t="shared" si="2"/>
        <v>219</v>
      </c>
      <c r="P28" s="6">
        <f t="shared" si="3"/>
        <v>1021</v>
      </c>
      <c r="Q28">
        <f t="shared" si="4"/>
        <v>1</v>
      </c>
      <c r="R28">
        <f t="shared" si="5"/>
        <v>2</v>
      </c>
    </row>
    <row r="29" spans="1:18" x14ac:dyDescent="0.25">
      <c r="A29">
        <f>Raw_data!A29</f>
        <v>28</v>
      </c>
      <c r="B29" t="str">
        <f>Raw_data!B29</f>
        <v>C3734</v>
      </c>
      <c r="C29" t="str">
        <f>Raw_data!C29</f>
        <v>R2766</v>
      </c>
      <c r="D29" s="3">
        <f>Raw_data!D29</f>
        <v>45325.176516203705</v>
      </c>
      <c r="E29" s="3">
        <f>Raw_data!E29</f>
        <v>45325.239710648151</v>
      </c>
      <c r="F29" s="4">
        <f t="shared" si="0"/>
        <v>6.3194444446708076E-2</v>
      </c>
      <c r="G29" s="6">
        <f>Raw_data!F29</f>
        <v>1340</v>
      </c>
      <c r="H29" s="6">
        <f>Raw_data!G29</f>
        <v>20</v>
      </c>
      <c r="I29" t="str">
        <f>Raw_data!H29</f>
        <v>Cash on Delivery</v>
      </c>
      <c r="J29" s="7" t="str">
        <f>IF(Raw_data!I29=0.1,"10%",Raw_data!I29)</f>
        <v>5% on App</v>
      </c>
      <c r="K29" s="6">
        <f>Raw_data!J29</f>
        <v>73</v>
      </c>
      <c r="L29" s="6">
        <f>Raw_data!K29</f>
        <v>48</v>
      </c>
      <c r="M29" s="6">
        <f>Raw_data!L29</f>
        <v>100</v>
      </c>
      <c r="N29" s="6">
        <f t="shared" si="1"/>
        <v>1219</v>
      </c>
      <c r="O29" s="6">
        <f t="shared" si="2"/>
        <v>21</v>
      </c>
      <c r="P29" s="6">
        <f t="shared" si="3"/>
        <v>1360</v>
      </c>
      <c r="Q29">
        <f t="shared" si="4"/>
        <v>1</v>
      </c>
      <c r="R29">
        <f t="shared" si="5"/>
        <v>1</v>
      </c>
    </row>
    <row r="30" spans="1:18" x14ac:dyDescent="0.25">
      <c r="A30">
        <f>Raw_data!A30</f>
        <v>29</v>
      </c>
      <c r="B30" t="str">
        <f>Raw_data!B30</f>
        <v>C4005</v>
      </c>
      <c r="C30" t="str">
        <f>Raw_data!C30</f>
        <v>R2327</v>
      </c>
      <c r="D30" s="3">
        <f>Raw_data!D30</f>
        <v>45308.959386574075</v>
      </c>
      <c r="E30" s="3">
        <f>Raw_data!E30</f>
        <v>45309.038553240738</v>
      </c>
      <c r="F30" s="4">
        <f t="shared" si="0"/>
        <v>7.9166666662786156E-2</v>
      </c>
      <c r="G30" s="6">
        <f>Raw_data!F30</f>
        <v>155</v>
      </c>
      <c r="H30" s="6">
        <f>Raw_data!G30</f>
        <v>0</v>
      </c>
      <c r="I30" t="str">
        <f>Raw_data!H30</f>
        <v>Cash on Delivery</v>
      </c>
      <c r="J30" s="7" t="str">
        <f>IF(Raw_data!I30=0.1,"10%",Raw_data!I30)</f>
        <v>50 off Promo</v>
      </c>
      <c r="K30" s="6">
        <f>Raw_data!J30</f>
        <v>151</v>
      </c>
      <c r="L30" s="6">
        <f>Raw_data!K30</f>
        <v>35</v>
      </c>
      <c r="M30" s="6">
        <f>Raw_data!L30</f>
        <v>0</v>
      </c>
      <c r="N30" s="6">
        <f t="shared" si="1"/>
        <v>-31</v>
      </c>
      <c r="O30" s="6">
        <f t="shared" si="2"/>
        <v>186</v>
      </c>
      <c r="P30" s="6">
        <f t="shared" si="3"/>
        <v>155</v>
      </c>
      <c r="Q30">
        <f t="shared" si="4"/>
        <v>1</v>
      </c>
      <c r="R30">
        <f t="shared" si="5"/>
        <v>2</v>
      </c>
    </row>
    <row r="31" spans="1:18" x14ac:dyDescent="0.25">
      <c r="A31">
        <f>Raw_data!A31</f>
        <v>30</v>
      </c>
      <c r="B31" t="str">
        <f>Raw_data!B31</f>
        <v>C5658</v>
      </c>
      <c r="C31" t="str">
        <f>Raw_data!C31</f>
        <v>R2053</v>
      </c>
      <c r="D31" s="3">
        <f>Raw_data!D31</f>
        <v>45327.917037037034</v>
      </c>
      <c r="E31" s="3">
        <f>Raw_data!E31</f>
        <v>45327.962870370371</v>
      </c>
      <c r="F31" s="4">
        <f t="shared" si="0"/>
        <v>4.5833333337213844E-2</v>
      </c>
      <c r="G31" s="6">
        <f>Raw_data!F31</f>
        <v>465</v>
      </c>
      <c r="H31" s="6">
        <f>Raw_data!G31</f>
        <v>20</v>
      </c>
      <c r="I31" t="str">
        <f>Raw_data!H31</f>
        <v>Cash on Delivery</v>
      </c>
      <c r="J31" s="7" t="str">
        <f>IF(Raw_data!I31=0.1,"10%",Raw_data!I31)</f>
        <v>5% on App</v>
      </c>
      <c r="K31" s="6">
        <f>Raw_data!J31</f>
        <v>83</v>
      </c>
      <c r="L31" s="6">
        <f>Raw_data!K31</f>
        <v>11</v>
      </c>
      <c r="M31" s="6">
        <f>Raw_data!L31</f>
        <v>0</v>
      </c>
      <c r="N31" s="6">
        <f t="shared" si="1"/>
        <v>371</v>
      </c>
      <c r="O31" s="6">
        <f t="shared" si="2"/>
        <v>94</v>
      </c>
      <c r="P31" s="6">
        <f t="shared" si="3"/>
        <v>485</v>
      </c>
      <c r="Q31">
        <f t="shared" si="4"/>
        <v>1</v>
      </c>
      <c r="R31">
        <f t="shared" si="5"/>
        <v>2</v>
      </c>
    </row>
    <row r="32" spans="1:18" x14ac:dyDescent="0.25">
      <c r="A32">
        <f>Raw_data!A32</f>
        <v>31</v>
      </c>
      <c r="B32" t="str">
        <f>Raw_data!B32</f>
        <v>C2899</v>
      </c>
      <c r="C32" t="str">
        <f>Raw_data!C32</f>
        <v>R2760</v>
      </c>
      <c r="D32" s="3">
        <f>Raw_data!D32</f>
        <v>45320.566574074073</v>
      </c>
      <c r="E32" s="3">
        <f>Raw_data!E32</f>
        <v>45320.590879629628</v>
      </c>
      <c r="F32" s="4">
        <f t="shared" si="0"/>
        <v>2.4305555554747116E-2</v>
      </c>
      <c r="G32" s="6">
        <f>Raw_data!F32</f>
        <v>1822</v>
      </c>
      <c r="H32" s="6">
        <f>Raw_data!G32</f>
        <v>0</v>
      </c>
      <c r="I32" t="str">
        <f>Raw_data!H32</f>
        <v>Digital Wallet</v>
      </c>
      <c r="J32" s="7" t="str">
        <f>IF(Raw_data!I32=0.1,"10%",Raw_data!I32)</f>
        <v>None</v>
      </c>
      <c r="K32" s="6">
        <f>Raw_data!J32</f>
        <v>96</v>
      </c>
      <c r="L32" s="6">
        <f>Raw_data!K32</f>
        <v>32</v>
      </c>
      <c r="M32" s="6">
        <f>Raw_data!L32</f>
        <v>0</v>
      </c>
      <c r="N32" s="6">
        <f t="shared" si="1"/>
        <v>1694</v>
      </c>
      <c r="O32" s="6">
        <f t="shared" si="2"/>
        <v>128</v>
      </c>
      <c r="P32" s="6">
        <f t="shared" si="3"/>
        <v>1822</v>
      </c>
      <c r="Q32">
        <f t="shared" si="4"/>
        <v>1</v>
      </c>
      <c r="R32">
        <f t="shared" si="5"/>
        <v>2</v>
      </c>
    </row>
    <row r="33" spans="1:18" x14ac:dyDescent="0.25">
      <c r="A33">
        <f>Raw_data!A33</f>
        <v>32</v>
      </c>
      <c r="B33" t="str">
        <f>Raw_data!B33</f>
        <v>C8734</v>
      </c>
      <c r="C33" t="str">
        <f>Raw_data!C33</f>
        <v>R2238</v>
      </c>
      <c r="D33" s="3">
        <f>Raw_data!D33</f>
        <v>45294.47184027778</v>
      </c>
      <c r="E33" s="3">
        <f>Raw_data!E33</f>
        <v>45294.541284722225</v>
      </c>
      <c r="F33" s="4">
        <f t="shared" si="0"/>
        <v>6.9444444445252884E-2</v>
      </c>
      <c r="G33" s="6">
        <f>Raw_data!F33</f>
        <v>1627</v>
      </c>
      <c r="H33" s="6">
        <f>Raw_data!G33</f>
        <v>0</v>
      </c>
      <c r="I33" t="str">
        <f>Raw_data!H33</f>
        <v>Cash on Delivery</v>
      </c>
      <c r="J33" s="7" t="str">
        <f>IF(Raw_data!I33=0.1,"10%",Raw_data!I33)</f>
        <v>None</v>
      </c>
      <c r="K33" s="6">
        <f>Raw_data!J33</f>
        <v>73</v>
      </c>
      <c r="L33" s="6">
        <f>Raw_data!K33</f>
        <v>32</v>
      </c>
      <c r="M33" s="6">
        <f>Raw_data!L33</f>
        <v>0</v>
      </c>
      <c r="N33" s="6">
        <f t="shared" si="1"/>
        <v>1522</v>
      </c>
      <c r="O33" s="6">
        <f t="shared" si="2"/>
        <v>105</v>
      </c>
      <c r="P33" s="6">
        <f t="shared" si="3"/>
        <v>1627</v>
      </c>
      <c r="Q33">
        <f t="shared" si="4"/>
        <v>1</v>
      </c>
      <c r="R33">
        <f t="shared" si="5"/>
        <v>2</v>
      </c>
    </row>
    <row r="34" spans="1:18" x14ac:dyDescent="0.25">
      <c r="A34">
        <f>Raw_data!A34</f>
        <v>33</v>
      </c>
      <c r="B34" t="str">
        <f>Raw_data!B34</f>
        <v>C2267</v>
      </c>
      <c r="C34" t="str">
        <f>Raw_data!C34</f>
        <v>R2228</v>
      </c>
      <c r="D34" s="3">
        <f>Raw_data!D34</f>
        <v>45323.169849537036</v>
      </c>
      <c r="E34" s="3">
        <f>Raw_data!E34</f>
        <v>45323.208043981482</v>
      </c>
      <c r="F34" s="4">
        <f t="shared" si="0"/>
        <v>3.8194444445252884E-2</v>
      </c>
      <c r="G34" s="6">
        <f>Raw_data!F34</f>
        <v>1867</v>
      </c>
      <c r="H34" s="6">
        <f>Raw_data!G34</f>
        <v>30</v>
      </c>
      <c r="I34" t="str">
        <f>Raw_data!H34</f>
        <v>Cash on Delivery</v>
      </c>
      <c r="J34" s="7" t="str">
        <f>IF(Raw_data!I34=0.1,"10%",Raw_data!I34)</f>
        <v>None</v>
      </c>
      <c r="K34" s="6">
        <f>Raw_data!J34</f>
        <v>114</v>
      </c>
      <c r="L34" s="6">
        <f>Raw_data!K34</f>
        <v>30</v>
      </c>
      <c r="M34" s="6">
        <f>Raw_data!L34</f>
        <v>50</v>
      </c>
      <c r="N34" s="6">
        <f t="shared" si="1"/>
        <v>1723</v>
      </c>
      <c r="O34" s="6">
        <f t="shared" si="2"/>
        <v>94</v>
      </c>
      <c r="P34" s="6">
        <f t="shared" si="3"/>
        <v>1897</v>
      </c>
      <c r="Q34">
        <f t="shared" si="4"/>
        <v>1</v>
      </c>
      <c r="R34">
        <f t="shared" si="5"/>
        <v>2</v>
      </c>
    </row>
    <row r="35" spans="1:18" x14ac:dyDescent="0.25">
      <c r="A35">
        <f>Raw_data!A35</f>
        <v>34</v>
      </c>
      <c r="B35" t="str">
        <f>Raw_data!B35</f>
        <v>C2528</v>
      </c>
      <c r="C35" t="str">
        <f>Raw_data!C35</f>
        <v>R2578</v>
      </c>
      <c r="D35" s="3">
        <f>Raw_data!D35</f>
        <v>45314.486238425925</v>
      </c>
      <c r="E35" s="3">
        <f>Raw_data!E35</f>
        <v>45314.511932870373</v>
      </c>
      <c r="F35" s="4">
        <f t="shared" si="0"/>
        <v>2.5694444448163267E-2</v>
      </c>
      <c r="G35" s="6">
        <f>Raw_data!F35</f>
        <v>1890</v>
      </c>
      <c r="H35" s="6">
        <f>Raw_data!G35</f>
        <v>40</v>
      </c>
      <c r="I35" t="str">
        <f>Raw_data!H35</f>
        <v>Credit Card</v>
      </c>
      <c r="J35" s="7" t="str">
        <f>IF(Raw_data!I35=0.1,"10%",Raw_data!I35)</f>
        <v>5% on App</v>
      </c>
      <c r="K35" s="6">
        <f>Raw_data!J35</f>
        <v>67</v>
      </c>
      <c r="L35" s="6">
        <f>Raw_data!K35</f>
        <v>25</v>
      </c>
      <c r="M35" s="6">
        <f>Raw_data!L35</f>
        <v>0</v>
      </c>
      <c r="N35" s="6">
        <f t="shared" si="1"/>
        <v>1798</v>
      </c>
      <c r="O35" s="6">
        <f t="shared" si="2"/>
        <v>92</v>
      </c>
      <c r="P35" s="6">
        <f t="shared" si="3"/>
        <v>1930</v>
      </c>
      <c r="Q35">
        <f t="shared" si="4"/>
        <v>1</v>
      </c>
      <c r="R35">
        <f t="shared" si="5"/>
        <v>1</v>
      </c>
    </row>
    <row r="36" spans="1:18" x14ac:dyDescent="0.25">
      <c r="A36">
        <f>Raw_data!A36</f>
        <v>35</v>
      </c>
      <c r="B36" t="str">
        <f>Raw_data!B36</f>
        <v>C4556</v>
      </c>
      <c r="C36" t="str">
        <f>Raw_data!C36</f>
        <v>R2050</v>
      </c>
      <c r="D36" s="3">
        <f>Raw_data!D36</f>
        <v>45318.774722222224</v>
      </c>
      <c r="E36" s="3">
        <f>Raw_data!E36</f>
        <v>45318.845555555556</v>
      </c>
      <c r="F36" s="4">
        <f t="shared" si="0"/>
        <v>7.0833333331393078E-2</v>
      </c>
      <c r="G36" s="6">
        <f>Raw_data!F36</f>
        <v>554</v>
      </c>
      <c r="H36" s="6">
        <f>Raw_data!G36</f>
        <v>20</v>
      </c>
      <c r="I36" t="str">
        <f>Raw_data!H36</f>
        <v>Credit Card</v>
      </c>
      <c r="J36" s="7" t="str">
        <f>IF(Raw_data!I36=0.1,"10%",Raw_data!I36)</f>
        <v>10%</v>
      </c>
      <c r="K36" s="6">
        <f>Raw_data!J36</f>
        <v>93</v>
      </c>
      <c r="L36" s="6">
        <f>Raw_data!K36</f>
        <v>18</v>
      </c>
      <c r="M36" s="6">
        <f>Raw_data!L36</f>
        <v>0</v>
      </c>
      <c r="N36" s="6">
        <f t="shared" si="1"/>
        <v>443</v>
      </c>
      <c r="O36" s="6">
        <f t="shared" si="2"/>
        <v>111</v>
      </c>
      <c r="P36" s="6">
        <f t="shared" si="3"/>
        <v>574</v>
      </c>
      <c r="Q36">
        <f t="shared" si="4"/>
        <v>1</v>
      </c>
      <c r="R36">
        <f t="shared" si="5"/>
        <v>1</v>
      </c>
    </row>
    <row r="37" spans="1:18" x14ac:dyDescent="0.25">
      <c r="A37">
        <f>Raw_data!A37</f>
        <v>36</v>
      </c>
      <c r="B37" t="str">
        <f>Raw_data!B37</f>
        <v>C4890</v>
      </c>
      <c r="C37" t="str">
        <f>Raw_data!C37</f>
        <v>R2608</v>
      </c>
      <c r="D37" s="3">
        <f>Raw_data!D37</f>
        <v>45295.450115740743</v>
      </c>
      <c r="E37" s="3">
        <f>Raw_data!E37</f>
        <v>45295.473032407404</v>
      </c>
      <c r="F37" s="4">
        <f t="shared" si="0"/>
        <v>2.2916666661330964E-2</v>
      </c>
      <c r="G37" s="6">
        <f>Raw_data!F37</f>
        <v>203</v>
      </c>
      <c r="H37" s="6">
        <f>Raw_data!G37</f>
        <v>20</v>
      </c>
      <c r="I37" t="str">
        <f>Raw_data!H37</f>
        <v>Cash on Delivery</v>
      </c>
      <c r="J37" s="7" t="str">
        <f>IF(Raw_data!I37=0.1,"10%",Raw_data!I37)</f>
        <v>50 off Promo</v>
      </c>
      <c r="K37" s="6">
        <f>Raw_data!J37</f>
        <v>125</v>
      </c>
      <c r="L37" s="6">
        <f>Raw_data!K37</f>
        <v>22</v>
      </c>
      <c r="M37" s="6">
        <f>Raw_data!L37</f>
        <v>0</v>
      </c>
      <c r="N37" s="6">
        <f t="shared" si="1"/>
        <v>56</v>
      </c>
      <c r="O37" s="6">
        <f t="shared" si="2"/>
        <v>147</v>
      </c>
      <c r="P37" s="6">
        <f t="shared" si="3"/>
        <v>223</v>
      </c>
      <c r="Q37">
        <f t="shared" si="4"/>
        <v>1</v>
      </c>
      <c r="R37">
        <f t="shared" si="5"/>
        <v>1</v>
      </c>
    </row>
    <row r="38" spans="1:18" x14ac:dyDescent="0.25">
      <c r="A38">
        <f>Raw_data!A38</f>
        <v>37</v>
      </c>
      <c r="B38" t="str">
        <f>Raw_data!B38</f>
        <v>C9838</v>
      </c>
      <c r="C38" t="str">
        <f>Raw_data!C38</f>
        <v>R2603</v>
      </c>
      <c r="D38" s="3">
        <f>Raw_data!D38</f>
        <v>45295.673009259262</v>
      </c>
      <c r="E38" s="3">
        <f>Raw_data!E38</f>
        <v>45295.707731481481</v>
      </c>
      <c r="F38" s="4">
        <f t="shared" si="0"/>
        <v>3.4722222218988463E-2</v>
      </c>
      <c r="G38" s="6">
        <f>Raw_data!F38</f>
        <v>176</v>
      </c>
      <c r="H38" s="6">
        <f>Raw_data!G38</f>
        <v>30</v>
      </c>
      <c r="I38" t="str">
        <f>Raw_data!H38</f>
        <v>Cash on Delivery</v>
      </c>
      <c r="J38" s="7" t="str">
        <f>IF(Raw_data!I38=0.1,"10%",Raw_data!I38)</f>
        <v>5% on App</v>
      </c>
      <c r="K38" s="6">
        <f>Raw_data!J38</f>
        <v>106</v>
      </c>
      <c r="L38" s="6">
        <f>Raw_data!K38</f>
        <v>37</v>
      </c>
      <c r="M38" s="6">
        <f>Raw_data!L38</f>
        <v>0</v>
      </c>
      <c r="N38" s="6">
        <f t="shared" si="1"/>
        <v>33</v>
      </c>
      <c r="O38" s="6">
        <f t="shared" si="2"/>
        <v>143</v>
      </c>
      <c r="P38" s="6">
        <f t="shared" si="3"/>
        <v>206</v>
      </c>
      <c r="Q38">
        <f t="shared" si="4"/>
        <v>1</v>
      </c>
      <c r="R38">
        <f t="shared" si="5"/>
        <v>2</v>
      </c>
    </row>
    <row r="39" spans="1:18" x14ac:dyDescent="0.25">
      <c r="A39">
        <f>Raw_data!A39</f>
        <v>38</v>
      </c>
      <c r="B39" t="str">
        <f>Raw_data!B39</f>
        <v>C6393</v>
      </c>
      <c r="C39" t="str">
        <f>Raw_data!C39</f>
        <v>R2263</v>
      </c>
      <c r="D39" s="3">
        <f>Raw_data!D39</f>
        <v>45306.253865740742</v>
      </c>
      <c r="E39" s="3">
        <f>Raw_data!E39</f>
        <v>45306.295532407406</v>
      </c>
      <c r="F39" s="4">
        <f t="shared" si="0"/>
        <v>4.1666666664241347E-2</v>
      </c>
      <c r="G39" s="6">
        <f>Raw_data!F39</f>
        <v>329</v>
      </c>
      <c r="H39" s="6">
        <f>Raw_data!G39</f>
        <v>30</v>
      </c>
      <c r="I39" t="str">
        <f>Raw_data!H39</f>
        <v>Credit Card</v>
      </c>
      <c r="J39" s="7" t="str">
        <f>IF(Raw_data!I39=0.1,"10%",Raw_data!I39)</f>
        <v>10%</v>
      </c>
      <c r="K39" s="6">
        <f>Raw_data!J39</f>
        <v>156</v>
      </c>
      <c r="L39" s="6">
        <f>Raw_data!K39</f>
        <v>36</v>
      </c>
      <c r="M39" s="6">
        <f>Raw_data!L39</f>
        <v>0</v>
      </c>
      <c r="N39" s="6">
        <f t="shared" si="1"/>
        <v>137</v>
      </c>
      <c r="O39" s="6">
        <f t="shared" si="2"/>
        <v>192</v>
      </c>
      <c r="P39" s="6">
        <f t="shared" si="3"/>
        <v>359</v>
      </c>
      <c r="Q39">
        <f t="shared" si="4"/>
        <v>1</v>
      </c>
      <c r="R39">
        <f t="shared" si="5"/>
        <v>2</v>
      </c>
    </row>
    <row r="40" spans="1:18" x14ac:dyDescent="0.25">
      <c r="A40">
        <f>Raw_data!A40</f>
        <v>39</v>
      </c>
      <c r="B40" t="str">
        <f>Raw_data!B40</f>
        <v>C9792</v>
      </c>
      <c r="C40" t="str">
        <f>Raw_data!C40</f>
        <v>R2417</v>
      </c>
      <c r="D40" s="3">
        <f>Raw_data!D40</f>
        <v>45327.72115740741</v>
      </c>
      <c r="E40" s="3">
        <f>Raw_data!E40</f>
        <v>45327.755879629629</v>
      </c>
      <c r="F40" s="4">
        <f t="shared" si="0"/>
        <v>3.4722222218988463E-2</v>
      </c>
      <c r="G40" s="6">
        <f>Raw_data!F40</f>
        <v>1381</v>
      </c>
      <c r="H40" s="6">
        <f>Raw_data!G40</f>
        <v>30</v>
      </c>
      <c r="I40" t="str">
        <f>Raw_data!H40</f>
        <v>Credit Card</v>
      </c>
      <c r="J40" s="7" t="str">
        <f>IF(Raw_data!I40=0.1,"10%",Raw_data!I40)</f>
        <v>10%</v>
      </c>
      <c r="K40" s="6">
        <f>Raw_data!J40</f>
        <v>173</v>
      </c>
      <c r="L40" s="6">
        <f>Raw_data!K40</f>
        <v>26</v>
      </c>
      <c r="M40" s="6">
        <f>Raw_data!L40</f>
        <v>0</v>
      </c>
      <c r="N40" s="6">
        <f t="shared" si="1"/>
        <v>1182</v>
      </c>
      <c r="O40" s="6">
        <f t="shared" si="2"/>
        <v>199</v>
      </c>
      <c r="P40" s="6">
        <f t="shared" si="3"/>
        <v>1411</v>
      </c>
      <c r="Q40">
        <f t="shared" si="4"/>
        <v>1</v>
      </c>
      <c r="R40">
        <f t="shared" si="5"/>
        <v>2</v>
      </c>
    </row>
    <row r="41" spans="1:18" x14ac:dyDescent="0.25">
      <c r="A41">
        <f>Raw_data!A41</f>
        <v>40</v>
      </c>
      <c r="B41" t="str">
        <f>Raw_data!B41</f>
        <v>C9433</v>
      </c>
      <c r="C41" t="str">
        <f>Raw_data!C41</f>
        <v>R2802</v>
      </c>
      <c r="D41" s="3">
        <f>Raw_data!D41</f>
        <v>45307.350497685184</v>
      </c>
      <c r="E41" s="3">
        <f>Raw_data!E41</f>
        <v>45307.387997685182</v>
      </c>
      <c r="F41" s="4">
        <f t="shared" si="0"/>
        <v>3.7499999998544808E-2</v>
      </c>
      <c r="G41" s="6">
        <f>Raw_data!F41</f>
        <v>1387</v>
      </c>
      <c r="H41" s="6">
        <f>Raw_data!G41</f>
        <v>50</v>
      </c>
      <c r="I41" t="str">
        <f>Raw_data!H41</f>
        <v>Credit Card</v>
      </c>
      <c r="J41" s="7" t="str">
        <f>IF(Raw_data!I41=0.1,"10%",Raw_data!I41)</f>
        <v>5% on App</v>
      </c>
      <c r="K41" s="6">
        <f>Raw_data!J41</f>
        <v>200</v>
      </c>
      <c r="L41" s="6">
        <f>Raw_data!K41</f>
        <v>47</v>
      </c>
      <c r="M41" s="6">
        <f>Raw_data!L41</f>
        <v>0</v>
      </c>
      <c r="N41" s="6">
        <f t="shared" si="1"/>
        <v>1140</v>
      </c>
      <c r="O41" s="6">
        <f t="shared" si="2"/>
        <v>247</v>
      </c>
      <c r="P41" s="6">
        <f t="shared" si="3"/>
        <v>1437</v>
      </c>
      <c r="Q41">
        <f t="shared" si="4"/>
        <v>1</v>
      </c>
      <c r="R41">
        <f t="shared" si="5"/>
        <v>2</v>
      </c>
    </row>
    <row r="42" spans="1:18" x14ac:dyDescent="0.25">
      <c r="A42">
        <f>Raw_data!A42</f>
        <v>41</v>
      </c>
      <c r="B42" t="str">
        <f>Raw_data!B42</f>
        <v>C8513</v>
      </c>
      <c r="C42" t="str">
        <f>Raw_data!C42</f>
        <v>R2095</v>
      </c>
      <c r="D42" s="3">
        <f>Raw_data!D42</f>
        <v>45293.068564814814</v>
      </c>
      <c r="E42" s="3">
        <f>Raw_data!E42</f>
        <v>45293.099120370367</v>
      </c>
      <c r="F42" s="4">
        <f t="shared" si="0"/>
        <v>3.0555555553291924E-2</v>
      </c>
      <c r="G42" s="6">
        <f>Raw_data!F42</f>
        <v>430</v>
      </c>
      <c r="H42" s="6">
        <f>Raw_data!G42</f>
        <v>50</v>
      </c>
      <c r="I42" t="str">
        <f>Raw_data!H42</f>
        <v>Digital Wallet</v>
      </c>
      <c r="J42" s="7" t="str">
        <f>IF(Raw_data!I42=0.1,"10%",Raw_data!I42)</f>
        <v>5% on App</v>
      </c>
      <c r="K42" s="6">
        <f>Raw_data!J42</f>
        <v>188</v>
      </c>
      <c r="L42" s="6">
        <f>Raw_data!K42</f>
        <v>45</v>
      </c>
      <c r="M42" s="6">
        <f>Raw_data!L42</f>
        <v>150</v>
      </c>
      <c r="N42" s="6">
        <f t="shared" si="1"/>
        <v>197</v>
      </c>
      <c r="O42" s="6">
        <f t="shared" si="2"/>
        <v>83</v>
      </c>
      <c r="P42" s="6">
        <f t="shared" si="3"/>
        <v>480</v>
      </c>
      <c r="Q42">
        <f t="shared" si="4"/>
        <v>1</v>
      </c>
      <c r="R42">
        <f t="shared" si="5"/>
        <v>1</v>
      </c>
    </row>
    <row r="43" spans="1:18" x14ac:dyDescent="0.25">
      <c r="A43">
        <f>Raw_data!A43</f>
        <v>42</v>
      </c>
      <c r="B43" t="str">
        <f>Raw_data!B43</f>
        <v>C3612</v>
      </c>
      <c r="C43" t="str">
        <f>Raw_data!C43</f>
        <v>R2087</v>
      </c>
      <c r="D43" s="3">
        <f>Raw_data!D43</f>
        <v>45318.859814814816</v>
      </c>
      <c r="E43" s="3">
        <f>Raw_data!E43</f>
        <v>45318.90425925926</v>
      </c>
      <c r="F43" s="4">
        <f t="shared" si="0"/>
        <v>4.4444444443797693E-2</v>
      </c>
      <c r="G43" s="6">
        <f>Raw_data!F43</f>
        <v>1305</v>
      </c>
      <c r="H43" s="6">
        <f>Raw_data!G43</f>
        <v>50</v>
      </c>
      <c r="I43" t="str">
        <f>Raw_data!H43</f>
        <v>Digital Wallet</v>
      </c>
      <c r="J43" s="7" t="str">
        <f>IF(Raw_data!I43=0.1,"10%",Raw_data!I43)</f>
        <v>10%</v>
      </c>
      <c r="K43" s="6">
        <f>Raw_data!J43</f>
        <v>165</v>
      </c>
      <c r="L43" s="6">
        <f>Raw_data!K43</f>
        <v>10</v>
      </c>
      <c r="M43" s="6">
        <f>Raw_data!L43</f>
        <v>0</v>
      </c>
      <c r="N43" s="6">
        <f t="shared" si="1"/>
        <v>1130</v>
      </c>
      <c r="O43" s="6">
        <f t="shared" si="2"/>
        <v>175</v>
      </c>
      <c r="P43" s="6">
        <f t="shared" si="3"/>
        <v>1355</v>
      </c>
      <c r="Q43">
        <f t="shared" si="4"/>
        <v>1</v>
      </c>
      <c r="R43">
        <f t="shared" si="5"/>
        <v>2</v>
      </c>
    </row>
    <row r="44" spans="1:18" x14ac:dyDescent="0.25">
      <c r="A44">
        <f>Raw_data!A44</f>
        <v>43</v>
      </c>
      <c r="B44" t="str">
        <f>Raw_data!B44</f>
        <v>C8041</v>
      </c>
      <c r="C44" t="str">
        <f>Raw_data!C44</f>
        <v>R2077</v>
      </c>
      <c r="D44" s="3">
        <f>Raw_data!D44</f>
        <v>45312.900555555556</v>
      </c>
      <c r="E44" s="3">
        <f>Raw_data!E44</f>
        <v>45312.954722222225</v>
      </c>
      <c r="F44" s="4">
        <f t="shared" si="0"/>
        <v>5.4166666668606922E-2</v>
      </c>
      <c r="G44" s="6">
        <f>Raw_data!F44</f>
        <v>992</v>
      </c>
      <c r="H44" s="6">
        <f>Raw_data!G44</f>
        <v>0</v>
      </c>
      <c r="I44" t="str">
        <f>Raw_data!H44</f>
        <v>Credit Card</v>
      </c>
      <c r="J44" s="7" t="str">
        <f>IF(Raw_data!I44=0.1,"10%",Raw_data!I44)</f>
        <v>10%</v>
      </c>
      <c r="K44" s="6">
        <f>Raw_data!J44</f>
        <v>142</v>
      </c>
      <c r="L44" s="6">
        <f>Raw_data!K44</f>
        <v>27</v>
      </c>
      <c r="M44" s="6">
        <f>Raw_data!L44</f>
        <v>0</v>
      </c>
      <c r="N44" s="6">
        <f t="shared" si="1"/>
        <v>823</v>
      </c>
      <c r="O44" s="6">
        <f t="shared" si="2"/>
        <v>169</v>
      </c>
      <c r="P44" s="6">
        <f t="shared" si="3"/>
        <v>992</v>
      </c>
      <c r="Q44">
        <f t="shared" si="4"/>
        <v>2</v>
      </c>
      <c r="R44">
        <f t="shared" si="5"/>
        <v>1</v>
      </c>
    </row>
    <row r="45" spans="1:18" x14ac:dyDescent="0.25">
      <c r="A45">
        <f>Raw_data!A45</f>
        <v>44</v>
      </c>
      <c r="B45" t="str">
        <f>Raw_data!B45</f>
        <v>C7235</v>
      </c>
      <c r="C45" t="str">
        <f>Raw_data!C45</f>
        <v>R2287</v>
      </c>
      <c r="D45" s="3">
        <f>Raw_data!D45</f>
        <v>45307.28434027778</v>
      </c>
      <c r="E45" s="3">
        <f>Raw_data!E45</f>
        <v>45307.334340277775</v>
      </c>
      <c r="F45" s="4">
        <f t="shared" si="0"/>
        <v>4.9999999995634425E-2</v>
      </c>
      <c r="G45" s="6">
        <f>Raw_data!F45</f>
        <v>1891</v>
      </c>
      <c r="H45" s="6">
        <f>Raw_data!G45</f>
        <v>20</v>
      </c>
      <c r="I45" t="str">
        <f>Raw_data!H45</f>
        <v>Cash on Delivery</v>
      </c>
      <c r="J45" s="7" t="str">
        <f>IF(Raw_data!I45=0.1,"10%",Raw_data!I45)</f>
        <v>10%</v>
      </c>
      <c r="K45" s="6">
        <f>Raw_data!J45</f>
        <v>91</v>
      </c>
      <c r="L45" s="6">
        <f>Raw_data!K45</f>
        <v>18</v>
      </c>
      <c r="M45" s="6">
        <f>Raw_data!L45</f>
        <v>0</v>
      </c>
      <c r="N45" s="6">
        <f t="shared" si="1"/>
        <v>1782</v>
      </c>
      <c r="O45" s="6">
        <f t="shared" si="2"/>
        <v>109</v>
      </c>
      <c r="P45" s="6">
        <f t="shared" si="3"/>
        <v>1911</v>
      </c>
      <c r="Q45">
        <f t="shared" si="4"/>
        <v>1</v>
      </c>
      <c r="R45">
        <f t="shared" si="5"/>
        <v>3</v>
      </c>
    </row>
    <row r="46" spans="1:18" x14ac:dyDescent="0.25">
      <c r="A46">
        <f>Raw_data!A46</f>
        <v>45</v>
      </c>
      <c r="B46" t="str">
        <f>Raw_data!B46</f>
        <v>C6486</v>
      </c>
      <c r="C46" t="str">
        <f>Raw_data!C46</f>
        <v>R2119</v>
      </c>
      <c r="D46" s="3">
        <f>Raw_data!D46</f>
        <v>45292.302719907406</v>
      </c>
      <c r="E46" s="3">
        <f>Raw_data!E46</f>
        <v>45292.351331018515</v>
      </c>
      <c r="F46" s="4">
        <f t="shared" si="0"/>
        <v>4.8611111109494232E-2</v>
      </c>
      <c r="G46" s="6">
        <f>Raw_data!F46</f>
        <v>1673</v>
      </c>
      <c r="H46" s="6">
        <f>Raw_data!G46</f>
        <v>40</v>
      </c>
      <c r="I46" t="str">
        <f>Raw_data!H46</f>
        <v>Credit Card</v>
      </c>
      <c r="J46" s="7" t="str">
        <f>IF(Raw_data!I46=0.1,"10%",Raw_data!I46)</f>
        <v>5% on App</v>
      </c>
      <c r="K46" s="6">
        <f>Raw_data!J46</f>
        <v>77</v>
      </c>
      <c r="L46" s="6">
        <f>Raw_data!K46</f>
        <v>22</v>
      </c>
      <c r="M46" s="6">
        <f>Raw_data!L46</f>
        <v>100</v>
      </c>
      <c r="N46" s="6">
        <f t="shared" si="1"/>
        <v>1574</v>
      </c>
      <c r="O46" s="6">
        <f t="shared" si="2"/>
        <v>-1</v>
      </c>
      <c r="P46" s="6">
        <f t="shared" si="3"/>
        <v>1713</v>
      </c>
      <c r="Q46">
        <f t="shared" si="4"/>
        <v>2</v>
      </c>
      <c r="R46">
        <f t="shared" si="5"/>
        <v>3</v>
      </c>
    </row>
    <row r="47" spans="1:18" x14ac:dyDescent="0.25">
      <c r="A47">
        <f>Raw_data!A47</f>
        <v>46</v>
      </c>
      <c r="B47" t="str">
        <f>Raw_data!B47</f>
        <v>C8099</v>
      </c>
      <c r="C47" t="str">
        <f>Raw_data!C47</f>
        <v>R2813</v>
      </c>
      <c r="D47" s="3">
        <f>Raw_data!D47</f>
        <v>45295.956192129626</v>
      </c>
      <c r="E47" s="3">
        <f>Raw_data!E47</f>
        <v>45296.002025462964</v>
      </c>
      <c r="F47" s="4">
        <f t="shared" si="0"/>
        <v>4.5833333337213844E-2</v>
      </c>
      <c r="G47" s="6">
        <f>Raw_data!F47</f>
        <v>787</v>
      </c>
      <c r="H47" s="6">
        <f>Raw_data!G47</f>
        <v>0</v>
      </c>
      <c r="I47" t="str">
        <f>Raw_data!H47</f>
        <v>Digital Wallet</v>
      </c>
      <c r="J47" s="7" t="str">
        <f>IF(Raw_data!I47=0.1,"10%",Raw_data!I47)</f>
        <v>10%</v>
      </c>
      <c r="K47" s="6">
        <f>Raw_data!J47</f>
        <v>172</v>
      </c>
      <c r="L47" s="6">
        <f>Raw_data!K47</f>
        <v>49</v>
      </c>
      <c r="M47" s="6">
        <f>Raw_data!L47</f>
        <v>0</v>
      </c>
      <c r="N47" s="6">
        <f t="shared" si="1"/>
        <v>566</v>
      </c>
      <c r="O47" s="6">
        <f t="shared" si="2"/>
        <v>221</v>
      </c>
      <c r="P47" s="6">
        <f t="shared" si="3"/>
        <v>787</v>
      </c>
      <c r="Q47">
        <f t="shared" si="4"/>
        <v>1</v>
      </c>
      <c r="R47">
        <f t="shared" si="5"/>
        <v>2</v>
      </c>
    </row>
    <row r="48" spans="1:18" x14ac:dyDescent="0.25">
      <c r="A48">
        <f>Raw_data!A48</f>
        <v>47</v>
      </c>
      <c r="B48" t="str">
        <f>Raw_data!B48</f>
        <v>C1775</v>
      </c>
      <c r="C48" t="str">
        <f>Raw_data!C48</f>
        <v>R2490</v>
      </c>
      <c r="D48" s="3">
        <f>Raw_data!D48</f>
        <v>45311.557349537034</v>
      </c>
      <c r="E48" s="3">
        <f>Raw_data!E48</f>
        <v>45311.617071759261</v>
      </c>
      <c r="F48" s="4">
        <f t="shared" si="0"/>
        <v>5.9722222227719612E-2</v>
      </c>
      <c r="G48" s="6">
        <f>Raw_data!F48</f>
        <v>126</v>
      </c>
      <c r="H48" s="6">
        <f>Raw_data!G48</f>
        <v>20</v>
      </c>
      <c r="I48" t="str">
        <f>Raw_data!H48</f>
        <v>Cash on Delivery</v>
      </c>
      <c r="J48" s="7" t="str">
        <f>IF(Raw_data!I48=0.1,"10%",Raw_data!I48)</f>
        <v>None</v>
      </c>
      <c r="K48" s="6">
        <f>Raw_data!J48</f>
        <v>73</v>
      </c>
      <c r="L48" s="6">
        <f>Raw_data!K48</f>
        <v>24</v>
      </c>
      <c r="M48" s="6">
        <f>Raw_data!L48</f>
        <v>150</v>
      </c>
      <c r="N48" s="6">
        <f t="shared" si="1"/>
        <v>29</v>
      </c>
      <c r="O48" s="6">
        <f t="shared" si="2"/>
        <v>-53</v>
      </c>
      <c r="P48" s="6">
        <f t="shared" si="3"/>
        <v>146</v>
      </c>
      <c r="Q48">
        <f t="shared" si="4"/>
        <v>1</v>
      </c>
      <c r="R48">
        <f t="shared" si="5"/>
        <v>2</v>
      </c>
    </row>
    <row r="49" spans="1:18" x14ac:dyDescent="0.25">
      <c r="A49">
        <f>Raw_data!A49</f>
        <v>48</v>
      </c>
      <c r="B49" t="str">
        <f>Raw_data!B49</f>
        <v>C9226</v>
      </c>
      <c r="C49" t="str">
        <f>Raw_data!C49</f>
        <v>R2911</v>
      </c>
      <c r="D49" s="3">
        <f>Raw_data!D49</f>
        <v>45297.329791666663</v>
      </c>
      <c r="E49" s="3">
        <f>Raw_data!E49</f>
        <v>45297.37909722222</v>
      </c>
      <c r="F49" s="4">
        <f t="shared" si="0"/>
        <v>4.9305555556202307E-2</v>
      </c>
      <c r="G49" s="6">
        <f>Raw_data!F49</f>
        <v>1399</v>
      </c>
      <c r="H49" s="6">
        <f>Raw_data!G49</f>
        <v>20</v>
      </c>
      <c r="I49" t="str">
        <f>Raw_data!H49</f>
        <v>Digital Wallet</v>
      </c>
      <c r="J49" s="7" t="str">
        <f>IF(Raw_data!I49=0.1,"10%",Raw_data!I49)</f>
        <v>5% on App</v>
      </c>
      <c r="K49" s="6">
        <f>Raw_data!J49</f>
        <v>185</v>
      </c>
      <c r="L49" s="6">
        <f>Raw_data!K49</f>
        <v>13</v>
      </c>
      <c r="M49" s="6">
        <f>Raw_data!L49</f>
        <v>0</v>
      </c>
      <c r="N49" s="6">
        <f t="shared" si="1"/>
        <v>1201</v>
      </c>
      <c r="O49" s="6">
        <f t="shared" si="2"/>
        <v>198</v>
      </c>
      <c r="P49" s="6">
        <f t="shared" si="3"/>
        <v>1419</v>
      </c>
      <c r="Q49">
        <f t="shared" si="4"/>
        <v>1</v>
      </c>
      <c r="R49">
        <f t="shared" si="5"/>
        <v>1</v>
      </c>
    </row>
    <row r="50" spans="1:18" x14ac:dyDescent="0.25">
      <c r="A50">
        <f>Raw_data!A50</f>
        <v>49</v>
      </c>
      <c r="B50" t="str">
        <f>Raw_data!B50</f>
        <v>C4152</v>
      </c>
      <c r="C50" t="str">
        <f>Raw_data!C50</f>
        <v>R2451</v>
      </c>
      <c r="D50" s="3">
        <f>Raw_data!D50</f>
        <v>45318.001539351855</v>
      </c>
      <c r="E50" s="3">
        <f>Raw_data!E50</f>
        <v>45318.05431712963</v>
      </c>
      <c r="F50" s="4">
        <f t="shared" si="0"/>
        <v>5.2777777775190771E-2</v>
      </c>
      <c r="G50" s="6">
        <f>Raw_data!F50</f>
        <v>1775</v>
      </c>
      <c r="H50" s="6">
        <f>Raw_data!G50</f>
        <v>30</v>
      </c>
      <c r="I50" t="str">
        <f>Raw_data!H50</f>
        <v>Cash on Delivery</v>
      </c>
      <c r="J50" s="7" t="str">
        <f>IF(Raw_data!I50=0.1,"10%",Raw_data!I50)</f>
        <v>None</v>
      </c>
      <c r="K50" s="6">
        <f>Raw_data!J50</f>
        <v>155</v>
      </c>
      <c r="L50" s="6">
        <f>Raw_data!K50</f>
        <v>42</v>
      </c>
      <c r="M50" s="6">
        <f>Raw_data!L50</f>
        <v>50</v>
      </c>
      <c r="N50" s="6">
        <f t="shared" si="1"/>
        <v>1578</v>
      </c>
      <c r="O50" s="6">
        <f t="shared" si="2"/>
        <v>147</v>
      </c>
      <c r="P50" s="6">
        <f t="shared" si="3"/>
        <v>1805</v>
      </c>
      <c r="Q50">
        <f t="shared" si="4"/>
        <v>1</v>
      </c>
      <c r="R50">
        <f t="shared" si="5"/>
        <v>1</v>
      </c>
    </row>
    <row r="51" spans="1:18" x14ac:dyDescent="0.25">
      <c r="A51">
        <f>Raw_data!A51</f>
        <v>50</v>
      </c>
      <c r="B51" t="str">
        <f>Raw_data!B51</f>
        <v>C2585</v>
      </c>
      <c r="C51" t="str">
        <f>Raw_data!C51</f>
        <v>R2499</v>
      </c>
      <c r="D51" s="3">
        <f>Raw_data!D51</f>
        <v>45329.93309027778</v>
      </c>
      <c r="E51" s="3">
        <f>Raw_data!E51</f>
        <v>45329.99559027778</v>
      </c>
      <c r="F51" s="4">
        <f t="shared" si="0"/>
        <v>6.25E-2</v>
      </c>
      <c r="G51" s="6">
        <f>Raw_data!F51</f>
        <v>398</v>
      </c>
      <c r="H51" s="6">
        <f>Raw_data!G51</f>
        <v>30</v>
      </c>
      <c r="I51" t="str">
        <f>Raw_data!H51</f>
        <v>Digital Wallet</v>
      </c>
      <c r="J51" s="7" t="str">
        <f>IF(Raw_data!I51=0.1,"10%",Raw_data!I51)</f>
        <v>15% New User</v>
      </c>
      <c r="K51" s="6">
        <f>Raw_data!J51</f>
        <v>167</v>
      </c>
      <c r="L51" s="6">
        <f>Raw_data!K51</f>
        <v>33</v>
      </c>
      <c r="M51" s="6">
        <f>Raw_data!L51</f>
        <v>0</v>
      </c>
      <c r="N51" s="6">
        <f t="shared" si="1"/>
        <v>198</v>
      </c>
      <c r="O51" s="6">
        <f t="shared" si="2"/>
        <v>200</v>
      </c>
      <c r="P51" s="6">
        <f t="shared" si="3"/>
        <v>428</v>
      </c>
      <c r="Q51">
        <f t="shared" si="4"/>
        <v>1</v>
      </c>
      <c r="R51">
        <f t="shared" si="5"/>
        <v>2</v>
      </c>
    </row>
    <row r="52" spans="1:18" x14ac:dyDescent="0.25">
      <c r="A52">
        <f>Raw_data!A52</f>
        <v>51</v>
      </c>
      <c r="B52" t="str">
        <f>Raw_data!B52</f>
        <v>C4943</v>
      </c>
      <c r="C52" t="str">
        <f>Raw_data!C52</f>
        <v>R2164</v>
      </c>
      <c r="D52" s="3">
        <f>Raw_data!D52</f>
        <v>45321.403657407405</v>
      </c>
      <c r="E52" s="3">
        <f>Raw_data!E52</f>
        <v>45321.433518518519</v>
      </c>
      <c r="F52" s="4">
        <f t="shared" si="0"/>
        <v>2.9861111113859806E-2</v>
      </c>
      <c r="G52" s="6">
        <f>Raw_data!F52</f>
        <v>1056</v>
      </c>
      <c r="H52" s="6">
        <f>Raw_data!G52</f>
        <v>0</v>
      </c>
      <c r="I52" t="str">
        <f>Raw_data!H52</f>
        <v>Cash on Delivery</v>
      </c>
      <c r="J52" s="7" t="str">
        <f>IF(Raw_data!I52=0.1,"10%",Raw_data!I52)</f>
        <v>5% on App</v>
      </c>
      <c r="K52" s="6">
        <f>Raw_data!J52</f>
        <v>102</v>
      </c>
      <c r="L52" s="6">
        <f>Raw_data!K52</f>
        <v>45</v>
      </c>
      <c r="M52" s="6">
        <f>Raw_data!L52</f>
        <v>0</v>
      </c>
      <c r="N52" s="6">
        <f t="shared" si="1"/>
        <v>909</v>
      </c>
      <c r="O52" s="6">
        <f t="shared" si="2"/>
        <v>147</v>
      </c>
      <c r="P52" s="6">
        <f t="shared" si="3"/>
        <v>1056</v>
      </c>
      <c r="Q52">
        <f t="shared" si="4"/>
        <v>1</v>
      </c>
      <c r="R52">
        <f t="shared" si="5"/>
        <v>1</v>
      </c>
    </row>
    <row r="53" spans="1:18" x14ac:dyDescent="0.25">
      <c r="A53">
        <f>Raw_data!A53</f>
        <v>52</v>
      </c>
      <c r="B53" t="str">
        <f>Raw_data!B53</f>
        <v>C8555</v>
      </c>
      <c r="C53" t="str">
        <f>Raw_data!C53</f>
        <v>R2181</v>
      </c>
      <c r="D53" s="3">
        <f>Raw_data!D53</f>
        <v>45292.401701388888</v>
      </c>
      <c r="E53" s="3">
        <f>Raw_data!E53</f>
        <v>45292.4690625</v>
      </c>
      <c r="F53" s="4">
        <f t="shared" si="0"/>
        <v>6.7361111112404615E-2</v>
      </c>
      <c r="G53" s="6">
        <f>Raw_data!F53</f>
        <v>898</v>
      </c>
      <c r="H53" s="6">
        <f>Raw_data!G53</f>
        <v>30</v>
      </c>
      <c r="I53" t="str">
        <f>Raw_data!H53</f>
        <v>Cash on Delivery</v>
      </c>
      <c r="J53" s="7" t="str">
        <f>IF(Raw_data!I53=0.1,"10%",Raw_data!I53)</f>
        <v>15% New User</v>
      </c>
      <c r="K53" s="6">
        <f>Raw_data!J53</f>
        <v>181</v>
      </c>
      <c r="L53" s="6">
        <f>Raw_data!K53</f>
        <v>50</v>
      </c>
      <c r="M53" s="6">
        <f>Raw_data!L53</f>
        <v>0</v>
      </c>
      <c r="N53" s="6">
        <f t="shared" si="1"/>
        <v>667</v>
      </c>
      <c r="O53" s="6">
        <f t="shared" si="2"/>
        <v>231</v>
      </c>
      <c r="P53" s="6">
        <f t="shared" si="3"/>
        <v>928</v>
      </c>
      <c r="Q53">
        <f t="shared" si="4"/>
        <v>1</v>
      </c>
      <c r="R53">
        <f t="shared" si="5"/>
        <v>1</v>
      </c>
    </row>
    <row r="54" spans="1:18" x14ac:dyDescent="0.25">
      <c r="A54">
        <f>Raw_data!A54</f>
        <v>53</v>
      </c>
      <c r="B54" t="str">
        <f>Raw_data!B54</f>
        <v>C4073</v>
      </c>
      <c r="C54" t="str">
        <f>Raw_data!C54</f>
        <v>R2468</v>
      </c>
      <c r="D54" s="3">
        <f>Raw_data!D54</f>
        <v>45302.854641203703</v>
      </c>
      <c r="E54" s="3">
        <f>Raw_data!E54</f>
        <v>45302.911585648151</v>
      </c>
      <c r="F54" s="4">
        <f t="shared" si="0"/>
        <v>5.6944444448163267E-2</v>
      </c>
      <c r="G54" s="6">
        <f>Raw_data!F54</f>
        <v>1214</v>
      </c>
      <c r="H54" s="6">
        <f>Raw_data!G54</f>
        <v>20</v>
      </c>
      <c r="I54" t="str">
        <f>Raw_data!H54</f>
        <v>Cash on Delivery</v>
      </c>
      <c r="J54" s="7" t="str">
        <f>IF(Raw_data!I54=0.1,"10%",Raw_data!I54)</f>
        <v>10%</v>
      </c>
      <c r="K54" s="6">
        <f>Raw_data!J54</f>
        <v>149</v>
      </c>
      <c r="L54" s="6">
        <f>Raw_data!K54</f>
        <v>19</v>
      </c>
      <c r="M54" s="6">
        <f>Raw_data!L54</f>
        <v>0</v>
      </c>
      <c r="N54" s="6">
        <f t="shared" si="1"/>
        <v>1046</v>
      </c>
      <c r="O54" s="6">
        <f t="shared" si="2"/>
        <v>168</v>
      </c>
      <c r="P54" s="6">
        <f t="shared" si="3"/>
        <v>1234</v>
      </c>
      <c r="Q54">
        <f t="shared" si="4"/>
        <v>1</v>
      </c>
      <c r="R54">
        <f t="shared" si="5"/>
        <v>1</v>
      </c>
    </row>
    <row r="55" spans="1:18" x14ac:dyDescent="0.25">
      <c r="A55">
        <f>Raw_data!A55</f>
        <v>54</v>
      </c>
      <c r="B55" t="str">
        <f>Raw_data!B55</f>
        <v>C2021</v>
      </c>
      <c r="C55" t="str">
        <f>Raw_data!C55</f>
        <v>R2909</v>
      </c>
      <c r="D55" s="3">
        <f>Raw_data!D55</f>
        <v>45310.137187499997</v>
      </c>
      <c r="E55" s="3">
        <f>Raw_data!E55</f>
        <v>45310.21565972222</v>
      </c>
      <c r="F55" s="4">
        <f t="shared" si="0"/>
        <v>7.8472222223354038E-2</v>
      </c>
      <c r="G55" s="6">
        <f>Raw_data!F55</f>
        <v>579</v>
      </c>
      <c r="H55" s="6">
        <f>Raw_data!G55</f>
        <v>30</v>
      </c>
      <c r="I55" t="str">
        <f>Raw_data!H55</f>
        <v>Cash on Delivery</v>
      </c>
      <c r="J55" s="7" t="str">
        <f>IF(Raw_data!I55=0.1,"10%",Raw_data!I55)</f>
        <v>10%</v>
      </c>
      <c r="K55" s="6">
        <f>Raw_data!J55</f>
        <v>54</v>
      </c>
      <c r="L55" s="6">
        <f>Raw_data!K55</f>
        <v>45</v>
      </c>
      <c r="M55" s="6">
        <f>Raw_data!L55</f>
        <v>50</v>
      </c>
      <c r="N55" s="6">
        <f t="shared" si="1"/>
        <v>480</v>
      </c>
      <c r="O55" s="6">
        <f t="shared" si="2"/>
        <v>49</v>
      </c>
      <c r="P55" s="6">
        <f t="shared" si="3"/>
        <v>609</v>
      </c>
      <c r="Q55">
        <f t="shared" si="4"/>
        <v>1</v>
      </c>
      <c r="R55">
        <f t="shared" si="5"/>
        <v>2</v>
      </c>
    </row>
    <row r="56" spans="1:18" x14ac:dyDescent="0.25">
      <c r="A56">
        <f>Raw_data!A56</f>
        <v>55</v>
      </c>
      <c r="B56" t="str">
        <f>Raw_data!B56</f>
        <v>C4843</v>
      </c>
      <c r="C56" t="str">
        <f>Raw_data!C56</f>
        <v>R2734</v>
      </c>
      <c r="D56" s="3">
        <f>Raw_data!D56</f>
        <v>45314.182233796295</v>
      </c>
      <c r="E56" s="3">
        <f>Raw_data!E56</f>
        <v>45314.225983796299</v>
      </c>
      <c r="F56" s="4">
        <f t="shared" si="0"/>
        <v>4.3750000004365575E-2</v>
      </c>
      <c r="G56" s="6">
        <f>Raw_data!F56</f>
        <v>672</v>
      </c>
      <c r="H56" s="6">
        <f>Raw_data!G56</f>
        <v>50</v>
      </c>
      <c r="I56" t="str">
        <f>Raw_data!H56</f>
        <v>Digital Wallet</v>
      </c>
      <c r="J56" s="7" t="str">
        <f>IF(Raw_data!I56=0.1,"10%",Raw_data!I56)</f>
        <v>50 off Promo</v>
      </c>
      <c r="K56" s="6">
        <f>Raw_data!J56</f>
        <v>98</v>
      </c>
      <c r="L56" s="6">
        <f>Raw_data!K56</f>
        <v>29</v>
      </c>
      <c r="M56" s="6">
        <f>Raw_data!L56</f>
        <v>0</v>
      </c>
      <c r="N56" s="6">
        <f t="shared" si="1"/>
        <v>545</v>
      </c>
      <c r="O56" s="6">
        <f t="shared" si="2"/>
        <v>127</v>
      </c>
      <c r="P56" s="6">
        <f t="shared" si="3"/>
        <v>722</v>
      </c>
      <c r="Q56">
        <f t="shared" si="4"/>
        <v>1</v>
      </c>
      <c r="R56">
        <f t="shared" si="5"/>
        <v>1</v>
      </c>
    </row>
    <row r="57" spans="1:18" x14ac:dyDescent="0.25">
      <c r="A57">
        <f>Raw_data!A57</f>
        <v>56</v>
      </c>
      <c r="B57" t="str">
        <f>Raw_data!B57</f>
        <v>C8989</v>
      </c>
      <c r="C57" t="str">
        <f>Raw_data!C57</f>
        <v>R2822</v>
      </c>
      <c r="D57" s="3">
        <f>Raw_data!D57</f>
        <v>45324.915972222225</v>
      </c>
      <c r="E57" s="3">
        <f>Raw_data!E57</f>
        <v>45324.988888888889</v>
      </c>
      <c r="F57" s="4">
        <f t="shared" si="0"/>
        <v>7.2916666664241347E-2</v>
      </c>
      <c r="G57" s="6">
        <f>Raw_data!F57</f>
        <v>557</v>
      </c>
      <c r="H57" s="6">
        <f>Raw_data!G57</f>
        <v>30</v>
      </c>
      <c r="I57" t="str">
        <f>Raw_data!H57</f>
        <v>Digital Wallet</v>
      </c>
      <c r="J57" s="7" t="str">
        <f>IF(Raw_data!I57=0.1,"10%",Raw_data!I57)</f>
        <v>10%</v>
      </c>
      <c r="K57" s="6">
        <f>Raw_data!J57</f>
        <v>147</v>
      </c>
      <c r="L57" s="6">
        <f>Raw_data!K57</f>
        <v>50</v>
      </c>
      <c r="M57" s="6">
        <f>Raw_data!L57</f>
        <v>0</v>
      </c>
      <c r="N57" s="6">
        <f t="shared" si="1"/>
        <v>360</v>
      </c>
      <c r="O57" s="6">
        <f t="shared" si="2"/>
        <v>197</v>
      </c>
      <c r="P57" s="6">
        <f t="shared" si="3"/>
        <v>587</v>
      </c>
      <c r="Q57">
        <f t="shared" si="4"/>
        <v>1</v>
      </c>
      <c r="R57">
        <f t="shared" si="5"/>
        <v>2</v>
      </c>
    </row>
    <row r="58" spans="1:18" x14ac:dyDescent="0.25">
      <c r="A58">
        <f>Raw_data!A58</f>
        <v>57</v>
      </c>
      <c r="B58" t="str">
        <f>Raw_data!B58</f>
        <v>C7873</v>
      </c>
      <c r="C58" t="str">
        <f>Raw_data!C58</f>
        <v>R2943</v>
      </c>
      <c r="D58" s="3">
        <f>Raw_data!D58</f>
        <v>45296.089108796295</v>
      </c>
      <c r="E58" s="3">
        <f>Raw_data!E58</f>
        <v>45296.125914351855</v>
      </c>
      <c r="F58" s="4">
        <f t="shared" si="0"/>
        <v>3.680555555911269E-2</v>
      </c>
      <c r="G58" s="6">
        <f>Raw_data!F58</f>
        <v>1574</v>
      </c>
      <c r="H58" s="6">
        <f>Raw_data!G58</f>
        <v>20</v>
      </c>
      <c r="I58" t="str">
        <f>Raw_data!H58</f>
        <v>Cash on Delivery</v>
      </c>
      <c r="J58" s="7" t="str">
        <f>IF(Raw_data!I58=0.1,"10%",Raw_data!I58)</f>
        <v>15% New User</v>
      </c>
      <c r="K58" s="6">
        <f>Raw_data!J58</f>
        <v>79</v>
      </c>
      <c r="L58" s="6">
        <f>Raw_data!K58</f>
        <v>20</v>
      </c>
      <c r="M58" s="6">
        <f>Raw_data!L58</f>
        <v>0</v>
      </c>
      <c r="N58" s="6">
        <f t="shared" si="1"/>
        <v>1475</v>
      </c>
      <c r="O58" s="6">
        <f t="shared" si="2"/>
        <v>99</v>
      </c>
      <c r="P58" s="6">
        <f t="shared" si="3"/>
        <v>1594</v>
      </c>
      <c r="Q58">
        <f t="shared" si="4"/>
        <v>1</v>
      </c>
      <c r="R58">
        <f t="shared" si="5"/>
        <v>2</v>
      </c>
    </row>
    <row r="59" spans="1:18" x14ac:dyDescent="0.25">
      <c r="A59">
        <f>Raw_data!A59</f>
        <v>58</v>
      </c>
      <c r="B59" t="str">
        <f>Raw_data!B59</f>
        <v>C6675</v>
      </c>
      <c r="C59" t="str">
        <f>Raw_data!C59</f>
        <v>R2977</v>
      </c>
      <c r="D59" s="3">
        <f>Raw_data!D59</f>
        <v>45305.970694444448</v>
      </c>
      <c r="E59" s="3">
        <f>Raw_data!E59</f>
        <v>45306.00472222222</v>
      </c>
      <c r="F59" s="4">
        <f t="shared" si="0"/>
        <v>3.4027777772280388E-2</v>
      </c>
      <c r="G59" s="6">
        <f>Raw_data!F59</f>
        <v>464</v>
      </c>
      <c r="H59" s="6">
        <f>Raw_data!G59</f>
        <v>0</v>
      </c>
      <c r="I59" t="str">
        <f>Raw_data!H59</f>
        <v>Cash on Delivery</v>
      </c>
      <c r="J59" s="7" t="str">
        <f>IF(Raw_data!I59=0.1,"10%",Raw_data!I59)</f>
        <v>10%</v>
      </c>
      <c r="K59" s="6">
        <f>Raw_data!J59</f>
        <v>121</v>
      </c>
      <c r="L59" s="6">
        <f>Raw_data!K59</f>
        <v>21</v>
      </c>
      <c r="M59" s="6">
        <f>Raw_data!L59</f>
        <v>0</v>
      </c>
      <c r="N59" s="6">
        <f t="shared" si="1"/>
        <v>322</v>
      </c>
      <c r="O59" s="6">
        <f t="shared" si="2"/>
        <v>142</v>
      </c>
      <c r="P59" s="6">
        <f t="shared" si="3"/>
        <v>464</v>
      </c>
      <c r="Q59">
        <f t="shared" si="4"/>
        <v>1</v>
      </c>
      <c r="R59">
        <f t="shared" si="5"/>
        <v>2</v>
      </c>
    </row>
    <row r="60" spans="1:18" x14ac:dyDescent="0.25">
      <c r="A60">
        <f>Raw_data!A60</f>
        <v>59</v>
      </c>
      <c r="B60" t="str">
        <f>Raw_data!B60</f>
        <v>C1161</v>
      </c>
      <c r="C60" t="str">
        <f>Raw_data!C60</f>
        <v>R2006</v>
      </c>
      <c r="D60" s="3">
        <f>Raw_data!D60</f>
        <v>45309.623703703706</v>
      </c>
      <c r="E60" s="3">
        <f>Raw_data!E60</f>
        <v>45309.691759259258</v>
      </c>
      <c r="F60" s="4">
        <f t="shared" si="0"/>
        <v>6.8055555551836733E-2</v>
      </c>
      <c r="G60" s="6">
        <f>Raw_data!F60</f>
        <v>958</v>
      </c>
      <c r="H60" s="6">
        <f>Raw_data!G60</f>
        <v>40</v>
      </c>
      <c r="I60" t="str">
        <f>Raw_data!H60</f>
        <v>Digital Wallet</v>
      </c>
      <c r="J60" s="7" t="str">
        <f>IF(Raw_data!I60=0.1,"10%",Raw_data!I60)</f>
        <v>5% on App</v>
      </c>
      <c r="K60" s="6">
        <f>Raw_data!J60</f>
        <v>152</v>
      </c>
      <c r="L60" s="6">
        <f>Raw_data!K60</f>
        <v>27</v>
      </c>
      <c r="M60" s="6">
        <f>Raw_data!L60</f>
        <v>50</v>
      </c>
      <c r="N60" s="6">
        <f t="shared" si="1"/>
        <v>779</v>
      </c>
      <c r="O60" s="6">
        <f t="shared" si="2"/>
        <v>129</v>
      </c>
      <c r="P60" s="6">
        <f t="shared" si="3"/>
        <v>998</v>
      </c>
      <c r="Q60">
        <f t="shared" si="4"/>
        <v>1</v>
      </c>
      <c r="R60">
        <f t="shared" si="5"/>
        <v>4</v>
      </c>
    </row>
    <row r="61" spans="1:18" x14ac:dyDescent="0.25">
      <c r="A61">
        <f>Raw_data!A61</f>
        <v>60</v>
      </c>
      <c r="B61" t="str">
        <f>Raw_data!B61</f>
        <v>C5297</v>
      </c>
      <c r="C61" t="str">
        <f>Raw_data!C61</f>
        <v>R2329</v>
      </c>
      <c r="D61" s="3">
        <f>Raw_data!D61</f>
        <v>45293.968773148146</v>
      </c>
      <c r="E61" s="3">
        <f>Raw_data!E61</f>
        <v>45294.009745370371</v>
      </c>
      <c r="F61" s="4">
        <f t="shared" si="0"/>
        <v>4.0972222224809229E-2</v>
      </c>
      <c r="G61" s="6">
        <f>Raw_data!F61</f>
        <v>1798</v>
      </c>
      <c r="H61" s="6">
        <f>Raw_data!G61</f>
        <v>30</v>
      </c>
      <c r="I61" t="str">
        <f>Raw_data!H61</f>
        <v>Cash on Delivery</v>
      </c>
      <c r="J61" s="7" t="str">
        <f>IF(Raw_data!I61=0.1,"10%",Raw_data!I61)</f>
        <v>10%</v>
      </c>
      <c r="K61" s="6">
        <f>Raw_data!J61</f>
        <v>112</v>
      </c>
      <c r="L61" s="6">
        <f>Raw_data!K61</f>
        <v>39</v>
      </c>
      <c r="M61" s="6">
        <f>Raw_data!L61</f>
        <v>100</v>
      </c>
      <c r="N61" s="6">
        <f t="shared" si="1"/>
        <v>1647</v>
      </c>
      <c r="O61" s="6">
        <f t="shared" si="2"/>
        <v>51</v>
      </c>
      <c r="P61" s="6">
        <f t="shared" si="3"/>
        <v>1828</v>
      </c>
      <c r="Q61">
        <f t="shared" si="4"/>
        <v>1</v>
      </c>
      <c r="R61">
        <f t="shared" si="5"/>
        <v>3</v>
      </c>
    </row>
    <row r="62" spans="1:18" x14ac:dyDescent="0.25">
      <c r="A62">
        <f>Raw_data!A62</f>
        <v>61</v>
      </c>
      <c r="B62" t="str">
        <f>Raw_data!B62</f>
        <v>C1995</v>
      </c>
      <c r="C62" t="str">
        <f>Raw_data!C62</f>
        <v>R2774</v>
      </c>
      <c r="D62" s="3">
        <f>Raw_data!D62</f>
        <v>45296.563356481478</v>
      </c>
      <c r="E62" s="3">
        <f>Raw_data!E62</f>
        <v>45296.644606481481</v>
      </c>
      <c r="F62" s="4">
        <f t="shared" si="0"/>
        <v>8.1250000002910383E-2</v>
      </c>
      <c r="G62" s="6">
        <f>Raw_data!F62</f>
        <v>450</v>
      </c>
      <c r="H62" s="6">
        <f>Raw_data!G62</f>
        <v>20</v>
      </c>
      <c r="I62" t="str">
        <f>Raw_data!H62</f>
        <v>Cash on Delivery</v>
      </c>
      <c r="J62" s="7" t="str">
        <f>IF(Raw_data!I62=0.1,"10%",Raw_data!I62)</f>
        <v>50 off Promo</v>
      </c>
      <c r="K62" s="6">
        <f>Raw_data!J62</f>
        <v>75</v>
      </c>
      <c r="L62" s="6">
        <f>Raw_data!K62</f>
        <v>46</v>
      </c>
      <c r="M62" s="6">
        <f>Raw_data!L62</f>
        <v>0</v>
      </c>
      <c r="N62" s="6">
        <f t="shared" si="1"/>
        <v>329</v>
      </c>
      <c r="O62" s="6">
        <f t="shared" si="2"/>
        <v>121</v>
      </c>
      <c r="P62" s="6">
        <f t="shared" si="3"/>
        <v>470</v>
      </c>
      <c r="Q62">
        <f t="shared" si="4"/>
        <v>1</v>
      </c>
      <c r="R62">
        <f t="shared" si="5"/>
        <v>1</v>
      </c>
    </row>
    <row r="63" spans="1:18" x14ac:dyDescent="0.25">
      <c r="A63">
        <f>Raw_data!A63</f>
        <v>62</v>
      </c>
      <c r="B63" t="str">
        <f>Raw_data!B63</f>
        <v>C8629</v>
      </c>
      <c r="C63" t="str">
        <f>Raw_data!C63</f>
        <v>R2672</v>
      </c>
      <c r="D63" s="3">
        <f>Raw_data!D63</f>
        <v>45294.514872685184</v>
      </c>
      <c r="E63" s="3">
        <f>Raw_data!E63</f>
        <v>45294.539872685185</v>
      </c>
      <c r="F63" s="4">
        <f t="shared" si="0"/>
        <v>2.5000000001455192E-2</v>
      </c>
      <c r="G63" s="6">
        <f>Raw_data!F63</f>
        <v>1778</v>
      </c>
      <c r="H63" s="6">
        <f>Raw_data!G63</f>
        <v>40</v>
      </c>
      <c r="I63" t="str">
        <f>Raw_data!H63</f>
        <v>Cash on Delivery</v>
      </c>
      <c r="J63" s="7" t="str">
        <f>IF(Raw_data!I63=0.1,"10%",Raw_data!I63)</f>
        <v>10%</v>
      </c>
      <c r="K63" s="6">
        <f>Raw_data!J63</f>
        <v>86</v>
      </c>
      <c r="L63" s="6">
        <f>Raw_data!K63</f>
        <v>29</v>
      </c>
      <c r="M63" s="6">
        <f>Raw_data!L63</f>
        <v>0</v>
      </c>
      <c r="N63" s="6">
        <f t="shared" si="1"/>
        <v>1663</v>
      </c>
      <c r="O63" s="6">
        <f t="shared" si="2"/>
        <v>115</v>
      </c>
      <c r="P63" s="6">
        <f t="shared" si="3"/>
        <v>1818</v>
      </c>
      <c r="Q63">
        <f t="shared" si="4"/>
        <v>1</v>
      </c>
      <c r="R63">
        <f t="shared" si="5"/>
        <v>2</v>
      </c>
    </row>
    <row r="64" spans="1:18" x14ac:dyDescent="0.25">
      <c r="A64">
        <f>Raw_data!A64</f>
        <v>63</v>
      </c>
      <c r="B64" t="str">
        <f>Raw_data!B64</f>
        <v>C2016</v>
      </c>
      <c r="C64" t="str">
        <f>Raw_data!C64</f>
        <v>R2150</v>
      </c>
      <c r="D64" s="3">
        <f>Raw_data!D64</f>
        <v>45308.05300925926</v>
      </c>
      <c r="E64" s="3">
        <f>Raw_data!E64</f>
        <v>45308.09814814815</v>
      </c>
      <c r="F64" s="4">
        <f t="shared" si="0"/>
        <v>4.5138888890505768E-2</v>
      </c>
      <c r="G64" s="6">
        <f>Raw_data!F64</f>
        <v>1523</v>
      </c>
      <c r="H64" s="6">
        <f>Raw_data!G64</f>
        <v>40</v>
      </c>
      <c r="I64" t="str">
        <f>Raw_data!H64</f>
        <v>Credit Card</v>
      </c>
      <c r="J64" s="7" t="str">
        <f>IF(Raw_data!I64=0.1,"10%",Raw_data!I64)</f>
        <v>15% New User</v>
      </c>
      <c r="K64" s="6">
        <f>Raw_data!J64</f>
        <v>56</v>
      </c>
      <c r="L64" s="6">
        <f>Raw_data!K64</f>
        <v>34</v>
      </c>
      <c r="M64" s="6">
        <f>Raw_data!L64</f>
        <v>0</v>
      </c>
      <c r="N64" s="6">
        <f t="shared" si="1"/>
        <v>1433</v>
      </c>
      <c r="O64" s="6">
        <f t="shared" si="2"/>
        <v>90</v>
      </c>
      <c r="P64" s="6">
        <f t="shared" si="3"/>
        <v>1563</v>
      </c>
      <c r="Q64">
        <f t="shared" si="4"/>
        <v>1</v>
      </c>
      <c r="R64">
        <f t="shared" si="5"/>
        <v>1</v>
      </c>
    </row>
    <row r="65" spans="1:18" x14ac:dyDescent="0.25">
      <c r="A65">
        <f>Raw_data!A65</f>
        <v>64</v>
      </c>
      <c r="B65" t="str">
        <f>Raw_data!B65</f>
        <v>C8869</v>
      </c>
      <c r="C65" t="str">
        <f>Raw_data!C65</f>
        <v>R2084</v>
      </c>
      <c r="D65" s="3">
        <f>Raw_data!D65</f>
        <v>45305.982083333336</v>
      </c>
      <c r="E65" s="3">
        <f>Raw_data!E65</f>
        <v>45306.028611111113</v>
      </c>
      <c r="F65" s="4">
        <f t="shared" si="0"/>
        <v>4.6527777776645962E-2</v>
      </c>
      <c r="G65" s="6">
        <f>Raw_data!F65</f>
        <v>352</v>
      </c>
      <c r="H65" s="6">
        <f>Raw_data!G65</f>
        <v>50</v>
      </c>
      <c r="I65" t="str">
        <f>Raw_data!H65</f>
        <v>Cash on Delivery</v>
      </c>
      <c r="J65" s="7" t="str">
        <f>IF(Raw_data!I65=0.1,"10%",Raw_data!I65)</f>
        <v>15% New User</v>
      </c>
      <c r="K65" s="6">
        <f>Raw_data!J65</f>
        <v>176</v>
      </c>
      <c r="L65" s="6">
        <f>Raw_data!K65</f>
        <v>21</v>
      </c>
      <c r="M65" s="6">
        <f>Raw_data!L65</f>
        <v>150</v>
      </c>
      <c r="N65" s="6">
        <f t="shared" si="1"/>
        <v>155</v>
      </c>
      <c r="O65" s="6">
        <f t="shared" si="2"/>
        <v>47</v>
      </c>
      <c r="P65" s="6">
        <f t="shared" si="3"/>
        <v>402</v>
      </c>
      <c r="Q65">
        <f t="shared" si="4"/>
        <v>1</v>
      </c>
      <c r="R65">
        <f t="shared" si="5"/>
        <v>1</v>
      </c>
    </row>
    <row r="66" spans="1:18" x14ac:dyDescent="0.25">
      <c r="A66">
        <f>Raw_data!A66</f>
        <v>65</v>
      </c>
      <c r="B66" t="str">
        <f>Raw_data!B66</f>
        <v>C7439</v>
      </c>
      <c r="C66" t="str">
        <f>Raw_data!C66</f>
        <v>R2146</v>
      </c>
      <c r="D66" s="3">
        <f>Raw_data!D66</f>
        <v>45325.055486111109</v>
      </c>
      <c r="E66" s="3">
        <f>Raw_data!E66</f>
        <v>45325.131180555552</v>
      </c>
      <c r="F66" s="4">
        <f t="shared" si="0"/>
        <v>7.5694444443797693E-2</v>
      </c>
      <c r="G66" s="6">
        <f>Raw_data!F66</f>
        <v>880</v>
      </c>
      <c r="H66" s="6">
        <f>Raw_data!G66</f>
        <v>40</v>
      </c>
      <c r="I66" t="str">
        <f>Raw_data!H66</f>
        <v>Credit Card</v>
      </c>
      <c r="J66" s="7" t="str">
        <f>IF(Raw_data!I66=0.1,"10%",Raw_data!I66)</f>
        <v>10%</v>
      </c>
      <c r="K66" s="6">
        <f>Raw_data!J66</f>
        <v>141</v>
      </c>
      <c r="L66" s="6">
        <f>Raw_data!K66</f>
        <v>30</v>
      </c>
      <c r="M66" s="6">
        <f>Raw_data!L66</f>
        <v>0</v>
      </c>
      <c r="N66" s="6">
        <f t="shared" si="1"/>
        <v>709</v>
      </c>
      <c r="O66" s="6">
        <f t="shared" si="2"/>
        <v>171</v>
      </c>
      <c r="P66" s="6">
        <f t="shared" si="3"/>
        <v>920</v>
      </c>
      <c r="Q66">
        <f t="shared" si="4"/>
        <v>1</v>
      </c>
      <c r="R66">
        <f t="shared" si="5"/>
        <v>3</v>
      </c>
    </row>
    <row r="67" spans="1:18" x14ac:dyDescent="0.25">
      <c r="A67">
        <f>Raw_data!A67</f>
        <v>66</v>
      </c>
      <c r="B67" t="str">
        <f>Raw_data!B67</f>
        <v>C8892</v>
      </c>
      <c r="C67" t="str">
        <f>Raw_data!C67</f>
        <v>R2623</v>
      </c>
      <c r="D67" s="3">
        <f>Raw_data!D67</f>
        <v>45328.11041666667</v>
      </c>
      <c r="E67" s="3">
        <f>Raw_data!E67</f>
        <v>45328.166666666664</v>
      </c>
      <c r="F67" s="4">
        <f t="shared" ref="F67:F130" si="6">E67-D67</f>
        <v>5.6249999994179234E-2</v>
      </c>
      <c r="G67" s="6">
        <f>Raw_data!F67</f>
        <v>902</v>
      </c>
      <c r="H67" s="6">
        <f>Raw_data!G67</f>
        <v>20</v>
      </c>
      <c r="I67" t="str">
        <f>Raw_data!H67</f>
        <v>Cash on Delivery</v>
      </c>
      <c r="J67" s="7" t="str">
        <f>IF(Raw_data!I67=0.1,"10%",Raw_data!I67)</f>
        <v>15% New User</v>
      </c>
      <c r="K67" s="6">
        <f>Raw_data!J67</f>
        <v>152</v>
      </c>
      <c r="L67" s="6">
        <f>Raw_data!K67</f>
        <v>34</v>
      </c>
      <c r="M67" s="6">
        <f>Raw_data!L67</f>
        <v>100</v>
      </c>
      <c r="N67" s="6">
        <f t="shared" ref="N67:N130" si="7">G67-K67-L67</f>
        <v>716</v>
      </c>
      <c r="O67" s="6">
        <f t="shared" ref="O67:O130" si="8">K67+L67-M67</f>
        <v>86</v>
      </c>
      <c r="P67" s="6">
        <f t="shared" ref="P67:P130" si="9">G67+H67</f>
        <v>922</v>
      </c>
      <c r="Q67">
        <f t="shared" ref="Q67:Q130" si="10">COUNTIF(B$2:B$1001,B67)</f>
        <v>1</v>
      </c>
      <c r="R67">
        <f t="shared" ref="R67:R130" si="11">COUNTIF(C$2:C$1001,C67)</f>
        <v>1</v>
      </c>
    </row>
    <row r="68" spans="1:18" x14ac:dyDescent="0.25">
      <c r="A68">
        <f>Raw_data!A68</f>
        <v>67</v>
      </c>
      <c r="B68" t="str">
        <f>Raw_data!B68</f>
        <v>C7863</v>
      </c>
      <c r="C68" t="str">
        <f>Raw_data!C68</f>
        <v>R2380</v>
      </c>
      <c r="D68" s="3">
        <f>Raw_data!D68</f>
        <v>45311.827962962961</v>
      </c>
      <c r="E68" s="3">
        <f>Raw_data!E68</f>
        <v>45311.858518518522</v>
      </c>
      <c r="F68" s="4">
        <f t="shared" si="6"/>
        <v>3.0555555560567882E-2</v>
      </c>
      <c r="G68" s="6">
        <f>Raw_data!F68</f>
        <v>1111</v>
      </c>
      <c r="H68" s="6">
        <f>Raw_data!G68</f>
        <v>20</v>
      </c>
      <c r="I68" t="str">
        <f>Raw_data!H68</f>
        <v>Digital Wallet</v>
      </c>
      <c r="J68" s="7" t="str">
        <f>IF(Raw_data!I68=0.1,"10%",Raw_data!I68)</f>
        <v>15% New User</v>
      </c>
      <c r="K68" s="6">
        <f>Raw_data!J68</f>
        <v>102</v>
      </c>
      <c r="L68" s="6">
        <f>Raw_data!K68</f>
        <v>20</v>
      </c>
      <c r="M68" s="6">
        <f>Raw_data!L68</f>
        <v>50</v>
      </c>
      <c r="N68" s="6">
        <f t="shared" si="7"/>
        <v>989</v>
      </c>
      <c r="O68" s="6">
        <f t="shared" si="8"/>
        <v>72</v>
      </c>
      <c r="P68" s="6">
        <f t="shared" si="9"/>
        <v>1131</v>
      </c>
      <c r="Q68">
        <f t="shared" si="10"/>
        <v>1</v>
      </c>
      <c r="R68">
        <f t="shared" si="11"/>
        <v>3</v>
      </c>
    </row>
    <row r="69" spans="1:18" x14ac:dyDescent="0.25">
      <c r="A69">
        <f>Raw_data!A69</f>
        <v>68</v>
      </c>
      <c r="B69" t="str">
        <f>Raw_data!B69</f>
        <v>C8916</v>
      </c>
      <c r="C69" t="str">
        <f>Raw_data!C69</f>
        <v>R2914</v>
      </c>
      <c r="D69" s="3">
        <f>Raw_data!D69</f>
        <v>45326.117615740739</v>
      </c>
      <c r="E69" s="3">
        <f>Raw_data!E69</f>
        <v>45326.169699074075</v>
      </c>
      <c r="F69" s="4">
        <f t="shared" si="6"/>
        <v>5.2083333335758653E-2</v>
      </c>
      <c r="G69" s="6">
        <f>Raw_data!F69</f>
        <v>558</v>
      </c>
      <c r="H69" s="6">
        <f>Raw_data!G69</f>
        <v>30</v>
      </c>
      <c r="I69" t="str">
        <f>Raw_data!H69</f>
        <v>Credit Card</v>
      </c>
      <c r="J69" s="7" t="str">
        <f>IF(Raw_data!I69=0.1,"10%",Raw_data!I69)</f>
        <v>50 off Promo</v>
      </c>
      <c r="K69" s="6">
        <f>Raw_data!J69</f>
        <v>181</v>
      </c>
      <c r="L69" s="6">
        <f>Raw_data!K69</f>
        <v>18</v>
      </c>
      <c r="M69" s="6">
        <f>Raw_data!L69</f>
        <v>0</v>
      </c>
      <c r="N69" s="6">
        <f t="shared" si="7"/>
        <v>359</v>
      </c>
      <c r="O69" s="6">
        <f t="shared" si="8"/>
        <v>199</v>
      </c>
      <c r="P69" s="6">
        <f t="shared" si="9"/>
        <v>588</v>
      </c>
      <c r="Q69">
        <f t="shared" si="10"/>
        <v>1</v>
      </c>
      <c r="R69">
        <f t="shared" si="11"/>
        <v>1</v>
      </c>
    </row>
    <row r="70" spans="1:18" x14ac:dyDescent="0.25">
      <c r="A70">
        <f>Raw_data!A70</f>
        <v>69</v>
      </c>
      <c r="B70" t="str">
        <f>Raw_data!B70</f>
        <v>C9529</v>
      </c>
      <c r="C70" t="str">
        <f>Raw_data!C70</f>
        <v>R2547</v>
      </c>
      <c r="D70" s="3">
        <f>Raw_data!D70</f>
        <v>45319.700150462966</v>
      </c>
      <c r="E70" s="3">
        <f>Raw_data!E70</f>
        <v>45319.736261574071</v>
      </c>
      <c r="F70" s="4">
        <f t="shared" si="6"/>
        <v>3.6111111105128657E-2</v>
      </c>
      <c r="G70" s="6">
        <f>Raw_data!F70</f>
        <v>1822</v>
      </c>
      <c r="H70" s="6">
        <f>Raw_data!G70</f>
        <v>30</v>
      </c>
      <c r="I70" t="str">
        <f>Raw_data!H70</f>
        <v>Credit Card</v>
      </c>
      <c r="J70" s="7" t="str">
        <f>IF(Raw_data!I70=0.1,"10%",Raw_data!I70)</f>
        <v>5% on App</v>
      </c>
      <c r="K70" s="6">
        <f>Raw_data!J70</f>
        <v>157</v>
      </c>
      <c r="L70" s="6">
        <f>Raw_data!K70</f>
        <v>34</v>
      </c>
      <c r="M70" s="6">
        <f>Raw_data!L70</f>
        <v>0</v>
      </c>
      <c r="N70" s="6">
        <f t="shared" si="7"/>
        <v>1631</v>
      </c>
      <c r="O70" s="6">
        <f t="shared" si="8"/>
        <v>191</v>
      </c>
      <c r="P70" s="6">
        <f t="shared" si="9"/>
        <v>1852</v>
      </c>
      <c r="Q70">
        <f t="shared" si="10"/>
        <v>1</v>
      </c>
      <c r="R70">
        <f t="shared" si="11"/>
        <v>2</v>
      </c>
    </row>
    <row r="71" spans="1:18" x14ac:dyDescent="0.25">
      <c r="A71">
        <f>Raw_data!A71</f>
        <v>70</v>
      </c>
      <c r="B71" t="str">
        <f>Raw_data!B71</f>
        <v>C1878</v>
      </c>
      <c r="C71" t="str">
        <f>Raw_data!C71</f>
        <v>R2284</v>
      </c>
      <c r="D71" s="3">
        <f>Raw_data!D71</f>
        <v>45327.188275462962</v>
      </c>
      <c r="E71" s="3">
        <f>Raw_data!E71</f>
        <v>45327.216747685183</v>
      </c>
      <c r="F71" s="4">
        <f t="shared" si="6"/>
        <v>2.8472222220443655E-2</v>
      </c>
      <c r="G71" s="6">
        <f>Raw_data!F71</f>
        <v>1016</v>
      </c>
      <c r="H71" s="6">
        <f>Raw_data!G71</f>
        <v>30</v>
      </c>
      <c r="I71" t="str">
        <f>Raw_data!H71</f>
        <v>Cash on Delivery</v>
      </c>
      <c r="J71" s="7" t="str">
        <f>IF(Raw_data!I71=0.1,"10%",Raw_data!I71)</f>
        <v>50 off Promo</v>
      </c>
      <c r="K71" s="6">
        <f>Raw_data!J71</f>
        <v>161</v>
      </c>
      <c r="L71" s="6">
        <f>Raw_data!K71</f>
        <v>44</v>
      </c>
      <c r="M71" s="6">
        <f>Raw_data!L71</f>
        <v>0</v>
      </c>
      <c r="N71" s="6">
        <f t="shared" si="7"/>
        <v>811</v>
      </c>
      <c r="O71" s="6">
        <f t="shared" si="8"/>
        <v>205</v>
      </c>
      <c r="P71" s="6">
        <f t="shared" si="9"/>
        <v>1046</v>
      </c>
      <c r="Q71">
        <f t="shared" si="10"/>
        <v>1</v>
      </c>
      <c r="R71">
        <f t="shared" si="11"/>
        <v>3</v>
      </c>
    </row>
    <row r="72" spans="1:18" x14ac:dyDescent="0.25">
      <c r="A72">
        <f>Raw_data!A72</f>
        <v>71</v>
      </c>
      <c r="B72" t="str">
        <f>Raw_data!B72</f>
        <v>C5887</v>
      </c>
      <c r="C72" t="str">
        <f>Raw_data!C72</f>
        <v>R2699</v>
      </c>
      <c r="D72" s="3">
        <f>Raw_data!D72</f>
        <v>45307.012453703705</v>
      </c>
      <c r="E72" s="3">
        <f>Raw_data!E72</f>
        <v>45307.063148148147</v>
      </c>
      <c r="F72" s="4">
        <f t="shared" si="6"/>
        <v>5.0694444442342501E-2</v>
      </c>
      <c r="G72" s="6">
        <f>Raw_data!F72</f>
        <v>598</v>
      </c>
      <c r="H72" s="6">
        <f>Raw_data!G72</f>
        <v>40</v>
      </c>
      <c r="I72" t="str">
        <f>Raw_data!H72</f>
        <v>Cash on Delivery</v>
      </c>
      <c r="J72" s="7" t="str">
        <f>IF(Raw_data!I72=0.1,"10%",Raw_data!I72)</f>
        <v>None</v>
      </c>
      <c r="K72" s="6">
        <f>Raw_data!J72</f>
        <v>56</v>
      </c>
      <c r="L72" s="6">
        <f>Raw_data!K72</f>
        <v>41</v>
      </c>
      <c r="M72" s="6">
        <f>Raw_data!L72</f>
        <v>0</v>
      </c>
      <c r="N72" s="6">
        <f t="shared" si="7"/>
        <v>501</v>
      </c>
      <c r="O72" s="6">
        <f t="shared" si="8"/>
        <v>97</v>
      </c>
      <c r="P72" s="6">
        <f t="shared" si="9"/>
        <v>638</v>
      </c>
      <c r="Q72">
        <f t="shared" si="10"/>
        <v>1</v>
      </c>
      <c r="R72">
        <f t="shared" si="11"/>
        <v>4</v>
      </c>
    </row>
    <row r="73" spans="1:18" x14ac:dyDescent="0.25">
      <c r="A73">
        <f>Raw_data!A73</f>
        <v>72</v>
      </c>
      <c r="B73" t="str">
        <f>Raw_data!B73</f>
        <v>C5859</v>
      </c>
      <c r="C73" t="str">
        <f>Raw_data!C73</f>
        <v>R2081</v>
      </c>
      <c r="D73" s="3">
        <f>Raw_data!D73</f>
        <v>45312.127233796295</v>
      </c>
      <c r="E73" s="3">
        <f>Raw_data!E73</f>
        <v>45312.157789351855</v>
      </c>
      <c r="F73" s="4">
        <f t="shared" si="6"/>
        <v>3.0555555560567882E-2</v>
      </c>
      <c r="G73" s="6">
        <f>Raw_data!F73</f>
        <v>1049</v>
      </c>
      <c r="H73" s="6">
        <f>Raw_data!G73</f>
        <v>40</v>
      </c>
      <c r="I73" t="str">
        <f>Raw_data!H73</f>
        <v>Credit Card</v>
      </c>
      <c r="J73" s="7" t="str">
        <f>IF(Raw_data!I73=0.1,"10%",Raw_data!I73)</f>
        <v>50 off Promo</v>
      </c>
      <c r="K73" s="6">
        <f>Raw_data!J73</f>
        <v>116</v>
      </c>
      <c r="L73" s="6">
        <f>Raw_data!K73</f>
        <v>23</v>
      </c>
      <c r="M73" s="6">
        <f>Raw_data!L73</f>
        <v>0</v>
      </c>
      <c r="N73" s="6">
        <f t="shared" si="7"/>
        <v>910</v>
      </c>
      <c r="O73" s="6">
        <f t="shared" si="8"/>
        <v>139</v>
      </c>
      <c r="P73" s="6">
        <f t="shared" si="9"/>
        <v>1089</v>
      </c>
      <c r="Q73">
        <f t="shared" si="10"/>
        <v>1</v>
      </c>
      <c r="R73">
        <f t="shared" si="11"/>
        <v>2</v>
      </c>
    </row>
    <row r="74" spans="1:18" x14ac:dyDescent="0.25">
      <c r="A74">
        <f>Raw_data!A74</f>
        <v>73</v>
      </c>
      <c r="B74" t="str">
        <f>Raw_data!B74</f>
        <v>C7331</v>
      </c>
      <c r="C74" t="str">
        <f>Raw_data!C74</f>
        <v>R2513</v>
      </c>
      <c r="D74" s="3">
        <f>Raw_data!D74</f>
        <v>45305.667673611111</v>
      </c>
      <c r="E74" s="3">
        <f>Raw_data!E74</f>
        <v>45305.72184027778</v>
      </c>
      <c r="F74" s="4">
        <f t="shared" si="6"/>
        <v>5.4166666668606922E-2</v>
      </c>
      <c r="G74" s="6">
        <f>Raw_data!F74</f>
        <v>607</v>
      </c>
      <c r="H74" s="6">
        <f>Raw_data!G74</f>
        <v>50</v>
      </c>
      <c r="I74" t="str">
        <f>Raw_data!H74</f>
        <v>Digital Wallet</v>
      </c>
      <c r="J74" s="7" t="str">
        <f>IF(Raw_data!I74=0.1,"10%",Raw_data!I74)</f>
        <v>10%</v>
      </c>
      <c r="K74" s="6">
        <f>Raw_data!J74</f>
        <v>157</v>
      </c>
      <c r="L74" s="6">
        <f>Raw_data!K74</f>
        <v>10</v>
      </c>
      <c r="M74" s="6">
        <f>Raw_data!L74</f>
        <v>50</v>
      </c>
      <c r="N74" s="6">
        <f t="shared" si="7"/>
        <v>440</v>
      </c>
      <c r="O74" s="6">
        <f t="shared" si="8"/>
        <v>117</v>
      </c>
      <c r="P74" s="6">
        <f t="shared" si="9"/>
        <v>657</v>
      </c>
      <c r="Q74">
        <f t="shared" si="10"/>
        <v>1</v>
      </c>
      <c r="R74">
        <f t="shared" si="11"/>
        <v>1</v>
      </c>
    </row>
    <row r="75" spans="1:18" x14ac:dyDescent="0.25">
      <c r="A75">
        <f>Raw_data!A75</f>
        <v>74</v>
      </c>
      <c r="B75" t="str">
        <f>Raw_data!B75</f>
        <v>C9571</v>
      </c>
      <c r="C75" t="str">
        <f>Raw_data!C75</f>
        <v>R2896</v>
      </c>
      <c r="D75" s="3">
        <f>Raw_data!D75</f>
        <v>45312.921412037038</v>
      </c>
      <c r="E75" s="3">
        <f>Raw_data!E75</f>
        <v>45312.956134259257</v>
      </c>
      <c r="F75" s="4">
        <f t="shared" si="6"/>
        <v>3.4722222218988463E-2</v>
      </c>
      <c r="G75" s="6">
        <f>Raw_data!F75</f>
        <v>1427</v>
      </c>
      <c r="H75" s="6">
        <f>Raw_data!G75</f>
        <v>30</v>
      </c>
      <c r="I75" t="str">
        <f>Raw_data!H75</f>
        <v>Digital Wallet</v>
      </c>
      <c r="J75" s="7" t="str">
        <f>IF(Raw_data!I75=0.1,"10%",Raw_data!I75)</f>
        <v>5% on App</v>
      </c>
      <c r="K75" s="6">
        <f>Raw_data!J75</f>
        <v>160</v>
      </c>
      <c r="L75" s="6">
        <f>Raw_data!K75</f>
        <v>26</v>
      </c>
      <c r="M75" s="6">
        <f>Raw_data!L75</f>
        <v>0</v>
      </c>
      <c r="N75" s="6">
        <f t="shared" si="7"/>
        <v>1241</v>
      </c>
      <c r="O75" s="6">
        <f t="shared" si="8"/>
        <v>186</v>
      </c>
      <c r="P75" s="6">
        <f t="shared" si="9"/>
        <v>1457</v>
      </c>
      <c r="Q75">
        <f t="shared" si="10"/>
        <v>1</v>
      </c>
      <c r="R75">
        <f t="shared" si="11"/>
        <v>1</v>
      </c>
    </row>
    <row r="76" spans="1:18" x14ac:dyDescent="0.25">
      <c r="A76">
        <f>Raw_data!A76</f>
        <v>75</v>
      </c>
      <c r="B76" t="str">
        <f>Raw_data!B76</f>
        <v>C9684</v>
      </c>
      <c r="C76" t="str">
        <f>Raw_data!C76</f>
        <v>R2814</v>
      </c>
      <c r="D76" s="3">
        <f>Raw_data!D76</f>
        <v>45294.841967592591</v>
      </c>
      <c r="E76" s="3">
        <f>Raw_data!E76</f>
        <v>45294.872523148151</v>
      </c>
      <c r="F76" s="4">
        <f t="shared" si="6"/>
        <v>3.0555555560567882E-2</v>
      </c>
      <c r="G76" s="6">
        <f>Raw_data!F76</f>
        <v>600</v>
      </c>
      <c r="H76" s="6">
        <f>Raw_data!G76</f>
        <v>0</v>
      </c>
      <c r="I76" t="str">
        <f>Raw_data!H76</f>
        <v>Cash on Delivery</v>
      </c>
      <c r="J76" s="7" t="str">
        <f>IF(Raw_data!I76=0.1,"10%",Raw_data!I76)</f>
        <v>10%</v>
      </c>
      <c r="K76" s="6">
        <f>Raw_data!J76</f>
        <v>197</v>
      </c>
      <c r="L76" s="6">
        <f>Raw_data!K76</f>
        <v>34</v>
      </c>
      <c r="M76" s="6">
        <f>Raw_data!L76</f>
        <v>0</v>
      </c>
      <c r="N76" s="6">
        <f t="shared" si="7"/>
        <v>369</v>
      </c>
      <c r="O76" s="6">
        <f t="shared" si="8"/>
        <v>231</v>
      </c>
      <c r="P76" s="6">
        <f t="shared" si="9"/>
        <v>600</v>
      </c>
      <c r="Q76">
        <f t="shared" si="10"/>
        <v>1</v>
      </c>
      <c r="R76">
        <f t="shared" si="11"/>
        <v>2</v>
      </c>
    </row>
    <row r="77" spans="1:18" x14ac:dyDescent="0.25">
      <c r="A77">
        <f>Raw_data!A77</f>
        <v>76</v>
      </c>
      <c r="B77" t="str">
        <f>Raw_data!B77</f>
        <v>C8208</v>
      </c>
      <c r="C77" t="str">
        <f>Raw_data!C77</f>
        <v>R2708</v>
      </c>
      <c r="D77" s="3">
        <f>Raw_data!D77</f>
        <v>45323.810011574074</v>
      </c>
      <c r="E77" s="3">
        <f>Raw_data!E77</f>
        <v>45323.839872685188</v>
      </c>
      <c r="F77" s="4">
        <f t="shared" si="6"/>
        <v>2.9861111113859806E-2</v>
      </c>
      <c r="G77" s="6">
        <f>Raw_data!F77</f>
        <v>902</v>
      </c>
      <c r="H77" s="6">
        <f>Raw_data!G77</f>
        <v>50</v>
      </c>
      <c r="I77" t="str">
        <f>Raw_data!H77</f>
        <v>Digital Wallet</v>
      </c>
      <c r="J77" s="7" t="str">
        <f>IF(Raw_data!I77=0.1,"10%",Raw_data!I77)</f>
        <v>None</v>
      </c>
      <c r="K77" s="6">
        <f>Raw_data!J77</f>
        <v>132</v>
      </c>
      <c r="L77" s="6">
        <f>Raw_data!K77</f>
        <v>17</v>
      </c>
      <c r="M77" s="6">
        <f>Raw_data!L77</f>
        <v>150</v>
      </c>
      <c r="N77" s="6">
        <f t="shared" si="7"/>
        <v>753</v>
      </c>
      <c r="O77" s="6">
        <f t="shared" si="8"/>
        <v>-1</v>
      </c>
      <c r="P77" s="6">
        <f t="shared" si="9"/>
        <v>952</v>
      </c>
      <c r="Q77">
        <f t="shared" si="10"/>
        <v>1</v>
      </c>
      <c r="R77">
        <f t="shared" si="11"/>
        <v>1</v>
      </c>
    </row>
    <row r="78" spans="1:18" x14ac:dyDescent="0.25">
      <c r="A78">
        <f>Raw_data!A78</f>
        <v>77</v>
      </c>
      <c r="B78" t="str">
        <f>Raw_data!B78</f>
        <v>C6276</v>
      </c>
      <c r="C78" t="str">
        <f>Raw_data!C78</f>
        <v>R2915</v>
      </c>
      <c r="D78" s="3">
        <f>Raw_data!D78</f>
        <v>45314.273159722223</v>
      </c>
      <c r="E78" s="3">
        <f>Raw_data!E78</f>
        <v>45314.322465277779</v>
      </c>
      <c r="F78" s="4">
        <f t="shared" si="6"/>
        <v>4.9305555556202307E-2</v>
      </c>
      <c r="G78" s="6">
        <f>Raw_data!F78</f>
        <v>697</v>
      </c>
      <c r="H78" s="6">
        <f>Raw_data!G78</f>
        <v>0</v>
      </c>
      <c r="I78" t="str">
        <f>Raw_data!H78</f>
        <v>Digital Wallet</v>
      </c>
      <c r="J78" s="7" t="str">
        <f>IF(Raw_data!I78=0.1,"10%",Raw_data!I78)</f>
        <v>5% on App</v>
      </c>
      <c r="K78" s="6">
        <f>Raw_data!J78</f>
        <v>173</v>
      </c>
      <c r="L78" s="6">
        <f>Raw_data!K78</f>
        <v>14</v>
      </c>
      <c r="M78" s="6">
        <f>Raw_data!L78</f>
        <v>0</v>
      </c>
      <c r="N78" s="6">
        <f t="shared" si="7"/>
        <v>510</v>
      </c>
      <c r="O78" s="6">
        <f t="shared" si="8"/>
        <v>187</v>
      </c>
      <c r="P78" s="6">
        <f t="shared" si="9"/>
        <v>697</v>
      </c>
      <c r="Q78">
        <f t="shared" si="10"/>
        <v>1</v>
      </c>
      <c r="R78">
        <f t="shared" si="11"/>
        <v>3</v>
      </c>
    </row>
    <row r="79" spans="1:18" x14ac:dyDescent="0.25">
      <c r="A79">
        <f>Raw_data!A79</f>
        <v>78</v>
      </c>
      <c r="B79" t="str">
        <f>Raw_data!B79</f>
        <v>C3062</v>
      </c>
      <c r="C79" t="str">
        <f>Raw_data!C79</f>
        <v>R2522</v>
      </c>
      <c r="D79" s="3">
        <f>Raw_data!D79</f>
        <v>45313.94699074074</v>
      </c>
      <c r="E79" s="3">
        <f>Raw_data!E79</f>
        <v>45314.022685185184</v>
      </c>
      <c r="F79" s="4">
        <f t="shared" si="6"/>
        <v>7.5694444443797693E-2</v>
      </c>
      <c r="G79" s="6">
        <f>Raw_data!F79</f>
        <v>265</v>
      </c>
      <c r="H79" s="6">
        <f>Raw_data!G79</f>
        <v>40</v>
      </c>
      <c r="I79" t="str">
        <f>Raw_data!H79</f>
        <v>Cash on Delivery</v>
      </c>
      <c r="J79" s="7" t="str">
        <f>IF(Raw_data!I79=0.1,"10%",Raw_data!I79)</f>
        <v>15% New User</v>
      </c>
      <c r="K79" s="6">
        <f>Raw_data!J79</f>
        <v>188</v>
      </c>
      <c r="L79" s="6">
        <f>Raw_data!K79</f>
        <v>14</v>
      </c>
      <c r="M79" s="6">
        <f>Raw_data!L79</f>
        <v>0</v>
      </c>
      <c r="N79" s="6">
        <f t="shared" si="7"/>
        <v>63</v>
      </c>
      <c r="O79" s="6">
        <f t="shared" si="8"/>
        <v>202</v>
      </c>
      <c r="P79" s="6">
        <f t="shared" si="9"/>
        <v>305</v>
      </c>
      <c r="Q79">
        <f t="shared" si="10"/>
        <v>1</v>
      </c>
      <c r="R79">
        <f t="shared" si="11"/>
        <v>1</v>
      </c>
    </row>
    <row r="80" spans="1:18" x14ac:dyDescent="0.25">
      <c r="A80">
        <f>Raw_data!A80</f>
        <v>79</v>
      </c>
      <c r="B80" t="str">
        <f>Raw_data!B80</f>
        <v>C1064</v>
      </c>
      <c r="C80" t="str">
        <f>Raw_data!C80</f>
        <v>R2745</v>
      </c>
      <c r="D80" s="3">
        <f>Raw_data!D80</f>
        <v>45328.328055555554</v>
      </c>
      <c r="E80" s="3">
        <f>Raw_data!E80</f>
        <v>45328.358611111114</v>
      </c>
      <c r="F80" s="4">
        <f t="shared" si="6"/>
        <v>3.0555555560567882E-2</v>
      </c>
      <c r="G80" s="6">
        <f>Raw_data!F80</f>
        <v>1538</v>
      </c>
      <c r="H80" s="6">
        <f>Raw_data!G80</f>
        <v>50</v>
      </c>
      <c r="I80" t="str">
        <f>Raw_data!H80</f>
        <v>Digital Wallet</v>
      </c>
      <c r="J80" s="7" t="str">
        <f>IF(Raw_data!I80=0.1,"10%",Raw_data!I80)</f>
        <v>50 off Promo</v>
      </c>
      <c r="K80" s="6">
        <f>Raw_data!J80</f>
        <v>153</v>
      </c>
      <c r="L80" s="6">
        <f>Raw_data!K80</f>
        <v>50</v>
      </c>
      <c r="M80" s="6">
        <f>Raw_data!L80</f>
        <v>0</v>
      </c>
      <c r="N80" s="6">
        <f t="shared" si="7"/>
        <v>1335</v>
      </c>
      <c r="O80" s="6">
        <f t="shared" si="8"/>
        <v>203</v>
      </c>
      <c r="P80" s="6">
        <f t="shared" si="9"/>
        <v>1588</v>
      </c>
      <c r="Q80">
        <f t="shared" si="10"/>
        <v>1</v>
      </c>
      <c r="R80">
        <f t="shared" si="11"/>
        <v>1</v>
      </c>
    </row>
    <row r="81" spans="1:18" x14ac:dyDescent="0.25">
      <c r="A81">
        <f>Raw_data!A81</f>
        <v>80</v>
      </c>
      <c r="B81" t="str">
        <f>Raw_data!B81</f>
        <v>C9006</v>
      </c>
      <c r="C81" t="str">
        <f>Raw_data!C81</f>
        <v>R2385</v>
      </c>
      <c r="D81" s="3">
        <f>Raw_data!D81</f>
        <v>45293.695254629631</v>
      </c>
      <c r="E81" s="3">
        <f>Raw_data!E81</f>
        <v>45293.759143518517</v>
      </c>
      <c r="F81" s="4">
        <f t="shared" si="6"/>
        <v>6.3888888886140194E-2</v>
      </c>
      <c r="G81" s="6">
        <f>Raw_data!F81</f>
        <v>561</v>
      </c>
      <c r="H81" s="6">
        <f>Raw_data!G81</f>
        <v>50</v>
      </c>
      <c r="I81" t="str">
        <f>Raw_data!H81</f>
        <v>Cash on Delivery</v>
      </c>
      <c r="J81" s="7" t="str">
        <f>IF(Raw_data!I81=0.1,"10%",Raw_data!I81)</f>
        <v>10%</v>
      </c>
      <c r="K81" s="6">
        <f>Raw_data!J81</f>
        <v>116</v>
      </c>
      <c r="L81" s="6">
        <f>Raw_data!K81</f>
        <v>44</v>
      </c>
      <c r="M81" s="6">
        <f>Raw_data!L81</f>
        <v>150</v>
      </c>
      <c r="N81" s="6">
        <f t="shared" si="7"/>
        <v>401</v>
      </c>
      <c r="O81" s="6">
        <f t="shared" si="8"/>
        <v>10</v>
      </c>
      <c r="P81" s="6">
        <f t="shared" si="9"/>
        <v>611</v>
      </c>
      <c r="Q81">
        <f t="shared" si="10"/>
        <v>1</v>
      </c>
      <c r="R81">
        <f t="shared" si="11"/>
        <v>2</v>
      </c>
    </row>
    <row r="82" spans="1:18" x14ac:dyDescent="0.25">
      <c r="A82">
        <f>Raw_data!A82</f>
        <v>81</v>
      </c>
      <c r="B82" t="str">
        <f>Raw_data!B82</f>
        <v>C3568</v>
      </c>
      <c r="C82" t="str">
        <f>Raw_data!C82</f>
        <v>R2706</v>
      </c>
      <c r="D82" s="3">
        <f>Raw_data!D82</f>
        <v>45323.72997685185</v>
      </c>
      <c r="E82" s="3">
        <f>Raw_data!E82</f>
        <v>45323.797337962962</v>
      </c>
      <c r="F82" s="4">
        <f t="shared" si="6"/>
        <v>6.7361111112404615E-2</v>
      </c>
      <c r="G82" s="6">
        <f>Raw_data!F82</f>
        <v>1019</v>
      </c>
      <c r="H82" s="6">
        <f>Raw_data!G82</f>
        <v>20</v>
      </c>
      <c r="I82" t="str">
        <f>Raw_data!H82</f>
        <v>Credit Card</v>
      </c>
      <c r="J82" s="7" t="str">
        <f>IF(Raw_data!I82=0.1,"10%",Raw_data!I82)</f>
        <v>None</v>
      </c>
      <c r="K82" s="6">
        <f>Raw_data!J82</f>
        <v>56</v>
      </c>
      <c r="L82" s="6">
        <f>Raw_data!K82</f>
        <v>28</v>
      </c>
      <c r="M82" s="6">
        <f>Raw_data!L82</f>
        <v>150</v>
      </c>
      <c r="N82" s="6">
        <f t="shared" si="7"/>
        <v>935</v>
      </c>
      <c r="O82" s="6">
        <f t="shared" si="8"/>
        <v>-66</v>
      </c>
      <c r="P82" s="6">
        <f t="shared" si="9"/>
        <v>1039</v>
      </c>
      <c r="Q82">
        <f t="shared" si="10"/>
        <v>1</v>
      </c>
      <c r="R82">
        <f t="shared" si="11"/>
        <v>2</v>
      </c>
    </row>
    <row r="83" spans="1:18" x14ac:dyDescent="0.25">
      <c r="A83">
        <f>Raw_data!A83</f>
        <v>82</v>
      </c>
      <c r="B83" t="str">
        <f>Raw_data!B83</f>
        <v>C6463</v>
      </c>
      <c r="C83" t="str">
        <f>Raw_data!C83</f>
        <v>R2470</v>
      </c>
      <c r="D83" s="3">
        <f>Raw_data!D83</f>
        <v>45307.824340277781</v>
      </c>
      <c r="E83" s="3">
        <f>Raw_data!E83</f>
        <v>45307.863229166665</v>
      </c>
      <c r="F83" s="4">
        <f t="shared" si="6"/>
        <v>3.8888888884685002E-2</v>
      </c>
      <c r="G83" s="6">
        <f>Raw_data!F83</f>
        <v>213</v>
      </c>
      <c r="H83" s="6">
        <f>Raw_data!G83</f>
        <v>40</v>
      </c>
      <c r="I83" t="str">
        <f>Raw_data!H83</f>
        <v>Cash on Delivery</v>
      </c>
      <c r="J83" s="7" t="str">
        <f>IF(Raw_data!I83=0.1,"10%",Raw_data!I83)</f>
        <v>15% New User</v>
      </c>
      <c r="K83" s="6">
        <f>Raw_data!J83</f>
        <v>200</v>
      </c>
      <c r="L83" s="6">
        <f>Raw_data!K83</f>
        <v>32</v>
      </c>
      <c r="M83" s="6">
        <f>Raw_data!L83</f>
        <v>0</v>
      </c>
      <c r="N83" s="6">
        <f t="shared" si="7"/>
        <v>-19</v>
      </c>
      <c r="O83" s="6">
        <f t="shared" si="8"/>
        <v>232</v>
      </c>
      <c r="P83" s="6">
        <f t="shared" si="9"/>
        <v>253</v>
      </c>
      <c r="Q83">
        <f t="shared" si="10"/>
        <v>1</v>
      </c>
      <c r="R83">
        <f t="shared" si="11"/>
        <v>1</v>
      </c>
    </row>
    <row r="84" spans="1:18" x14ac:dyDescent="0.25">
      <c r="A84">
        <f>Raw_data!A84</f>
        <v>83</v>
      </c>
      <c r="B84" t="str">
        <f>Raw_data!B84</f>
        <v>C3027</v>
      </c>
      <c r="C84" t="str">
        <f>Raw_data!C84</f>
        <v>R2118</v>
      </c>
      <c r="D84" s="3">
        <f>Raw_data!D84</f>
        <v>45304.212337962963</v>
      </c>
      <c r="E84" s="3">
        <f>Raw_data!E84</f>
        <v>45304.292893518519</v>
      </c>
      <c r="F84" s="4">
        <f t="shared" si="6"/>
        <v>8.0555555556202307E-2</v>
      </c>
      <c r="G84" s="6">
        <f>Raw_data!F84</f>
        <v>1556</v>
      </c>
      <c r="H84" s="6">
        <f>Raw_data!G84</f>
        <v>40</v>
      </c>
      <c r="I84" t="str">
        <f>Raw_data!H84</f>
        <v>Credit Card</v>
      </c>
      <c r="J84" s="7" t="str">
        <f>IF(Raw_data!I84=0.1,"10%",Raw_data!I84)</f>
        <v>50 off Promo</v>
      </c>
      <c r="K84" s="6">
        <f>Raw_data!J84</f>
        <v>159</v>
      </c>
      <c r="L84" s="6">
        <f>Raw_data!K84</f>
        <v>18</v>
      </c>
      <c r="M84" s="6">
        <f>Raw_data!L84</f>
        <v>0</v>
      </c>
      <c r="N84" s="6">
        <f t="shared" si="7"/>
        <v>1379</v>
      </c>
      <c r="O84" s="6">
        <f t="shared" si="8"/>
        <v>177</v>
      </c>
      <c r="P84" s="6">
        <f t="shared" si="9"/>
        <v>1596</v>
      </c>
      <c r="Q84">
        <f t="shared" si="10"/>
        <v>1</v>
      </c>
      <c r="R84">
        <f t="shared" si="11"/>
        <v>1</v>
      </c>
    </row>
    <row r="85" spans="1:18" x14ac:dyDescent="0.25">
      <c r="A85">
        <f>Raw_data!A85</f>
        <v>84</v>
      </c>
      <c r="B85" t="str">
        <f>Raw_data!B85</f>
        <v>C3695</v>
      </c>
      <c r="C85" t="str">
        <f>Raw_data!C85</f>
        <v>R2395</v>
      </c>
      <c r="D85" s="3">
        <f>Raw_data!D85</f>
        <v>45320.102789351855</v>
      </c>
      <c r="E85" s="3">
        <f>Raw_data!E85</f>
        <v>45320.159733796296</v>
      </c>
      <c r="F85" s="4">
        <f t="shared" si="6"/>
        <v>5.694444444088731E-2</v>
      </c>
      <c r="G85" s="6">
        <f>Raw_data!F85</f>
        <v>1091</v>
      </c>
      <c r="H85" s="6">
        <f>Raw_data!G85</f>
        <v>50</v>
      </c>
      <c r="I85" t="str">
        <f>Raw_data!H85</f>
        <v>Credit Card</v>
      </c>
      <c r="J85" s="7" t="str">
        <f>IF(Raw_data!I85=0.1,"10%",Raw_data!I85)</f>
        <v>15% New User</v>
      </c>
      <c r="K85" s="6">
        <f>Raw_data!J85</f>
        <v>83</v>
      </c>
      <c r="L85" s="6">
        <f>Raw_data!K85</f>
        <v>39</v>
      </c>
      <c r="M85" s="6">
        <f>Raw_data!L85</f>
        <v>0</v>
      </c>
      <c r="N85" s="6">
        <f t="shared" si="7"/>
        <v>969</v>
      </c>
      <c r="O85" s="6">
        <f t="shared" si="8"/>
        <v>122</v>
      </c>
      <c r="P85" s="6">
        <f t="shared" si="9"/>
        <v>1141</v>
      </c>
      <c r="Q85">
        <f t="shared" si="10"/>
        <v>1</v>
      </c>
      <c r="R85">
        <f t="shared" si="11"/>
        <v>1</v>
      </c>
    </row>
    <row r="86" spans="1:18" x14ac:dyDescent="0.25">
      <c r="A86">
        <f>Raw_data!A86</f>
        <v>85</v>
      </c>
      <c r="B86" t="str">
        <f>Raw_data!B86</f>
        <v>C6258</v>
      </c>
      <c r="C86" t="str">
        <f>Raw_data!C86</f>
        <v>R2531</v>
      </c>
      <c r="D86" s="3">
        <f>Raw_data!D86</f>
        <v>45292.915983796294</v>
      </c>
      <c r="E86" s="3">
        <f>Raw_data!E86</f>
        <v>45292.972233796296</v>
      </c>
      <c r="F86" s="4">
        <f t="shared" si="6"/>
        <v>5.6250000001455192E-2</v>
      </c>
      <c r="G86" s="6">
        <f>Raw_data!F86</f>
        <v>1479</v>
      </c>
      <c r="H86" s="6">
        <f>Raw_data!G86</f>
        <v>40</v>
      </c>
      <c r="I86" t="str">
        <f>Raw_data!H86</f>
        <v>Digital Wallet</v>
      </c>
      <c r="J86" s="7" t="str">
        <f>IF(Raw_data!I86=0.1,"10%",Raw_data!I86)</f>
        <v>50 off Promo</v>
      </c>
      <c r="K86" s="6">
        <f>Raw_data!J86</f>
        <v>155</v>
      </c>
      <c r="L86" s="6">
        <f>Raw_data!K86</f>
        <v>25</v>
      </c>
      <c r="M86" s="6">
        <f>Raw_data!L86</f>
        <v>0</v>
      </c>
      <c r="N86" s="6">
        <f t="shared" si="7"/>
        <v>1299</v>
      </c>
      <c r="O86" s="6">
        <f t="shared" si="8"/>
        <v>180</v>
      </c>
      <c r="P86" s="6">
        <f t="shared" si="9"/>
        <v>1519</v>
      </c>
      <c r="Q86">
        <f t="shared" si="10"/>
        <v>1</v>
      </c>
      <c r="R86">
        <f t="shared" si="11"/>
        <v>2</v>
      </c>
    </row>
    <row r="87" spans="1:18" x14ac:dyDescent="0.25">
      <c r="A87">
        <f>Raw_data!A87</f>
        <v>86</v>
      </c>
      <c r="B87" t="str">
        <f>Raw_data!B87</f>
        <v>C6618</v>
      </c>
      <c r="C87" t="str">
        <f>Raw_data!C87</f>
        <v>R2260</v>
      </c>
      <c r="D87" s="3">
        <f>Raw_data!D87</f>
        <v>45292.140219907407</v>
      </c>
      <c r="E87" s="3">
        <f>Raw_data!E87</f>
        <v>45292.204108796293</v>
      </c>
      <c r="F87" s="4">
        <f t="shared" si="6"/>
        <v>6.3888888886140194E-2</v>
      </c>
      <c r="G87" s="6">
        <f>Raw_data!F87</f>
        <v>1818</v>
      </c>
      <c r="H87" s="6">
        <f>Raw_data!G87</f>
        <v>50</v>
      </c>
      <c r="I87" t="str">
        <f>Raw_data!H87</f>
        <v>Digital Wallet</v>
      </c>
      <c r="J87" s="7" t="str">
        <f>IF(Raw_data!I87=0.1,"10%",Raw_data!I87)</f>
        <v>5% on App</v>
      </c>
      <c r="K87" s="6">
        <f>Raw_data!J87</f>
        <v>196</v>
      </c>
      <c r="L87" s="6">
        <f>Raw_data!K87</f>
        <v>42</v>
      </c>
      <c r="M87" s="6">
        <f>Raw_data!L87</f>
        <v>0</v>
      </c>
      <c r="N87" s="6">
        <f t="shared" si="7"/>
        <v>1580</v>
      </c>
      <c r="O87" s="6">
        <f t="shared" si="8"/>
        <v>238</v>
      </c>
      <c r="P87" s="6">
        <f t="shared" si="9"/>
        <v>1868</v>
      </c>
      <c r="Q87">
        <f t="shared" si="10"/>
        <v>1</v>
      </c>
      <c r="R87">
        <f t="shared" si="11"/>
        <v>2</v>
      </c>
    </row>
    <row r="88" spans="1:18" x14ac:dyDescent="0.25">
      <c r="A88">
        <f>Raw_data!A88</f>
        <v>87</v>
      </c>
      <c r="B88" t="str">
        <f>Raw_data!B88</f>
        <v>C7736</v>
      </c>
      <c r="C88" t="str">
        <f>Raw_data!C88</f>
        <v>R2804</v>
      </c>
      <c r="D88" s="3">
        <f>Raw_data!D88</f>
        <v>45328.860995370371</v>
      </c>
      <c r="E88" s="3">
        <f>Raw_data!E88</f>
        <v>45328.931828703702</v>
      </c>
      <c r="F88" s="4">
        <f t="shared" si="6"/>
        <v>7.0833333331393078E-2</v>
      </c>
      <c r="G88" s="6">
        <f>Raw_data!F88</f>
        <v>306</v>
      </c>
      <c r="H88" s="6">
        <f>Raw_data!G88</f>
        <v>20</v>
      </c>
      <c r="I88" t="str">
        <f>Raw_data!H88</f>
        <v>Digital Wallet</v>
      </c>
      <c r="J88" s="7" t="str">
        <f>IF(Raw_data!I88=0.1,"10%",Raw_data!I88)</f>
        <v>15% New User</v>
      </c>
      <c r="K88" s="6">
        <f>Raw_data!J88</f>
        <v>107</v>
      </c>
      <c r="L88" s="6">
        <f>Raw_data!K88</f>
        <v>11</v>
      </c>
      <c r="M88" s="6">
        <f>Raw_data!L88</f>
        <v>100</v>
      </c>
      <c r="N88" s="6">
        <f t="shared" si="7"/>
        <v>188</v>
      </c>
      <c r="O88" s="6">
        <f t="shared" si="8"/>
        <v>18</v>
      </c>
      <c r="P88" s="6">
        <f t="shared" si="9"/>
        <v>326</v>
      </c>
      <c r="Q88">
        <f t="shared" si="10"/>
        <v>1</v>
      </c>
      <c r="R88">
        <f t="shared" si="11"/>
        <v>5</v>
      </c>
    </row>
    <row r="89" spans="1:18" x14ac:dyDescent="0.25">
      <c r="A89">
        <f>Raw_data!A89</f>
        <v>88</v>
      </c>
      <c r="B89" t="str">
        <f>Raw_data!B89</f>
        <v>C1391</v>
      </c>
      <c r="C89" t="str">
        <f>Raw_data!C89</f>
        <v>R2933</v>
      </c>
      <c r="D89" s="3">
        <f>Raw_data!D89</f>
        <v>45325.639988425923</v>
      </c>
      <c r="E89" s="3">
        <f>Raw_data!E89</f>
        <v>45325.696932870371</v>
      </c>
      <c r="F89" s="4">
        <f t="shared" si="6"/>
        <v>5.6944444448163267E-2</v>
      </c>
      <c r="G89" s="6">
        <f>Raw_data!F89</f>
        <v>1891</v>
      </c>
      <c r="H89" s="6">
        <f>Raw_data!G89</f>
        <v>50</v>
      </c>
      <c r="I89" t="str">
        <f>Raw_data!H89</f>
        <v>Cash on Delivery</v>
      </c>
      <c r="J89" s="7" t="str">
        <f>IF(Raw_data!I89=0.1,"10%",Raw_data!I89)</f>
        <v>15% New User</v>
      </c>
      <c r="K89" s="6">
        <f>Raw_data!J89</f>
        <v>58</v>
      </c>
      <c r="L89" s="6">
        <f>Raw_data!K89</f>
        <v>23</v>
      </c>
      <c r="M89" s="6">
        <f>Raw_data!L89</f>
        <v>0</v>
      </c>
      <c r="N89" s="6">
        <f t="shared" si="7"/>
        <v>1810</v>
      </c>
      <c r="O89" s="6">
        <f t="shared" si="8"/>
        <v>81</v>
      </c>
      <c r="P89" s="6">
        <f t="shared" si="9"/>
        <v>1941</v>
      </c>
      <c r="Q89">
        <f t="shared" si="10"/>
        <v>1</v>
      </c>
      <c r="R89">
        <f t="shared" si="11"/>
        <v>4</v>
      </c>
    </row>
    <row r="90" spans="1:18" x14ac:dyDescent="0.25">
      <c r="A90">
        <f>Raw_data!A90</f>
        <v>89</v>
      </c>
      <c r="B90" t="str">
        <f>Raw_data!B90</f>
        <v>C6892</v>
      </c>
      <c r="C90" t="str">
        <f>Raw_data!C90</f>
        <v>R2255</v>
      </c>
      <c r="D90" s="3">
        <f>Raw_data!D90</f>
        <v>45307.547175925924</v>
      </c>
      <c r="E90" s="3">
        <f>Raw_data!E90</f>
        <v>45307.606898148151</v>
      </c>
      <c r="F90" s="4">
        <f t="shared" si="6"/>
        <v>5.9722222227719612E-2</v>
      </c>
      <c r="G90" s="6">
        <f>Raw_data!F90</f>
        <v>1358</v>
      </c>
      <c r="H90" s="6">
        <f>Raw_data!G90</f>
        <v>40</v>
      </c>
      <c r="I90" t="str">
        <f>Raw_data!H90</f>
        <v>Digital Wallet</v>
      </c>
      <c r="J90" s="7" t="str">
        <f>IF(Raw_data!I90=0.1,"10%",Raw_data!I90)</f>
        <v>15% New User</v>
      </c>
      <c r="K90" s="6">
        <f>Raw_data!J90</f>
        <v>97</v>
      </c>
      <c r="L90" s="6">
        <f>Raw_data!K90</f>
        <v>10</v>
      </c>
      <c r="M90" s="6">
        <f>Raw_data!L90</f>
        <v>0</v>
      </c>
      <c r="N90" s="6">
        <f t="shared" si="7"/>
        <v>1251</v>
      </c>
      <c r="O90" s="6">
        <f t="shared" si="8"/>
        <v>107</v>
      </c>
      <c r="P90" s="6">
        <f t="shared" si="9"/>
        <v>1398</v>
      </c>
      <c r="Q90">
        <f t="shared" si="10"/>
        <v>1</v>
      </c>
      <c r="R90">
        <f t="shared" si="11"/>
        <v>1</v>
      </c>
    </row>
    <row r="91" spans="1:18" x14ac:dyDescent="0.25">
      <c r="A91">
        <f>Raw_data!A91</f>
        <v>90</v>
      </c>
      <c r="B91" t="str">
        <f>Raw_data!B91</f>
        <v>C4561</v>
      </c>
      <c r="C91" t="str">
        <f>Raw_data!C91</f>
        <v>R2733</v>
      </c>
      <c r="D91" s="3">
        <f>Raw_data!D91</f>
        <v>45320.792025462964</v>
      </c>
      <c r="E91" s="3">
        <f>Raw_data!E91</f>
        <v>45320.848275462966</v>
      </c>
      <c r="F91" s="4">
        <f t="shared" si="6"/>
        <v>5.6250000001455192E-2</v>
      </c>
      <c r="G91" s="6">
        <f>Raw_data!F91</f>
        <v>1565</v>
      </c>
      <c r="H91" s="6">
        <f>Raw_data!G91</f>
        <v>40</v>
      </c>
      <c r="I91" t="str">
        <f>Raw_data!H91</f>
        <v>Credit Card</v>
      </c>
      <c r="J91" s="7" t="str">
        <f>IF(Raw_data!I91=0.1,"10%",Raw_data!I91)</f>
        <v>5% on App</v>
      </c>
      <c r="K91" s="6">
        <f>Raw_data!J91</f>
        <v>164</v>
      </c>
      <c r="L91" s="6">
        <f>Raw_data!K91</f>
        <v>35</v>
      </c>
      <c r="M91" s="6">
        <f>Raw_data!L91</f>
        <v>0</v>
      </c>
      <c r="N91" s="6">
        <f t="shared" si="7"/>
        <v>1366</v>
      </c>
      <c r="O91" s="6">
        <f t="shared" si="8"/>
        <v>199</v>
      </c>
      <c r="P91" s="6">
        <f t="shared" si="9"/>
        <v>1605</v>
      </c>
      <c r="Q91">
        <f t="shared" si="10"/>
        <v>1</v>
      </c>
      <c r="R91">
        <f t="shared" si="11"/>
        <v>2</v>
      </c>
    </row>
    <row r="92" spans="1:18" x14ac:dyDescent="0.25">
      <c r="A92">
        <f>Raw_data!A92</f>
        <v>91</v>
      </c>
      <c r="B92" t="str">
        <f>Raw_data!B92</f>
        <v>C7184</v>
      </c>
      <c r="C92" t="str">
        <f>Raw_data!C92</f>
        <v>R2904</v>
      </c>
      <c r="D92" s="3">
        <f>Raw_data!D92</f>
        <v>45310.227233796293</v>
      </c>
      <c r="E92" s="3">
        <f>Raw_data!E92</f>
        <v>45310.277233796296</v>
      </c>
      <c r="F92" s="4">
        <f t="shared" si="6"/>
        <v>5.0000000002910383E-2</v>
      </c>
      <c r="G92" s="6">
        <f>Raw_data!F92</f>
        <v>1478</v>
      </c>
      <c r="H92" s="6">
        <f>Raw_data!G92</f>
        <v>50</v>
      </c>
      <c r="I92" t="str">
        <f>Raw_data!H92</f>
        <v>Digital Wallet</v>
      </c>
      <c r="J92" s="7" t="str">
        <f>IF(Raw_data!I92=0.1,"10%",Raw_data!I92)</f>
        <v>None</v>
      </c>
      <c r="K92" s="6">
        <f>Raw_data!J92</f>
        <v>90</v>
      </c>
      <c r="L92" s="6">
        <f>Raw_data!K92</f>
        <v>34</v>
      </c>
      <c r="M92" s="6">
        <f>Raw_data!L92</f>
        <v>0</v>
      </c>
      <c r="N92" s="6">
        <f t="shared" si="7"/>
        <v>1354</v>
      </c>
      <c r="O92" s="6">
        <f t="shared" si="8"/>
        <v>124</v>
      </c>
      <c r="P92" s="6">
        <f t="shared" si="9"/>
        <v>1528</v>
      </c>
      <c r="Q92">
        <f t="shared" si="10"/>
        <v>1</v>
      </c>
      <c r="R92">
        <f t="shared" si="11"/>
        <v>1</v>
      </c>
    </row>
    <row r="93" spans="1:18" x14ac:dyDescent="0.25">
      <c r="A93">
        <f>Raw_data!A93</f>
        <v>92</v>
      </c>
      <c r="B93" t="str">
        <f>Raw_data!B93</f>
        <v>C4099</v>
      </c>
      <c r="C93" t="str">
        <f>Raw_data!C93</f>
        <v>R2225</v>
      </c>
      <c r="D93" s="3">
        <f>Raw_data!D93</f>
        <v>45325.881215277775</v>
      </c>
      <c r="E93" s="3">
        <f>Raw_data!E93</f>
        <v>45325.906215277777</v>
      </c>
      <c r="F93" s="4">
        <f t="shared" si="6"/>
        <v>2.5000000001455192E-2</v>
      </c>
      <c r="G93" s="6">
        <f>Raw_data!F93</f>
        <v>614</v>
      </c>
      <c r="H93" s="6">
        <f>Raw_data!G93</f>
        <v>50</v>
      </c>
      <c r="I93" t="str">
        <f>Raw_data!H93</f>
        <v>Digital Wallet</v>
      </c>
      <c r="J93" s="7" t="str">
        <f>IF(Raw_data!I93=0.1,"10%",Raw_data!I93)</f>
        <v>50 off Promo</v>
      </c>
      <c r="K93" s="6">
        <f>Raw_data!J93</f>
        <v>97</v>
      </c>
      <c r="L93" s="6">
        <f>Raw_data!K93</f>
        <v>25</v>
      </c>
      <c r="M93" s="6">
        <f>Raw_data!L93</f>
        <v>150</v>
      </c>
      <c r="N93" s="6">
        <f t="shared" si="7"/>
        <v>492</v>
      </c>
      <c r="O93" s="6">
        <f t="shared" si="8"/>
        <v>-28</v>
      </c>
      <c r="P93" s="6">
        <f t="shared" si="9"/>
        <v>664</v>
      </c>
      <c r="Q93">
        <f t="shared" si="10"/>
        <v>1</v>
      </c>
      <c r="R93">
        <f t="shared" si="11"/>
        <v>4</v>
      </c>
    </row>
    <row r="94" spans="1:18" x14ac:dyDescent="0.25">
      <c r="A94">
        <f>Raw_data!A94</f>
        <v>93</v>
      </c>
      <c r="B94" t="str">
        <f>Raw_data!B94</f>
        <v>C7278</v>
      </c>
      <c r="C94" t="str">
        <f>Raw_data!C94</f>
        <v>R2052</v>
      </c>
      <c r="D94" s="3">
        <f>Raw_data!D94</f>
        <v>45315.714016203703</v>
      </c>
      <c r="E94" s="3">
        <f>Raw_data!E94</f>
        <v>45315.763321759259</v>
      </c>
      <c r="F94" s="4">
        <f t="shared" si="6"/>
        <v>4.9305555556202307E-2</v>
      </c>
      <c r="G94" s="6">
        <f>Raw_data!F94</f>
        <v>1331</v>
      </c>
      <c r="H94" s="6">
        <f>Raw_data!G94</f>
        <v>50</v>
      </c>
      <c r="I94" t="str">
        <f>Raw_data!H94</f>
        <v>Cash on Delivery</v>
      </c>
      <c r="J94" s="7" t="str">
        <f>IF(Raw_data!I94=0.1,"10%",Raw_data!I94)</f>
        <v>15% New User</v>
      </c>
      <c r="K94" s="6">
        <f>Raw_data!J94</f>
        <v>74</v>
      </c>
      <c r="L94" s="6">
        <f>Raw_data!K94</f>
        <v>24</v>
      </c>
      <c r="M94" s="6">
        <f>Raw_data!L94</f>
        <v>50</v>
      </c>
      <c r="N94" s="6">
        <f t="shared" si="7"/>
        <v>1233</v>
      </c>
      <c r="O94" s="6">
        <f t="shared" si="8"/>
        <v>48</v>
      </c>
      <c r="P94" s="6">
        <f t="shared" si="9"/>
        <v>1381</v>
      </c>
      <c r="Q94">
        <f t="shared" si="10"/>
        <v>1</v>
      </c>
      <c r="R94">
        <f t="shared" si="11"/>
        <v>1</v>
      </c>
    </row>
    <row r="95" spans="1:18" x14ac:dyDescent="0.25">
      <c r="A95">
        <f>Raw_data!A95</f>
        <v>94</v>
      </c>
      <c r="B95" t="str">
        <f>Raw_data!B95</f>
        <v>C9392</v>
      </c>
      <c r="C95" t="str">
        <f>Raw_data!C95</f>
        <v>R2939</v>
      </c>
      <c r="D95" s="3">
        <f>Raw_data!D95</f>
        <v>45320.875439814816</v>
      </c>
      <c r="E95" s="3">
        <f>Raw_data!E95</f>
        <v>45320.898356481484</v>
      </c>
      <c r="F95" s="4">
        <f t="shared" si="6"/>
        <v>2.2916666668606922E-2</v>
      </c>
      <c r="G95" s="6">
        <f>Raw_data!F95</f>
        <v>808</v>
      </c>
      <c r="H95" s="6">
        <f>Raw_data!G95</f>
        <v>30</v>
      </c>
      <c r="I95" t="str">
        <f>Raw_data!H95</f>
        <v>Cash on Delivery</v>
      </c>
      <c r="J95" s="7" t="str">
        <f>IF(Raw_data!I95=0.1,"10%",Raw_data!I95)</f>
        <v>5% on App</v>
      </c>
      <c r="K95" s="6">
        <f>Raw_data!J95</f>
        <v>165</v>
      </c>
      <c r="L95" s="6">
        <f>Raw_data!K95</f>
        <v>35</v>
      </c>
      <c r="M95" s="6">
        <f>Raw_data!L95</f>
        <v>0</v>
      </c>
      <c r="N95" s="6">
        <f t="shared" si="7"/>
        <v>608</v>
      </c>
      <c r="O95" s="6">
        <f t="shared" si="8"/>
        <v>200</v>
      </c>
      <c r="P95" s="6">
        <f t="shared" si="9"/>
        <v>838</v>
      </c>
      <c r="Q95">
        <f t="shared" si="10"/>
        <v>1</v>
      </c>
      <c r="R95">
        <f t="shared" si="11"/>
        <v>3</v>
      </c>
    </row>
    <row r="96" spans="1:18" x14ac:dyDescent="0.25">
      <c r="A96">
        <f>Raw_data!A96</f>
        <v>95</v>
      </c>
      <c r="B96" t="str">
        <f>Raw_data!B96</f>
        <v>C4104</v>
      </c>
      <c r="C96" t="str">
        <f>Raw_data!C96</f>
        <v>R2866</v>
      </c>
      <c r="D96" s="3">
        <f>Raw_data!D96</f>
        <v>45305.546747685185</v>
      </c>
      <c r="E96" s="3">
        <f>Raw_data!E96</f>
        <v>45305.614803240744</v>
      </c>
      <c r="F96" s="4">
        <f t="shared" si="6"/>
        <v>6.805555555911269E-2</v>
      </c>
      <c r="G96" s="6">
        <f>Raw_data!F96</f>
        <v>1976</v>
      </c>
      <c r="H96" s="6">
        <f>Raw_data!G96</f>
        <v>40</v>
      </c>
      <c r="I96" t="str">
        <f>Raw_data!H96</f>
        <v>Credit Card</v>
      </c>
      <c r="J96" s="7" t="str">
        <f>IF(Raw_data!I96=0.1,"10%",Raw_data!I96)</f>
        <v>None</v>
      </c>
      <c r="K96" s="6">
        <f>Raw_data!J96</f>
        <v>127</v>
      </c>
      <c r="L96" s="6">
        <f>Raw_data!K96</f>
        <v>25</v>
      </c>
      <c r="M96" s="6">
        <f>Raw_data!L96</f>
        <v>50</v>
      </c>
      <c r="N96" s="6">
        <f t="shared" si="7"/>
        <v>1824</v>
      </c>
      <c r="O96" s="6">
        <f t="shared" si="8"/>
        <v>102</v>
      </c>
      <c r="P96" s="6">
        <f t="shared" si="9"/>
        <v>2016</v>
      </c>
      <c r="Q96">
        <f t="shared" si="10"/>
        <v>1</v>
      </c>
      <c r="R96">
        <f t="shared" si="11"/>
        <v>2</v>
      </c>
    </row>
    <row r="97" spans="1:18" x14ac:dyDescent="0.25">
      <c r="A97">
        <f>Raw_data!A97</f>
        <v>96</v>
      </c>
      <c r="B97" t="str">
        <f>Raw_data!B97</f>
        <v>C8215</v>
      </c>
      <c r="C97" t="str">
        <f>Raw_data!C97</f>
        <v>R2499</v>
      </c>
      <c r="D97" s="3">
        <f>Raw_data!D97</f>
        <v>45301.220567129632</v>
      </c>
      <c r="E97" s="3">
        <f>Raw_data!E97</f>
        <v>45301.24417824074</v>
      </c>
      <c r="F97" s="4">
        <f t="shared" si="6"/>
        <v>2.361111110803904E-2</v>
      </c>
      <c r="G97" s="6">
        <f>Raw_data!F97</f>
        <v>1248</v>
      </c>
      <c r="H97" s="6">
        <f>Raw_data!G97</f>
        <v>40</v>
      </c>
      <c r="I97" t="str">
        <f>Raw_data!H97</f>
        <v>Cash on Delivery</v>
      </c>
      <c r="J97" s="7" t="str">
        <f>IF(Raw_data!I97=0.1,"10%",Raw_data!I97)</f>
        <v>50 off Promo</v>
      </c>
      <c r="K97" s="6">
        <f>Raw_data!J97</f>
        <v>157</v>
      </c>
      <c r="L97" s="6">
        <f>Raw_data!K97</f>
        <v>23</v>
      </c>
      <c r="M97" s="6">
        <f>Raw_data!L97</f>
        <v>0</v>
      </c>
      <c r="N97" s="6">
        <f t="shared" si="7"/>
        <v>1068</v>
      </c>
      <c r="O97" s="6">
        <f t="shared" si="8"/>
        <v>180</v>
      </c>
      <c r="P97" s="6">
        <f t="shared" si="9"/>
        <v>1288</v>
      </c>
      <c r="Q97">
        <f t="shared" si="10"/>
        <v>1</v>
      </c>
      <c r="R97">
        <f t="shared" si="11"/>
        <v>2</v>
      </c>
    </row>
    <row r="98" spans="1:18" x14ac:dyDescent="0.25">
      <c r="A98">
        <f>Raw_data!A98</f>
        <v>97</v>
      </c>
      <c r="B98" t="str">
        <f>Raw_data!B98</f>
        <v>C3454</v>
      </c>
      <c r="C98" t="str">
        <f>Raw_data!C98</f>
        <v>R2505</v>
      </c>
      <c r="D98" s="3">
        <f>Raw_data!D98</f>
        <v>45299.491851851853</v>
      </c>
      <c r="E98" s="3">
        <f>Raw_data!E98</f>
        <v>45299.564074074071</v>
      </c>
      <c r="F98" s="4">
        <f t="shared" si="6"/>
        <v>7.2222222217533272E-2</v>
      </c>
      <c r="G98" s="6">
        <f>Raw_data!F98</f>
        <v>237</v>
      </c>
      <c r="H98" s="6">
        <f>Raw_data!G98</f>
        <v>30</v>
      </c>
      <c r="I98" t="str">
        <f>Raw_data!H98</f>
        <v>Digital Wallet</v>
      </c>
      <c r="J98" s="7" t="str">
        <f>IF(Raw_data!I98=0.1,"10%",Raw_data!I98)</f>
        <v>5% on App</v>
      </c>
      <c r="K98" s="6">
        <f>Raw_data!J98</f>
        <v>74</v>
      </c>
      <c r="L98" s="6">
        <f>Raw_data!K98</f>
        <v>38</v>
      </c>
      <c r="M98" s="6">
        <f>Raw_data!L98</f>
        <v>0</v>
      </c>
      <c r="N98" s="6">
        <f t="shared" si="7"/>
        <v>125</v>
      </c>
      <c r="O98" s="6">
        <f t="shared" si="8"/>
        <v>112</v>
      </c>
      <c r="P98" s="6">
        <f t="shared" si="9"/>
        <v>267</v>
      </c>
      <c r="Q98">
        <f t="shared" si="10"/>
        <v>1</v>
      </c>
      <c r="R98">
        <f t="shared" si="11"/>
        <v>2</v>
      </c>
    </row>
    <row r="99" spans="1:18" x14ac:dyDescent="0.25">
      <c r="A99">
        <f>Raw_data!A99</f>
        <v>98</v>
      </c>
      <c r="B99" t="str">
        <f>Raw_data!B99</f>
        <v>C9996</v>
      </c>
      <c r="C99" t="str">
        <f>Raw_data!C99</f>
        <v>R2853</v>
      </c>
      <c r="D99" s="3">
        <f>Raw_data!D99</f>
        <v>45309.93173611111</v>
      </c>
      <c r="E99" s="3">
        <f>Raw_data!E99</f>
        <v>45310.007430555554</v>
      </c>
      <c r="F99" s="4">
        <f t="shared" si="6"/>
        <v>7.5694444443797693E-2</v>
      </c>
      <c r="G99" s="6">
        <f>Raw_data!F99</f>
        <v>438</v>
      </c>
      <c r="H99" s="6">
        <f>Raw_data!G99</f>
        <v>50</v>
      </c>
      <c r="I99" t="str">
        <f>Raw_data!H99</f>
        <v>Cash on Delivery</v>
      </c>
      <c r="J99" s="7" t="str">
        <f>IF(Raw_data!I99=0.1,"10%",Raw_data!I99)</f>
        <v>50 off Promo</v>
      </c>
      <c r="K99" s="6">
        <f>Raw_data!J99</f>
        <v>196</v>
      </c>
      <c r="L99" s="6">
        <f>Raw_data!K99</f>
        <v>33</v>
      </c>
      <c r="M99" s="6">
        <f>Raw_data!L99</f>
        <v>0</v>
      </c>
      <c r="N99" s="6">
        <f t="shared" si="7"/>
        <v>209</v>
      </c>
      <c r="O99" s="6">
        <f t="shared" si="8"/>
        <v>229</v>
      </c>
      <c r="P99" s="6">
        <f t="shared" si="9"/>
        <v>488</v>
      </c>
      <c r="Q99">
        <f t="shared" si="10"/>
        <v>1</v>
      </c>
      <c r="R99">
        <f t="shared" si="11"/>
        <v>1</v>
      </c>
    </row>
    <row r="100" spans="1:18" x14ac:dyDescent="0.25">
      <c r="A100">
        <f>Raw_data!A100</f>
        <v>99</v>
      </c>
      <c r="B100" t="str">
        <f>Raw_data!B100</f>
        <v>C3731</v>
      </c>
      <c r="C100" t="str">
        <f>Raw_data!C100</f>
        <v>R2363</v>
      </c>
      <c r="D100" s="3">
        <f>Raw_data!D100</f>
        <v>45328.145266203705</v>
      </c>
      <c r="E100" s="3">
        <f>Raw_data!E100</f>
        <v>45328.193877314814</v>
      </c>
      <c r="F100" s="4">
        <f t="shared" si="6"/>
        <v>4.8611111109494232E-2</v>
      </c>
      <c r="G100" s="6">
        <f>Raw_data!F100</f>
        <v>636</v>
      </c>
      <c r="H100" s="6">
        <f>Raw_data!G100</f>
        <v>20</v>
      </c>
      <c r="I100" t="str">
        <f>Raw_data!H100</f>
        <v>Credit Card</v>
      </c>
      <c r="J100" s="7" t="str">
        <f>IF(Raw_data!I100=0.1,"10%",Raw_data!I100)</f>
        <v>15% New User</v>
      </c>
      <c r="K100" s="6">
        <f>Raw_data!J100</f>
        <v>88</v>
      </c>
      <c r="L100" s="6">
        <f>Raw_data!K100</f>
        <v>24</v>
      </c>
      <c r="M100" s="6">
        <f>Raw_data!L100</f>
        <v>0</v>
      </c>
      <c r="N100" s="6">
        <f t="shared" si="7"/>
        <v>524</v>
      </c>
      <c r="O100" s="6">
        <f t="shared" si="8"/>
        <v>112</v>
      </c>
      <c r="P100" s="6">
        <f t="shared" si="9"/>
        <v>656</v>
      </c>
      <c r="Q100">
        <f t="shared" si="10"/>
        <v>1</v>
      </c>
      <c r="R100">
        <f t="shared" si="11"/>
        <v>3</v>
      </c>
    </row>
    <row r="101" spans="1:18" x14ac:dyDescent="0.25">
      <c r="A101">
        <f>Raw_data!A101</f>
        <v>100</v>
      </c>
      <c r="B101" t="str">
        <f>Raw_data!B101</f>
        <v>C9154</v>
      </c>
      <c r="C101" t="str">
        <f>Raw_data!C101</f>
        <v>R2279</v>
      </c>
      <c r="D101" s="3">
        <f>Raw_data!D101</f>
        <v>45311.429247685184</v>
      </c>
      <c r="E101" s="3">
        <f>Raw_data!E101</f>
        <v>45311.452164351853</v>
      </c>
      <c r="F101" s="4">
        <f t="shared" si="6"/>
        <v>2.2916666668606922E-2</v>
      </c>
      <c r="G101" s="6">
        <f>Raw_data!F101</f>
        <v>167</v>
      </c>
      <c r="H101" s="6">
        <f>Raw_data!G101</f>
        <v>50</v>
      </c>
      <c r="I101" t="str">
        <f>Raw_data!H101</f>
        <v>Digital Wallet</v>
      </c>
      <c r="J101" s="7" t="str">
        <f>IF(Raw_data!I101=0.1,"10%",Raw_data!I101)</f>
        <v>None</v>
      </c>
      <c r="K101" s="6">
        <f>Raw_data!J101</f>
        <v>168</v>
      </c>
      <c r="L101" s="6">
        <f>Raw_data!K101</f>
        <v>28</v>
      </c>
      <c r="M101" s="6">
        <f>Raw_data!L101</f>
        <v>0</v>
      </c>
      <c r="N101" s="6">
        <f t="shared" si="7"/>
        <v>-29</v>
      </c>
      <c r="O101" s="6">
        <f t="shared" si="8"/>
        <v>196</v>
      </c>
      <c r="P101" s="6">
        <f t="shared" si="9"/>
        <v>217</v>
      </c>
      <c r="Q101">
        <f t="shared" si="10"/>
        <v>1</v>
      </c>
      <c r="R101">
        <f t="shared" si="11"/>
        <v>1</v>
      </c>
    </row>
    <row r="102" spans="1:18" x14ac:dyDescent="0.25">
      <c r="A102">
        <f>Raw_data!A102</f>
        <v>101</v>
      </c>
      <c r="B102" t="str">
        <f>Raw_data!B102</f>
        <v>C6056</v>
      </c>
      <c r="C102" t="str">
        <f>Raw_data!C102</f>
        <v>R2592</v>
      </c>
      <c r="D102" s="3">
        <f>Raw_data!D102</f>
        <v>45301.260428240741</v>
      </c>
      <c r="E102" s="3">
        <f>Raw_data!E102</f>
        <v>45301.281956018516</v>
      </c>
      <c r="F102" s="4">
        <f t="shared" si="6"/>
        <v>2.1527777775190771E-2</v>
      </c>
      <c r="G102" s="6">
        <f>Raw_data!F102</f>
        <v>1696</v>
      </c>
      <c r="H102" s="6">
        <f>Raw_data!G102</f>
        <v>50</v>
      </c>
      <c r="I102" t="str">
        <f>Raw_data!H102</f>
        <v>Credit Card</v>
      </c>
      <c r="J102" s="7" t="str">
        <f>IF(Raw_data!I102=0.1,"10%",Raw_data!I102)</f>
        <v>5% on App</v>
      </c>
      <c r="K102" s="6">
        <f>Raw_data!J102</f>
        <v>128</v>
      </c>
      <c r="L102" s="6">
        <f>Raw_data!K102</f>
        <v>17</v>
      </c>
      <c r="M102" s="6">
        <f>Raw_data!L102</f>
        <v>0</v>
      </c>
      <c r="N102" s="6">
        <f t="shared" si="7"/>
        <v>1551</v>
      </c>
      <c r="O102" s="6">
        <f t="shared" si="8"/>
        <v>145</v>
      </c>
      <c r="P102" s="6">
        <f t="shared" si="9"/>
        <v>1746</v>
      </c>
      <c r="Q102">
        <f t="shared" si="10"/>
        <v>1</v>
      </c>
      <c r="R102">
        <f t="shared" si="11"/>
        <v>2</v>
      </c>
    </row>
    <row r="103" spans="1:18" x14ac:dyDescent="0.25">
      <c r="A103">
        <f>Raw_data!A103</f>
        <v>102</v>
      </c>
      <c r="B103" t="str">
        <f>Raw_data!B103</f>
        <v>C9110</v>
      </c>
      <c r="C103" t="str">
        <f>Raw_data!C103</f>
        <v>R2713</v>
      </c>
      <c r="D103" s="3">
        <f>Raw_data!D103</f>
        <v>45314.678310185183</v>
      </c>
      <c r="E103" s="3">
        <f>Raw_data!E103</f>
        <v>45314.744976851849</v>
      </c>
      <c r="F103" s="4">
        <f t="shared" si="6"/>
        <v>6.6666666665696539E-2</v>
      </c>
      <c r="G103" s="6">
        <f>Raw_data!F103</f>
        <v>1664</v>
      </c>
      <c r="H103" s="6">
        <f>Raw_data!G103</f>
        <v>30</v>
      </c>
      <c r="I103" t="str">
        <f>Raw_data!H103</f>
        <v>Cash on Delivery</v>
      </c>
      <c r="J103" s="7" t="str">
        <f>IF(Raw_data!I103=0.1,"10%",Raw_data!I103)</f>
        <v>None</v>
      </c>
      <c r="K103" s="6">
        <f>Raw_data!J103</f>
        <v>129</v>
      </c>
      <c r="L103" s="6">
        <f>Raw_data!K103</f>
        <v>43</v>
      </c>
      <c r="M103" s="6">
        <f>Raw_data!L103</f>
        <v>0</v>
      </c>
      <c r="N103" s="6">
        <f t="shared" si="7"/>
        <v>1492</v>
      </c>
      <c r="O103" s="6">
        <f t="shared" si="8"/>
        <v>172</v>
      </c>
      <c r="P103" s="6">
        <f t="shared" si="9"/>
        <v>1694</v>
      </c>
      <c r="Q103">
        <f t="shared" si="10"/>
        <v>1</v>
      </c>
      <c r="R103">
        <f t="shared" si="11"/>
        <v>3</v>
      </c>
    </row>
    <row r="104" spans="1:18" x14ac:dyDescent="0.25">
      <c r="A104">
        <f>Raw_data!A104</f>
        <v>103</v>
      </c>
      <c r="B104" t="str">
        <f>Raw_data!B104</f>
        <v>C4840</v>
      </c>
      <c r="C104" t="str">
        <f>Raw_data!C104</f>
        <v>R2157</v>
      </c>
      <c r="D104" s="3">
        <f>Raw_data!D104</f>
        <v>45311.48542824074</v>
      </c>
      <c r="E104" s="3">
        <f>Raw_data!E104</f>
        <v>45311.520150462966</v>
      </c>
      <c r="F104" s="4">
        <f t="shared" si="6"/>
        <v>3.4722222226264421E-2</v>
      </c>
      <c r="G104" s="6">
        <f>Raw_data!F104</f>
        <v>482</v>
      </c>
      <c r="H104" s="6">
        <f>Raw_data!G104</f>
        <v>40</v>
      </c>
      <c r="I104" t="str">
        <f>Raw_data!H104</f>
        <v>Cash on Delivery</v>
      </c>
      <c r="J104" s="7" t="str">
        <f>IF(Raw_data!I104=0.1,"10%",Raw_data!I104)</f>
        <v>15% New User</v>
      </c>
      <c r="K104" s="6">
        <f>Raw_data!J104</f>
        <v>76</v>
      </c>
      <c r="L104" s="6">
        <f>Raw_data!K104</f>
        <v>11</v>
      </c>
      <c r="M104" s="6">
        <f>Raw_data!L104</f>
        <v>0</v>
      </c>
      <c r="N104" s="6">
        <f t="shared" si="7"/>
        <v>395</v>
      </c>
      <c r="O104" s="6">
        <f t="shared" si="8"/>
        <v>87</v>
      </c>
      <c r="P104" s="6">
        <f t="shared" si="9"/>
        <v>522</v>
      </c>
      <c r="Q104">
        <f t="shared" si="10"/>
        <v>1</v>
      </c>
      <c r="R104">
        <f t="shared" si="11"/>
        <v>1</v>
      </c>
    </row>
    <row r="105" spans="1:18" x14ac:dyDescent="0.25">
      <c r="A105">
        <f>Raw_data!A105</f>
        <v>104</v>
      </c>
      <c r="B105" t="str">
        <f>Raw_data!B105</f>
        <v>C2028</v>
      </c>
      <c r="C105" t="str">
        <f>Raw_data!C105</f>
        <v>R2631</v>
      </c>
      <c r="D105" s="3">
        <f>Raw_data!D105</f>
        <v>45313.062754629631</v>
      </c>
      <c r="E105" s="3">
        <f>Raw_data!E105</f>
        <v>45313.131504629629</v>
      </c>
      <c r="F105" s="4">
        <f t="shared" si="6"/>
        <v>6.8749999998544808E-2</v>
      </c>
      <c r="G105" s="6">
        <f>Raw_data!F105</f>
        <v>118</v>
      </c>
      <c r="H105" s="6">
        <f>Raw_data!G105</f>
        <v>50</v>
      </c>
      <c r="I105" t="str">
        <f>Raw_data!H105</f>
        <v>Credit Card</v>
      </c>
      <c r="J105" s="7" t="str">
        <f>IF(Raw_data!I105=0.1,"10%",Raw_data!I105)</f>
        <v>None</v>
      </c>
      <c r="K105" s="6">
        <f>Raw_data!J105</f>
        <v>153</v>
      </c>
      <c r="L105" s="6">
        <f>Raw_data!K105</f>
        <v>36</v>
      </c>
      <c r="M105" s="6">
        <f>Raw_data!L105</f>
        <v>0</v>
      </c>
      <c r="N105" s="6">
        <f t="shared" si="7"/>
        <v>-71</v>
      </c>
      <c r="O105" s="6">
        <f t="shared" si="8"/>
        <v>189</v>
      </c>
      <c r="P105" s="6">
        <f t="shared" si="9"/>
        <v>168</v>
      </c>
      <c r="Q105">
        <f t="shared" si="10"/>
        <v>1</v>
      </c>
      <c r="R105">
        <f t="shared" si="11"/>
        <v>1</v>
      </c>
    </row>
    <row r="106" spans="1:18" x14ac:dyDescent="0.25">
      <c r="A106">
        <f>Raw_data!A106</f>
        <v>105</v>
      </c>
      <c r="B106" t="str">
        <f>Raw_data!B106</f>
        <v>C8385</v>
      </c>
      <c r="C106" t="str">
        <f>Raw_data!C106</f>
        <v>R2058</v>
      </c>
      <c r="D106" s="3">
        <f>Raw_data!D106</f>
        <v>45304.08630787037</v>
      </c>
      <c r="E106" s="3">
        <f>Raw_data!E106</f>
        <v>45304.136307870373</v>
      </c>
      <c r="F106" s="4">
        <f t="shared" si="6"/>
        <v>5.0000000002910383E-2</v>
      </c>
      <c r="G106" s="6">
        <f>Raw_data!F106</f>
        <v>782</v>
      </c>
      <c r="H106" s="6">
        <f>Raw_data!G106</f>
        <v>40</v>
      </c>
      <c r="I106" t="str">
        <f>Raw_data!H106</f>
        <v>Digital Wallet</v>
      </c>
      <c r="J106" s="7" t="str">
        <f>IF(Raw_data!I106=0.1,"10%",Raw_data!I106)</f>
        <v>None</v>
      </c>
      <c r="K106" s="6">
        <f>Raw_data!J106</f>
        <v>123</v>
      </c>
      <c r="L106" s="6">
        <f>Raw_data!K106</f>
        <v>19</v>
      </c>
      <c r="M106" s="6">
        <f>Raw_data!L106</f>
        <v>0</v>
      </c>
      <c r="N106" s="6">
        <f t="shared" si="7"/>
        <v>640</v>
      </c>
      <c r="O106" s="6">
        <f t="shared" si="8"/>
        <v>142</v>
      </c>
      <c r="P106" s="6">
        <f t="shared" si="9"/>
        <v>822</v>
      </c>
      <c r="Q106">
        <f t="shared" si="10"/>
        <v>1</v>
      </c>
      <c r="R106">
        <f t="shared" si="11"/>
        <v>2</v>
      </c>
    </row>
    <row r="107" spans="1:18" x14ac:dyDescent="0.25">
      <c r="A107">
        <f>Raw_data!A107</f>
        <v>106</v>
      </c>
      <c r="B107" t="str">
        <f>Raw_data!B107</f>
        <v>C1502</v>
      </c>
      <c r="C107" t="str">
        <f>Raw_data!C107</f>
        <v>R2726</v>
      </c>
      <c r="D107" s="3">
        <f>Raw_data!D107</f>
        <v>45316.83185185185</v>
      </c>
      <c r="E107" s="3">
        <f>Raw_data!E107</f>
        <v>45316.908935185187</v>
      </c>
      <c r="F107" s="4">
        <f t="shared" si="6"/>
        <v>7.7083333337213844E-2</v>
      </c>
      <c r="G107" s="6">
        <f>Raw_data!F107</f>
        <v>1573</v>
      </c>
      <c r="H107" s="6">
        <f>Raw_data!G107</f>
        <v>0</v>
      </c>
      <c r="I107" t="str">
        <f>Raw_data!H107</f>
        <v>Cash on Delivery</v>
      </c>
      <c r="J107" s="7" t="str">
        <f>IF(Raw_data!I107=0.1,"10%",Raw_data!I107)</f>
        <v>10%</v>
      </c>
      <c r="K107" s="6">
        <f>Raw_data!J107</f>
        <v>117</v>
      </c>
      <c r="L107" s="6">
        <f>Raw_data!K107</f>
        <v>44</v>
      </c>
      <c r="M107" s="6">
        <f>Raw_data!L107</f>
        <v>0</v>
      </c>
      <c r="N107" s="6">
        <f t="shared" si="7"/>
        <v>1412</v>
      </c>
      <c r="O107" s="6">
        <f t="shared" si="8"/>
        <v>161</v>
      </c>
      <c r="P107" s="6">
        <f t="shared" si="9"/>
        <v>1573</v>
      </c>
      <c r="Q107">
        <f t="shared" si="10"/>
        <v>1</v>
      </c>
      <c r="R107">
        <f t="shared" si="11"/>
        <v>5</v>
      </c>
    </row>
    <row r="108" spans="1:18" x14ac:dyDescent="0.25">
      <c r="A108">
        <f>Raw_data!A108</f>
        <v>107</v>
      </c>
      <c r="B108" t="str">
        <f>Raw_data!B108</f>
        <v>C7910</v>
      </c>
      <c r="C108" t="str">
        <f>Raw_data!C108</f>
        <v>R2127</v>
      </c>
      <c r="D108" s="3">
        <f>Raw_data!D108</f>
        <v>45303.168032407404</v>
      </c>
      <c r="E108" s="3">
        <f>Raw_data!E108</f>
        <v>45303.236087962963</v>
      </c>
      <c r="F108" s="4">
        <f t="shared" si="6"/>
        <v>6.805555555911269E-2</v>
      </c>
      <c r="G108" s="6">
        <f>Raw_data!F108</f>
        <v>173</v>
      </c>
      <c r="H108" s="6">
        <f>Raw_data!G108</f>
        <v>40</v>
      </c>
      <c r="I108" t="str">
        <f>Raw_data!H108</f>
        <v>Cash on Delivery</v>
      </c>
      <c r="J108" s="7" t="str">
        <f>IF(Raw_data!I108=0.1,"10%",Raw_data!I108)</f>
        <v>None</v>
      </c>
      <c r="K108" s="6">
        <f>Raw_data!J108</f>
        <v>196</v>
      </c>
      <c r="L108" s="6">
        <f>Raw_data!K108</f>
        <v>32</v>
      </c>
      <c r="M108" s="6">
        <f>Raw_data!L108</f>
        <v>50</v>
      </c>
      <c r="N108" s="6">
        <f t="shared" si="7"/>
        <v>-55</v>
      </c>
      <c r="O108" s="6">
        <f t="shared" si="8"/>
        <v>178</v>
      </c>
      <c r="P108" s="6">
        <f t="shared" si="9"/>
        <v>213</v>
      </c>
      <c r="Q108">
        <f t="shared" si="10"/>
        <v>1</v>
      </c>
      <c r="R108">
        <f t="shared" si="11"/>
        <v>2</v>
      </c>
    </row>
    <row r="109" spans="1:18" x14ac:dyDescent="0.25">
      <c r="A109">
        <f>Raw_data!A109</f>
        <v>108</v>
      </c>
      <c r="B109" t="str">
        <f>Raw_data!B109</f>
        <v>C7938</v>
      </c>
      <c r="C109" t="str">
        <f>Raw_data!C109</f>
        <v>R2735</v>
      </c>
      <c r="D109" s="3">
        <f>Raw_data!D109</f>
        <v>45297.749513888892</v>
      </c>
      <c r="E109" s="3">
        <f>Raw_data!E109</f>
        <v>45297.775902777779</v>
      </c>
      <c r="F109" s="4">
        <f t="shared" si="6"/>
        <v>2.6388888887595385E-2</v>
      </c>
      <c r="G109" s="6">
        <f>Raw_data!F109</f>
        <v>672</v>
      </c>
      <c r="H109" s="6">
        <f>Raw_data!G109</f>
        <v>20</v>
      </c>
      <c r="I109" t="str">
        <f>Raw_data!H109</f>
        <v>Digital Wallet</v>
      </c>
      <c r="J109" s="7" t="str">
        <f>IF(Raw_data!I109=0.1,"10%",Raw_data!I109)</f>
        <v>50 off Promo</v>
      </c>
      <c r="K109" s="6">
        <f>Raw_data!J109</f>
        <v>77</v>
      </c>
      <c r="L109" s="6">
        <f>Raw_data!K109</f>
        <v>17</v>
      </c>
      <c r="M109" s="6">
        <f>Raw_data!L109</f>
        <v>0</v>
      </c>
      <c r="N109" s="6">
        <f t="shared" si="7"/>
        <v>578</v>
      </c>
      <c r="O109" s="6">
        <f t="shared" si="8"/>
        <v>94</v>
      </c>
      <c r="P109" s="6">
        <f t="shared" si="9"/>
        <v>692</v>
      </c>
      <c r="Q109">
        <f t="shared" si="10"/>
        <v>3</v>
      </c>
      <c r="R109">
        <f t="shared" si="11"/>
        <v>1</v>
      </c>
    </row>
    <row r="110" spans="1:18" x14ac:dyDescent="0.25">
      <c r="A110">
        <f>Raw_data!A110</f>
        <v>109</v>
      </c>
      <c r="B110" t="str">
        <f>Raw_data!B110</f>
        <v>C5488</v>
      </c>
      <c r="C110" t="str">
        <f>Raw_data!C110</f>
        <v>R2720</v>
      </c>
      <c r="D110" s="3">
        <f>Raw_data!D110</f>
        <v>45305.833622685182</v>
      </c>
      <c r="E110" s="3">
        <f>Raw_data!E110</f>
        <v>45305.912094907406</v>
      </c>
      <c r="F110" s="4">
        <f t="shared" si="6"/>
        <v>7.8472222223354038E-2</v>
      </c>
      <c r="G110" s="6">
        <f>Raw_data!F110</f>
        <v>1038</v>
      </c>
      <c r="H110" s="6">
        <f>Raw_data!G110</f>
        <v>20</v>
      </c>
      <c r="I110" t="str">
        <f>Raw_data!H110</f>
        <v>Cash on Delivery</v>
      </c>
      <c r="J110" s="7" t="str">
        <f>IF(Raw_data!I110=0.1,"10%",Raw_data!I110)</f>
        <v>5% on App</v>
      </c>
      <c r="K110" s="6">
        <f>Raw_data!J110</f>
        <v>172</v>
      </c>
      <c r="L110" s="6">
        <f>Raw_data!K110</f>
        <v>37</v>
      </c>
      <c r="M110" s="6">
        <f>Raw_data!L110</f>
        <v>100</v>
      </c>
      <c r="N110" s="6">
        <f t="shared" si="7"/>
        <v>829</v>
      </c>
      <c r="O110" s="6">
        <f t="shared" si="8"/>
        <v>109</v>
      </c>
      <c r="P110" s="6">
        <f t="shared" si="9"/>
        <v>1058</v>
      </c>
      <c r="Q110">
        <f t="shared" si="10"/>
        <v>1</v>
      </c>
      <c r="R110">
        <f t="shared" si="11"/>
        <v>2</v>
      </c>
    </row>
    <row r="111" spans="1:18" x14ac:dyDescent="0.25">
      <c r="A111">
        <f>Raw_data!A111</f>
        <v>110</v>
      </c>
      <c r="B111" t="str">
        <f>Raw_data!B111</f>
        <v>C1206</v>
      </c>
      <c r="C111" t="str">
        <f>Raw_data!C111</f>
        <v>R2881</v>
      </c>
      <c r="D111" s="3">
        <f>Raw_data!D111</f>
        <v>45305.587152777778</v>
      </c>
      <c r="E111" s="3">
        <f>Raw_data!E111</f>
        <v>45305.626736111109</v>
      </c>
      <c r="F111" s="4">
        <f t="shared" si="6"/>
        <v>3.9583333331393078E-2</v>
      </c>
      <c r="G111" s="6">
        <f>Raw_data!F111</f>
        <v>1788</v>
      </c>
      <c r="H111" s="6">
        <f>Raw_data!G111</f>
        <v>50</v>
      </c>
      <c r="I111" t="str">
        <f>Raw_data!H111</f>
        <v>Credit Card</v>
      </c>
      <c r="J111" s="7" t="str">
        <f>IF(Raw_data!I111=0.1,"10%",Raw_data!I111)</f>
        <v>10%</v>
      </c>
      <c r="K111" s="6">
        <f>Raw_data!J111</f>
        <v>187</v>
      </c>
      <c r="L111" s="6">
        <f>Raw_data!K111</f>
        <v>32</v>
      </c>
      <c r="M111" s="6">
        <f>Raw_data!L111</f>
        <v>0</v>
      </c>
      <c r="N111" s="6">
        <f t="shared" si="7"/>
        <v>1569</v>
      </c>
      <c r="O111" s="6">
        <f t="shared" si="8"/>
        <v>219</v>
      </c>
      <c r="P111" s="6">
        <f t="shared" si="9"/>
        <v>1838</v>
      </c>
      <c r="Q111">
        <f t="shared" si="10"/>
        <v>1</v>
      </c>
      <c r="R111">
        <f t="shared" si="11"/>
        <v>1</v>
      </c>
    </row>
    <row r="112" spans="1:18" x14ac:dyDescent="0.25">
      <c r="A112">
        <f>Raw_data!A112</f>
        <v>111</v>
      </c>
      <c r="B112" t="str">
        <f>Raw_data!B112</f>
        <v>C6134</v>
      </c>
      <c r="C112" t="str">
        <f>Raw_data!C112</f>
        <v>R2114</v>
      </c>
      <c r="D112" s="3">
        <f>Raw_data!D112</f>
        <v>45323.359363425923</v>
      </c>
      <c r="E112" s="3">
        <f>Raw_data!E112</f>
        <v>45323.397557870368</v>
      </c>
      <c r="F112" s="4">
        <f t="shared" si="6"/>
        <v>3.8194444445252884E-2</v>
      </c>
      <c r="G112" s="6">
        <f>Raw_data!F112</f>
        <v>1399</v>
      </c>
      <c r="H112" s="6">
        <f>Raw_data!G112</f>
        <v>40</v>
      </c>
      <c r="I112" t="str">
        <f>Raw_data!H112</f>
        <v>Cash on Delivery</v>
      </c>
      <c r="J112" s="7" t="str">
        <f>IF(Raw_data!I112=0.1,"10%",Raw_data!I112)</f>
        <v>5% on App</v>
      </c>
      <c r="K112" s="6">
        <f>Raw_data!J112</f>
        <v>132</v>
      </c>
      <c r="L112" s="6">
        <f>Raw_data!K112</f>
        <v>13</v>
      </c>
      <c r="M112" s="6">
        <f>Raw_data!L112</f>
        <v>150</v>
      </c>
      <c r="N112" s="6">
        <f t="shared" si="7"/>
        <v>1254</v>
      </c>
      <c r="O112" s="6">
        <f t="shared" si="8"/>
        <v>-5</v>
      </c>
      <c r="P112" s="6">
        <f t="shared" si="9"/>
        <v>1439</v>
      </c>
      <c r="Q112">
        <f t="shared" si="10"/>
        <v>1</v>
      </c>
      <c r="R112">
        <f t="shared" si="11"/>
        <v>2</v>
      </c>
    </row>
    <row r="113" spans="1:18" x14ac:dyDescent="0.25">
      <c r="A113">
        <f>Raw_data!A113</f>
        <v>112</v>
      </c>
      <c r="B113" t="str">
        <f>Raw_data!B113</f>
        <v>C6977</v>
      </c>
      <c r="C113" t="str">
        <f>Raw_data!C113</f>
        <v>R2208</v>
      </c>
      <c r="D113" s="3">
        <f>Raw_data!D113</f>
        <v>45297.192418981482</v>
      </c>
      <c r="E113" s="3">
        <f>Raw_data!E113</f>
        <v>45297.269502314812</v>
      </c>
      <c r="F113" s="4">
        <f t="shared" si="6"/>
        <v>7.7083333329937886E-2</v>
      </c>
      <c r="G113" s="6">
        <f>Raw_data!F113</f>
        <v>1171</v>
      </c>
      <c r="H113" s="6">
        <f>Raw_data!G113</f>
        <v>50</v>
      </c>
      <c r="I113" t="str">
        <f>Raw_data!H113</f>
        <v>Cash on Delivery</v>
      </c>
      <c r="J113" s="7" t="str">
        <f>IF(Raw_data!I113=0.1,"10%",Raw_data!I113)</f>
        <v>5% on App</v>
      </c>
      <c r="K113" s="6">
        <f>Raw_data!J113</f>
        <v>79</v>
      </c>
      <c r="L113" s="6">
        <f>Raw_data!K113</f>
        <v>23</v>
      </c>
      <c r="M113" s="6">
        <f>Raw_data!L113</f>
        <v>0</v>
      </c>
      <c r="N113" s="6">
        <f t="shared" si="7"/>
        <v>1069</v>
      </c>
      <c r="O113" s="6">
        <f t="shared" si="8"/>
        <v>102</v>
      </c>
      <c r="P113" s="6">
        <f t="shared" si="9"/>
        <v>1221</v>
      </c>
      <c r="Q113">
        <f t="shared" si="10"/>
        <v>2</v>
      </c>
      <c r="R113">
        <f t="shared" si="11"/>
        <v>1</v>
      </c>
    </row>
    <row r="114" spans="1:18" x14ac:dyDescent="0.25">
      <c r="A114">
        <f>Raw_data!A114</f>
        <v>113</v>
      </c>
      <c r="B114" t="str">
        <f>Raw_data!B114</f>
        <v>C8721</v>
      </c>
      <c r="C114" t="str">
        <f>Raw_data!C114</f>
        <v>R2525</v>
      </c>
      <c r="D114" s="3">
        <f>Raw_data!D114</f>
        <v>45292.331307870372</v>
      </c>
      <c r="E114" s="3">
        <f>Raw_data!E114</f>
        <v>45292.409085648149</v>
      </c>
      <c r="F114" s="4">
        <f t="shared" si="6"/>
        <v>7.7777777776645962E-2</v>
      </c>
      <c r="G114" s="6">
        <f>Raw_data!F114</f>
        <v>310</v>
      </c>
      <c r="H114" s="6">
        <f>Raw_data!G114</f>
        <v>30</v>
      </c>
      <c r="I114" t="str">
        <f>Raw_data!H114</f>
        <v>Digital Wallet</v>
      </c>
      <c r="J114" s="7" t="str">
        <f>IF(Raw_data!I114=0.1,"10%",Raw_data!I114)</f>
        <v>15% New User</v>
      </c>
      <c r="K114" s="6">
        <f>Raw_data!J114</f>
        <v>71</v>
      </c>
      <c r="L114" s="6">
        <f>Raw_data!K114</f>
        <v>38</v>
      </c>
      <c r="M114" s="6">
        <f>Raw_data!L114</f>
        <v>0</v>
      </c>
      <c r="N114" s="6">
        <f t="shared" si="7"/>
        <v>201</v>
      </c>
      <c r="O114" s="6">
        <f t="shared" si="8"/>
        <v>109</v>
      </c>
      <c r="P114" s="6">
        <f t="shared" si="9"/>
        <v>340</v>
      </c>
      <c r="Q114">
        <f t="shared" si="10"/>
        <v>1</v>
      </c>
      <c r="R114">
        <f t="shared" si="11"/>
        <v>3</v>
      </c>
    </row>
    <row r="115" spans="1:18" x14ac:dyDescent="0.25">
      <c r="A115">
        <f>Raw_data!A115</f>
        <v>114</v>
      </c>
      <c r="B115" t="str">
        <f>Raw_data!B115</f>
        <v>C8035</v>
      </c>
      <c r="C115" t="str">
        <f>Raw_data!C115</f>
        <v>R2520</v>
      </c>
      <c r="D115" s="3">
        <f>Raw_data!D115</f>
        <v>45324.795740740738</v>
      </c>
      <c r="E115" s="3">
        <f>Raw_data!E115</f>
        <v>45324.817962962959</v>
      </c>
      <c r="F115" s="4">
        <f t="shared" si="6"/>
        <v>2.2222222221898846E-2</v>
      </c>
      <c r="G115" s="6">
        <f>Raw_data!F115</f>
        <v>954</v>
      </c>
      <c r="H115" s="6">
        <f>Raw_data!G115</f>
        <v>20</v>
      </c>
      <c r="I115" t="str">
        <f>Raw_data!H115</f>
        <v>Credit Card</v>
      </c>
      <c r="J115" s="7" t="str">
        <f>IF(Raw_data!I115=0.1,"10%",Raw_data!I115)</f>
        <v>15% New User</v>
      </c>
      <c r="K115" s="6">
        <f>Raw_data!J115</f>
        <v>52</v>
      </c>
      <c r="L115" s="6">
        <f>Raw_data!K115</f>
        <v>10</v>
      </c>
      <c r="M115" s="6">
        <f>Raw_data!L115</f>
        <v>0</v>
      </c>
      <c r="N115" s="6">
        <f t="shared" si="7"/>
        <v>892</v>
      </c>
      <c r="O115" s="6">
        <f t="shared" si="8"/>
        <v>62</v>
      </c>
      <c r="P115" s="6">
        <f t="shared" si="9"/>
        <v>974</v>
      </c>
      <c r="Q115">
        <f t="shared" si="10"/>
        <v>1</v>
      </c>
      <c r="R115">
        <f t="shared" si="11"/>
        <v>4</v>
      </c>
    </row>
    <row r="116" spans="1:18" x14ac:dyDescent="0.25">
      <c r="A116">
        <f>Raw_data!A116</f>
        <v>115</v>
      </c>
      <c r="B116" t="str">
        <f>Raw_data!B116</f>
        <v>C2484</v>
      </c>
      <c r="C116" t="str">
        <f>Raw_data!C116</f>
        <v>R2551</v>
      </c>
      <c r="D116" s="3">
        <f>Raw_data!D116</f>
        <v>45328.831192129626</v>
      </c>
      <c r="E116" s="3">
        <f>Raw_data!E116</f>
        <v>45328.902025462965</v>
      </c>
      <c r="F116" s="4">
        <f t="shared" si="6"/>
        <v>7.0833333338669036E-2</v>
      </c>
      <c r="G116" s="6">
        <f>Raw_data!F116</f>
        <v>750</v>
      </c>
      <c r="H116" s="6">
        <f>Raw_data!G116</f>
        <v>50</v>
      </c>
      <c r="I116" t="str">
        <f>Raw_data!H116</f>
        <v>Digital Wallet</v>
      </c>
      <c r="J116" s="7" t="str">
        <f>IF(Raw_data!I116=0.1,"10%",Raw_data!I116)</f>
        <v>10%</v>
      </c>
      <c r="K116" s="6">
        <f>Raw_data!J116</f>
        <v>150</v>
      </c>
      <c r="L116" s="6">
        <f>Raw_data!K116</f>
        <v>13</v>
      </c>
      <c r="M116" s="6">
        <f>Raw_data!L116</f>
        <v>0</v>
      </c>
      <c r="N116" s="6">
        <f t="shared" si="7"/>
        <v>587</v>
      </c>
      <c r="O116" s="6">
        <f t="shared" si="8"/>
        <v>163</v>
      </c>
      <c r="P116" s="6">
        <f t="shared" si="9"/>
        <v>800</v>
      </c>
      <c r="Q116">
        <f t="shared" si="10"/>
        <v>1</v>
      </c>
      <c r="R116">
        <f t="shared" si="11"/>
        <v>2</v>
      </c>
    </row>
    <row r="117" spans="1:18" x14ac:dyDescent="0.25">
      <c r="A117">
        <f>Raw_data!A117</f>
        <v>116</v>
      </c>
      <c r="B117" t="str">
        <f>Raw_data!B117</f>
        <v>C8858</v>
      </c>
      <c r="C117" t="str">
        <f>Raw_data!C117</f>
        <v>R2961</v>
      </c>
      <c r="D117" s="3">
        <f>Raw_data!D117</f>
        <v>45309.449421296296</v>
      </c>
      <c r="E117" s="3">
        <f>Raw_data!E117</f>
        <v>45309.503587962965</v>
      </c>
      <c r="F117" s="4">
        <f t="shared" si="6"/>
        <v>5.4166666668606922E-2</v>
      </c>
      <c r="G117" s="6">
        <f>Raw_data!F117</f>
        <v>1745</v>
      </c>
      <c r="H117" s="6">
        <f>Raw_data!G117</f>
        <v>30</v>
      </c>
      <c r="I117" t="str">
        <f>Raw_data!H117</f>
        <v>Cash on Delivery</v>
      </c>
      <c r="J117" s="7" t="str">
        <f>IF(Raw_data!I117=0.1,"10%",Raw_data!I117)</f>
        <v>15% New User</v>
      </c>
      <c r="K117" s="6">
        <f>Raw_data!J117</f>
        <v>154</v>
      </c>
      <c r="L117" s="6">
        <f>Raw_data!K117</f>
        <v>41</v>
      </c>
      <c r="M117" s="6">
        <f>Raw_data!L117</f>
        <v>0</v>
      </c>
      <c r="N117" s="6">
        <f t="shared" si="7"/>
        <v>1550</v>
      </c>
      <c r="O117" s="6">
        <f t="shared" si="8"/>
        <v>195</v>
      </c>
      <c r="P117" s="6">
        <f t="shared" si="9"/>
        <v>1775</v>
      </c>
      <c r="Q117">
        <f t="shared" si="10"/>
        <v>1</v>
      </c>
      <c r="R117">
        <f t="shared" si="11"/>
        <v>2</v>
      </c>
    </row>
    <row r="118" spans="1:18" x14ac:dyDescent="0.25">
      <c r="A118">
        <f>Raw_data!A118</f>
        <v>117</v>
      </c>
      <c r="B118" t="str">
        <f>Raw_data!B118</f>
        <v>C1863</v>
      </c>
      <c r="C118" t="str">
        <f>Raw_data!C118</f>
        <v>R2236</v>
      </c>
      <c r="D118" s="3">
        <f>Raw_data!D118</f>
        <v>45306.776006944441</v>
      </c>
      <c r="E118" s="3">
        <f>Raw_data!E118</f>
        <v>45306.807951388888</v>
      </c>
      <c r="F118" s="4">
        <f t="shared" si="6"/>
        <v>3.1944444446708076E-2</v>
      </c>
      <c r="G118" s="6">
        <f>Raw_data!F118</f>
        <v>1093</v>
      </c>
      <c r="H118" s="6">
        <f>Raw_data!G118</f>
        <v>50</v>
      </c>
      <c r="I118" t="str">
        <f>Raw_data!H118</f>
        <v>Cash on Delivery</v>
      </c>
      <c r="J118" s="7" t="str">
        <f>IF(Raw_data!I118=0.1,"10%",Raw_data!I118)</f>
        <v>15% New User</v>
      </c>
      <c r="K118" s="6">
        <f>Raw_data!J118</f>
        <v>51</v>
      </c>
      <c r="L118" s="6">
        <f>Raw_data!K118</f>
        <v>42</v>
      </c>
      <c r="M118" s="6">
        <f>Raw_data!L118</f>
        <v>0</v>
      </c>
      <c r="N118" s="6">
        <f t="shared" si="7"/>
        <v>1000</v>
      </c>
      <c r="O118" s="6">
        <f t="shared" si="8"/>
        <v>93</v>
      </c>
      <c r="P118" s="6">
        <f t="shared" si="9"/>
        <v>1143</v>
      </c>
      <c r="Q118">
        <f t="shared" si="10"/>
        <v>1</v>
      </c>
      <c r="R118">
        <f t="shared" si="11"/>
        <v>2</v>
      </c>
    </row>
    <row r="119" spans="1:18" x14ac:dyDescent="0.25">
      <c r="A119">
        <f>Raw_data!A119</f>
        <v>118</v>
      </c>
      <c r="B119" t="str">
        <f>Raw_data!B119</f>
        <v>C3790</v>
      </c>
      <c r="C119" t="str">
        <f>Raw_data!C119</f>
        <v>R2280</v>
      </c>
      <c r="D119" s="3">
        <f>Raw_data!D119</f>
        <v>45297.648275462961</v>
      </c>
      <c r="E119" s="3">
        <f>Raw_data!E119</f>
        <v>45297.712164351855</v>
      </c>
      <c r="F119" s="4">
        <f t="shared" si="6"/>
        <v>6.3888888893416151E-2</v>
      </c>
      <c r="G119" s="6">
        <f>Raw_data!F119</f>
        <v>794</v>
      </c>
      <c r="H119" s="6">
        <f>Raw_data!G119</f>
        <v>40</v>
      </c>
      <c r="I119" t="str">
        <f>Raw_data!H119</f>
        <v>Digital Wallet</v>
      </c>
      <c r="J119" s="7" t="str">
        <f>IF(Raw_data!I119=0.1,"10%",Raw_data!I119)</f>
        <v>15% New User</v>
      </c>
      <c r="K119" s="6">
        <f>Raw_data!J119</f>
        <v>103</v>
      </c>
      <c r="L119" s="6">
        <f>Raw_data!K119</f>
        <v>35</v>
      </c>
      <c r="M119" s="6">
        <f>Raw_data!L119</f>
        <v>0</v>
      </c>
      <c r="N119" s="6">
        <f t="shared" si="7"/>
        <v>656</v>
      </c>
      <c r="O119" s="6">
        <f t="shared" si="8"/>
        <v>138</v>
      </c>
      <c r="P119" s="6">
        <f t="shared" si="9"/>
        <v>834</v>
      </c>
      <c r="Q119">
        <f t="shared" si="10"/>
        <v>1</v>
      </c>
      <c r="R119">
        <f t="shared" si="11"/>
        <v>1</v>
      </c>
    </row>
    <row r="120" spans="1:18" x14ac:dyDescent="0.25">
      <c r="A120">
        <f>Raw_data!A120</f>
        <v>119</v>
      </c>
      <c r="B120" t="str">
        <f>Raw_data!B120</f>
        <v>C8408</v>
      </c>
      <c r="C120" t="str">
        <f>Raw_data!C120</f>
        <v>R2358</v>
      </c>
      <c r="D120" s="3">
        <f>Raw_data!D120</f>
        <v>45306.148969907408</v>
      </c>
      <c r="E120" s="3">
        <f>Raw_data!E120</f>
        <v>45306.207303240742</v>
      </c>
      <c r="F120" s="4">
        <f t="shared" si="6"/>
        <v>5.8333333334303461E-2</v>
      </c>
      <c r="G120" s="6">
        <f>Raw_data!F120</f>
        <v>639</v>
      </c>
      <c r="H120" s="6">
        <f>Raw_data!G120</f>
        <v>40</v>
      </c>
      <c r="I120" t="str">
        <f>Raw_data!H120</f>
        <v>Digital Wallet</v>
      </c>
      <c r="J120" s="7" t="str">
        <f>IF(Raw_data!I120=0.1,"10%",Raw_data!I120)</f>
        <v>5% on App</v>
      </c>
      <c r="K120" s="6">
        <f>Raw_data!J120</f>
        <v>55</v>
      </c>
      <c r="L120" s="6">
        <f>Raw_data!K120</f>
        <v>26</v>
      </c>
      <c r="M120" s="6">
        <f>Raw_data!L120</f>
        <v>50</v>
      </c>
      <c r="N120" s="6">
        <f t="shared" si="7"/>
        <v>558</v>
      </c>
      <c r="O120" s="6">
        <f t="shared" si="8"/>
        <v>31</v>
      </c>
      <c r="P120" s="6">
        <f t="shared" si="9"/>
        <v>679</v>
      </c>
      <c r="Q120">
        <f t="shared" si="10"/>
        <v>1</v>
      </c>
      <c r="R120">
        <f t="shared" si="11"/>
        <v>3</v>
      </c>
    </row>
    <row r="121" spans="1:18" x14ac:dyDescent="0.25">
      <c r="A121">
        <f>Raw_data!A121</f>
        <v>120</v>
      </c>
      <c r="B121" t="str">
        <f>Raw_data!B121</f>
        <v>C9755</v>
      </c>
      <c r="C121" t="str">
        <f>Raw_data!C121</f>
        <v>R2200</v>
      </c>
      <c r="D121" s="3">
        <f>Raw_data!D121</f>
        <v>45321.254351851851</v>
      </c>
      <c r="E121" s="3">
        <f>Raw_data!E121</f>
        <v>45321.290462962963</v>
      </c>
      <c r="F121" s="4">
        <f t="shared" si="6"/>
        <v>3.6111111112404615E-2</v>
      </c>
      <c r="G121" s="6">
        <f>Raw_data!F121</f>
        <v>1832</v>
      </c>
      <c r="H121" s="6">
        <f>Raw_data!G121</f>
        <v>40</v>
      </c>
      <c r="I121" t="str">
        <f>Raw_data!H121</f>
        <v>Digital Wallet</v>
      </c>
      <c r="J121" s="7" t="str">
        <f>IF(Raw_data!I121=0.1,"10%",Raw_data!I121)</f>
        <v>10%</v>
      </c>
      <c r="K121" s="6">
        <f>Raw_data!J121</f>
        <v>156</v>
      </c>
      <c r="L121" s="6">
        <f>Raw_data!K121</f>
        <v>48</v>
      </c>
      <c r="M121" s="6">
        <f>Raw_data!L121</f>
        <v>100</v>
      </c>
      <c r="N121" s="6">
        <f t="shared" si="7"/>
        <v>1628</v>
      </c>
      <c r="O121" s="6">
        <f t="shared" si="8"/>
        <v>104</v>
      </c>
      <c r="P121" s="6">
        <f t="shared" si="9"/>
        <v>1872</v>
      </c>
      <c r="Q121">
        <f t="shared" si="10"/>
        <v>1</v>
      </c>
      <c r="R121">
        <f t="shared" si="11"/>
        <v>2</v>
      </c>
    </row>
    <row r="122" spans="1:18" x14ac:dyDescent="0.25">
      <c r="A122">
        <f>Raw_data!A122</f>
        <v>121</v>
      </c>
      <c r="B122" t="str">
        <f>Raw_data!B122</f>
        <v>C6116</v>
      </c>
      <c r="C122" t="str">
        <f>Raw_data!C122</f>
        <v>R2757</v>
      </c>
      <c r="D122" s="3">
        <f>Raw_data!D122</f>
        <v>45295.659780092596</v>
      </c>
      <c r="E122" s="3">
        <f>Raw_data!E122</f>
        <v>45295.703530092593</v>
      </c>
      <c r="F122" s="4">
        <f t="shared" si="6"/>
        <v>4.3749999997089617E-2</v>
      </c>
      <c r="G122" s="6">
        <f>Raw_data!F122</f>
        <v>1314</v>
      </c>
      <c r="H122" s="6">
        <f>Raw_data!G122</f>
        <v>40</v>
      </c>
      <c r="I122" t="str">
        <f>Raw_data!H122</f>
        <v>Credit Card</v>
      </c>
      <c r="J122" s="7" t="str">
        <f>IF(Raw_data!I122=0.1,"10%",Raw_data!I122)</f>
        <v>5% on App</v>
      </c>
      <c r="K122" s="6">
        <f>Raw_data!J122</f>
        <v>172</v>
      </c>
      <c r="L122" s="6">
        <f>Raw_data!K122</f>
        <v>32</v>
      </c>
      <c r="M122" s="6">
        <f>Raw_data!L122</f>
        <v>50</v>
      </c>
      <c r="N122" s="6">
        <f t="shared" si="7"/>
        <v>1110</v>
      </c>
      <c r="O122" s="6">
        <f t="shared" si="8"/>
        <v>154</v>
      </c>
      <c r="P122" s="6">
        <f t="shared" si="9"/>
        <v>1354</v>
      </c>
      <c r="Q122">
        <f t="shared" si="10"/>
        <v>1</v>
      </c>
      <c r="R122">
        <f t="shared" si="11"/>
        <v>2</v>
      </c>
    </row>
    <row r="123" spans="1:18" x14ac:dyDescent="0.25">
      <c r="A123">
        <f>Raw_data!A123</f>
        <v>122</v>
      </c>
      <c r="B123" t="str">
        <f>Raw_data!B123</f>
        <v>C7019</v>
      </c>
      <c r="C123" t="str">
        <f>Raw_data!C123</f>
        <v>R2277</v>
      </c>
      <c r="D123" s="3">
        <f>Raw_data!D123</f>
        <v>45327.246701388889</v>
      </c>
      <c r="E123" s="3">
        <f>Raw_data!E123</f>
        <v>45327.314756944441</v>
      </c>
      <c r="F123" s="4">
        <f t="shared" si="6"/>
        <v>6.8055555551836733E-2</v>
      </c>
      <c r="G123" s="6">
        <f>Raw_data!F123</f>
        <v>1438</v>
      </c>
      <c r="H123" s="6">
        <f>Raw_data!G123</f>
        <v>0</v>
      </c>
      <c r="I123" t="str">
        <f>Raw_data!H123</f>
        <v>Cash on Delivery</v>
      </c>
      <c r="J123" s="7" t="str">
        <f>IF(Raw_data!I123=0.1,"10%",Raw_data!I123)</f>
        <v>50 off Promo</v>
      </c>
      <c r="K123" s="6">
        <f>Raw_data!J123</f>
        <v>51</v>
      </c>
      <c r="L123" s="6">
        <f>Raw_data!K123</f>
        <v>41</v>
      </c>
      <c r="M123" s="6">
        <f>Raw_data!L123</f>
        <v>0</v>
      </c>
      <c r="N123" s="6">
        <f t="shared" si="7"/>
        <v>1346</v>
      </c>
      <c r="O123" s="6">
        <f t="shared" si="8"/>
        <v>92</v>
      </c>
      <c r="P123" s="6">
        <f t="shared" si="9"/>
        <v>1438</v>
      </c>
      <c r="Q123">
        <f t="shared" si="10"/>
        <v>1</v>
      </c>
      <c r="R123">
        <f t="shared" si="11"/>
        <v>2</v>
      </c>
    </row>
    <row r="124" spans="1:18" x14ac:dyDescent="0.25">
      <c r="A124">
        <f>Raw_data!A124</f>
        <v>123</v>
      </c>
      <c r="B124" t="str">
        <f>Raw_data!B124</f>
        <v>C2757</v>
      </c>
      <c r="C124" t="str">
        <f>Raw_data!C124</f>
        <v>R2234</v>
      </c>
      <c r="D124" s="3">
        <f>Raw_data!D124</f>
        <v>45328.394444444442</v>
      </c>
      <c r="E124" s="3">
        <f>Raw_data!E124</f>
        <v>45328.425000000003</v>
      </c>
      <c r="F124" s="4">
        <f t="shared" si="6"/>
        <v>3.0555555560567882E-2</v>
      </c>
      <c r="G124" s="6">
        <f>Raw_data!F124</f>
        <v>1000</v>
      </c>
      <c r="H124" s="6">
        <f>Raw_data!G124</f>
        <v>30</v>
      </c>
      <c r="I124" t="str">
        <f>Raw_data!H124</f>
        <v>Digital Wallet</v>
      </c>
      <c r="J124" s="7" t="str">
        <f>IF(Raw_data!I124=0.1,"10%",Raw_data!I124)</f>
        <v>5% on App</v>
      </c>
      <c r="K124" s="6">
        <f>Raw_data!J124</f>
        <v>160</v>
      </c>
      <c r="L124" s="6">
        <f>Raw_data!K124</f>
        <v>24</v>
      </c>
      <c r="M124" s="6">
        <f>Raw_data!L124</f>
        <v>0</v>
      </c>
      <c r="N124" s="6">
        <f t="shared" si="7"/>
        <v>816</v>
      </c>
      <c r="O124" s="6">
        <f t="shared" si="8"/>
        <v>184</v>
      </c>
      <c r="P124" s="6">
        <f t="shared" si="9"/>
        <v>1030</v>
      </c>
      <c r="Q124">
        <f t="shared" si="10"/>
        <v>1</v>
      </c>
      <c r="R124">
        <f t="shared" si="11"/>
        <v>1</v>
      </c>
    </row>
    <row r="125" spans="1:18" x14ac:dyDescent="0.25">
      <c r="A125">
        <f>Raw_data!A125</f>
        <v>124</v>
      </c>
      <c r="B125" t="str">
        <f>Raw_data!B125</f>
        <v>C8574</v>
      </c>
      <c r="C125" t="str">
        <f>Raw_data!C125</f>
        <v>R2493</v>
      </c>
      <c r="D125" s="3">
        <f>Raw_data!D125</f>
        <v>45293.173333333332</v>
      </c>
      <c r="E125" s="3">
        <f>Raw_data!E125</f>
        <v>45293.226111111115</v>
      </c>
      <c r="F125" s="4">
        <f t="shared" si="6"/>
        <v>5.2777777782466728E-2</v>
      </c>
      <c r="G125" s="6">
        <f>Raw_data!F125</f>
        <v>1686</v>
      </c>
      <c r="H125" s="6">
        <f>Raw_data!G125</f>
        <v>30</v>
      </c>
      <c r="I125" t="str">
        <f>Raw_data!H125</f>
        <v>Cash on Delivery</v>
      </c>
      <c r="J125" s="7" t="str">
        <f>IF(Raw_data!I125=0.1,"10%",Raw_data!I125)</f>
        <v>50 off Promo</v>
      </c>
      <c r="K125" s="6">
        <f>Raw_data!J125</f>
        <v>51</v>
      </c>
      <c r="L125" s="6">
        <f>Raw_data!K125</f>
        <v>22</v>
      </c>
      <c r="M125" s="6">
        <f>Raw_data!L125</f>
        <v>0</v>
      </c>
      <c r="N125" s="6">
        <f t="shared" si="7"/>
        <v>1613</v>
      </c>
      <c r="O125" s="6">
        <f t="shared" si="8"/>
        <v>73</v>
      </c>
      <c r="P125" s="6">
        <f t="shared" si="9"/>
        <v>1716</v>
      </c>
      <c r="Q125">
        <f t="shared" si="10"/>
        <v>1</v>
      </c>
      <c r="R125">
        <f t="shared" si="11"/>
        <v>1</v>
      </c>
    </row>
    <row r="126" spans="1:18" x14ac:dyDescent="0.25">
      <c r="A126">
        <f>Raw_data!A126</f>
        <v>125</v>
      </c>
      <c r="B126" t="str">
        <f>Raw_data!B126</f>
        <v>C7374</v>
      </c>
      <c r="C126" t="str">
        <f>Raw_data!C126</f>
        <v>R2003</v>
      </c>
      <c r="D126" s="3">
        <f>Raw_data!D126</f>
        <v>45314.154421296298</v>
      </c>
      <c r="E126" s="3">
        <f>Raw_data!E126</f>
        <v>45314.17664351852</v>
      </c>
      <c r="F126" s="4">
        <f t="shared" si="6"/>
        <v>2.2222222221898846E-2</v>
      </c>
      <c r="G126" s="6">
        <f>Raw_data!F126</f>
        <v>1784</v>
      </c>
      <c r="H126" s="6">
        <f>Raw_data!G126</f>
        <v>40</v>
      </c>
      <c r="I126" t="str">
        <f>Raw_data!H126</f>
        <v>Credit Card</v>
      </c>
      <c r="J126" s="7" t="str">
        <f>IF(Raw_data!I126=0.1,"10%",Raw_data!I126)</f>
        <v>None</v>
      </c>
      <c r="K126" s="6">
        <f>Raw_data!J126</f>
        <v>142</v>
      </c>
      <c r="L126" s="6">
        <f>Raw_data!K126</f>
        <v>11</v>
      </c>
      <c r="M126" s="6">
        <f>Raw_data!L126</f>
        <v>150</v>
      </c>
      <c r="N126" s="6">
        <f t="shared" si="7"/>
        <v>1631</v>
      </c>
      <c r="O126" s="6">
        <f t="shared" si="8"/>
        <v>3</v>
      </c>
      <c r="P126" s="6">
        <f t="shared" si="9"/>
        <v>1824</v>
      </c>
      <c r="Q126">
        <f t="shared" si="10"/>
        <v>1</v>
      </c>
      <c r="R126">
        <f t="shared" si="11"/>
        <v>1</v>
      </c>
    </row>
    <row r="127" spans="1:18" x14ac:dyDescent="0.25">
      <c r="A127">
        <f>Raw_data!A127</f>
        <v>126</v>
      </c>
      <c r="B127" t="str">
        <f>Raw_data!B127</f>
        <v>C7892</v>
      </c>
      <c r="C127" t="str">
        <f>Raw_data!C127</f>
        <v>R2665</v>
      </c>
      <c r="D127" s="3">
        <f>Raw_data!D127</f>
        <v>45325.919432870367</v>
      </c>
      <c r="E127" s="3">
        <f>Raw_data!E127</f>
        <v>45325.997210648151</v>
      </c>
      <c r="F127" s="4">
        <f t="shared" si="6"/>
        <v>7.777777778392192E-2</v>
      </c>
      <c r="G127" s="6">
        <f>Raw_data!F127</f>
        <v>879</v>
      </c>
      <c r="H127" s="6">
        <f>Raw_data!G127</f>
        <v>0</v>
      </c>
      <c r="I127" t="str">
        <f>Raw_data!H127</f>
        <v>Credit Card</v>
      </c>
      <c r="J127" s="7" t="str">
        <f>IF(Raw_data!I127=0.1,"10%",Raw_data!I127)</f>
        <v>None</v>
      </c>
      <c r="K127" s="6">
        <f>Raw_data!J127</f>
        <v>150</v>
      </c>
      <c r="L127" s="6">
        <f>Raw_data!K127</f>
        <v>28</v>
      </c>
      <c r="M127" s="6">
        <f>Raw_data!L127</f>
        <v>0</v>
      </c>
      <c r="N127" s="6">
        <f t="shared" si="7"/>
        <v>701</v>
      </c>
      <c r="O127" s="6">
        <f t="shared" si="8"/>
        <v>178</v>
      </c>
      <c r="P127" s="6">
        <f t="shared" si="9"/>
        <v>879</v>
      </c>
      <c r="Q127">
        <f t="shared" si="10"/>
        <v>1</v>
      </c>
      <c r="R127">
        <f t="shared" si="11"/>
        <v>2</v>
      </c>
    </row>
    <row r="128" spans="1:18" x14ac:dyDescent="0.25">
      <c r="A128">
        <f>Raw_data!A128</f>
        <v>127</v>
      </c>
      <c r="B128" t="str">
        <f>Raw_data!B128</f>
        <v>C2678</v>
      </c>
      <c r="C128" t="str">
        <f>Raw_data!C128</f>
        <v>R2441</v>
      </c>
      <c r="D128" s="3">
        <f>Raw_data!D128</f>
        <v>45325.157187500001</v>
      </c>
      <c r="E128" s="3">
        <f>Raw_data!E128</f>
        <v>45325.196770833332</v>
      </c>
      <c r="F128" s="4">
        <f t="shared" si="6"/>
        <v>3.9583333331393078E-2</v>
      </c>
      <c r="G128" s="6">
        <f>Raw_data!F128</f>
        <v>1685</v>
      </c>
      <c r="H128" s="6">
        <f>Raw_data!G128</f>
        <v>40</v>
      </c>
      <c r="I128" t="str">
        <f>Raw_data!H128</f>
        <v>Credit Card</v>
      </c>
      <c r="J128" s="7" t="str">
        <f>IF(Raw_data!I128=0.1,"10%",Raw_data!I128)</f>
        <v>50 off Promo</v>
      </c>
      <c r="K128" s="6">
        <f>Raw_data!J128</f>
        <v>146</v>
      </c>
      <c r="L128" s="6">
        <f>Raw_data!K128</f>
        <v>33</v>
      </c>
      <c r="M128" s="6">
        <f>Raw_data!L128</f>
        <v>0</v>
      </c>
      <c r="N128" s="6">
        <f t="shared" si="7"/>
        <v>1506</v>
      </c>
      <c r="O128" s="6">
        <f t="shared" si="8"/>
        <v>179</v>
      </c>
      <c r="P128" s="6">
        <f t="shared" si="9"/>
        <v>1725</v>
      </c>
      <c r="Q128">
        <f t="shared" si="10"/>
        <v>1</v>
      </c>
      <c r="R128">
        <f t="shared" si="11"/>
        <v>1</v>
      </c>
    </row>
    <row r="129" spans="1:18" x14ac:dyDescent="0.25">
      <c r="A129">
        <f>Raw_data!A129</f>
        <v>128</v>
      </c>
      <c r="B129" t="str">
        <f>Raw_data!B129</f>
        <v>C4242</v>
      </c>
      <c r="C129" t="str">
        <f>Raw_data!C129</f>
        <v>R2028</v>
      </c>
      <c r="D129" s="3">
        <f>Raw_data!D129</f>
        <v>45307.396157407406</v>
      </c>
      <c r="E129" s="3">
        <f>Raw_data!E129</f>
        <v>45307.418379629627</v>
      </c>
      <c r="F129" s="4">
        <f t="shared" si="6"/>
        <v>2.2222222221898846E-2</v>
      </c>
      <c r="G129" s="6">
        <f>Raw_data!F129</f>
        <v>1881</v>
      </c>
      <c r="H129" s="6">
        <f>Raw_data!G129</f>
        <v>0</v>
      </c>
      <c r="I129" t="str">
        <f>Raw_data!H129</f>
        <v>Credit Card</v>
      </c>
      <c r="J129" s="7" t="str">
        <f>IF(Raw_data!I129=0.1,"10%",Raw_data!I129)</f>
        <v>50 off Promo</v>
      </c>
      <c r="K129" s="6">
        <f>Raw_data!J129</f>
        <v>160</v>
      </c>
      <c r="L129" s="6">
        <f>Raw_data!K129</f>
        <v>33</v>
      </c>
      <c r="M129" s="6">
        <f>Raw_data!L129</f>
        <v>100</v>
      </c>
      <c r="N129" s="6">
        <f t="shared" si="7"/>
        <v>1688</v>
      </c>
      <c r="O129" s="6">
        <f t="shared" si="8"/>
        <v>93</v>
      </c>
      <c r="P129" s="6">
        <f t="shared" si="9"/>
        <v>1881</v>
      </c>
      <c r="Q129">
        <f t="shared" si="10"/>
        <v>1</v>
      </c>
      <c r="R129">
        <f t="shared" si="11"/>
        <v>4</v>
      </c>
    </row>
    <row r="130" spans="1:18" x14ac:dyDescent="0.25">
      <c r="A130">
        <f>Raw_data!A130</f>
        <v>129</v>
      </c>
      <c r="B130" t="str">
        <f>Raw_data!B130</f>
        <v>C5636</v>
      </c>
      <c r="C130" t="str">
        <f>Raw_data!C130</f>
        <v>R2108</v>
      </c>
      <c r="D130" s="3">
        <f>Raw_data!D130</f>
        <v>45293.829351851855</v>
      </c>
      <c r="E130" s="3">
        <f>Raw_data!E130</f>
        <v>45293.852268518516</v>
      </c>
      <c r="F130" s="4">
        <f t="shared" si="6"/>
        <v>2.2916666661330964E-2</v>
      </c>
      <c r="G130" s="6">
        <f>Raw_data!F130</f>
        <v>1236</v>
      </c>
      <c r="H130" s="6">
        <f>Raw_data!G130</f>
        <v>40</v>
      </c>
      <c r="I130" t="str">
        <f>Raw_data!H130</f>
        <v>Cash on Delivery</v>
      </c>
      <c r="J130" s="7" t="str">
        <f>IF(Raw_data!I130=0.1,"10%",Raw_data!I130)</f>
        <v>5% on App</v>
      </c>
      <c r="K130" s="6">
        <f>Raw_data!J130</f>
        <v>55</v>
      </c>
      <c r="L130" s="6">
        <f>Raw_data!K130</f>
        <v>20</v>
      </c>
      <c r="M130" s="6">
        <f>Raw_data!L130</f>
        <v>0</v>
      </c>
      <c r="N130" s="6">
        <f t="shared" si="7"/>
        <v>1161</v>
      </c>
      <c r="O130" s="6">
        <f t="shared" si="8"/>
        <v>75</v>
      </c>
      <c r="P130" s="6">
        <f t="shared" si="9"/>
        <v>1276</v>
      </c>
      <c r="Q130">
        <f t="shared" si="10"/>
        <v>1</v>
      </c>
      <c r="R130">
        <f t="shared" si="11"/>
        <v>1</v>
      </c>
    </row>
    <row r="131" spans="1:18" x14ac:dyDescent="0.25">
      <c r="A131">
        <f>Raw_data!A131</f>
        <v>130</v>
      </c>
      <c r="B131" t="str">
        <f>Raw_data!B131</f>
        <v>C2059</v>
      </c>
      <c r="C131" t="str">
        <f>Raw_data!C131</f>
        <v>R2609</v>
      </c>
      <c r="D131" s="3">
        <f>Raw_data!D131</f>
        <v>45299.343252314815</v>
      </c>
      <c r="E131" s="3">
        <f>Raw_data!E131</f>
        <v>45299.424502314818</v>
      </c>
      <c r="F131" s="4">
        <f t="shared" ref="F131:F194" si="12">E131-D131</f>
        <v>8.1250000002910383E-2</v>
      </c>
      <c r="G131" s="6">
        <f>Raw_data!F131</f>
        <v>269</v>
      </c>
      <c r="H131" s="6">
        <f>Raw_data!G131</f>
        <v>20</v>
      </c>
      <c r="I131" t="str">
        <f>Raw_data!H131</f>
        <v>Credit Card</v>
      </c>
      <c r="J131" s="7" t="str">
        <f>IF(Raw_data!I131=0.1,"10%",Raw_data!I131)</f>
        <v>50 off Promo</v>
      </c>
      <c r="K131" s="6">
        <f>Raw_data!J131</f>
        <v>176</v>
      </c>
      <c r="L131" s="6">
        <f>Raw_data!K131</f>
        <v>31</v>
      </c>
      <c r="M131" s="6">
        <f>Raw_data!L131</f>
        <v>0</v>
      </c>
      <c r="N131" s="6">
        <f t="shared" ref="N131:N194" si="13">G131-K131-L131</f>
        <v>62</v>
      </c>
      <c r="O131" s="6">
        <f t="shared" ref="O131:O194" si="14">K131+L131-M131</f>
        <v>207</v>
      </c>
      <c r="P131" s="6">
        <f t="shared" ref="P131:P194" si="15">G131+H131</f>
        <v>289</v>
      </c>
      <c r="Q131">
        <f t="shared" ref="Q131:Q194" si="16">COUNTIF(B$2:B$1001,B131)</f>
        <v>1</v>
      </c>
      <c r="R131">
        <f t="shared" ref="R131:R194" si="17">COUNTIF(C$2:C$1001,C131)</f>
        <v>3</v>
      </c>
    </row>
    <row r="132" spans="1:18" x14ac:dyDescent="0.25">
      <c r="A132">
        <f>Raw_data!A132</f>
        <v>131</v>
      </c>
      <c r="B132" t="str">
        <f>Raw_data!B132</f>
        <v>C7668</v>
      </c>
      <c r="C132" t="str">
        <f>Raw_data!C132</f>
        <v>R2726</v>
      </c>
      <c r="D132" s="3">
        <f>Raw_data!D132</f>
        <v>45322.758090277777</v>
      </c>
      <c r="E132" s="3">
        <f>Raw_data!E132</f>
        <v>45322.799756944441</v>
      </c>
      <c r="F132" s="4">
        <f t="shared" si="12"/>
        <v>4.1666666664241347E-2</v>
      </c>
      <c r="G132" s="6">
        <f>Raw_data!F132</f>
        <v>1591</v>
      </c>
      <c r="H132" s="6">
        <f>Raw_data!G132</f>
        <v>20</v>
      </c>
      <c r="I132" t="str">
        <f>Raw_data!H132</f>
        <v>Credit Card</v>
      </c>
      <c r="J132" s="7" t="str">
        <f>IF(Raw_data!I132=0.1,"10%",Raw_data!I132)</f>
        <v>10%</v>
      </c>
      <c r="K132" s="6">
        <f>Raw_data!J132</f>
        <v>153</v>
      </c>
      <c r="L132" s="6">
        <f>Raw_data!K132</f>
        <v>24</v>
      </c>
      <c r="M132" s="6">
        <f>Raw_data!L132</f>
        <v>50</v>
      </c>
      <c r="N132" s="6">
        <f t="shared" si="13"/>
        <v>1414</v>
      </c>
      <c r="O132" s="6">
        <f t="shared" si="14"/>
        <v>127</v>
      </c>
      <c r="P132" s="6">
        <f t="shared" si="15"/>
        <v>1611</v>
      </c>
      <c r="Q132">
        <f t="shared" si="16"/>
        <v>1</v>
      </c>
      <c r="R132">
        <f t="shared" si="17"/>
        <v>5</v>
      </c>
    </row>
    <row r="133" spans="1:18" x14ac:dyDescent="0.25">
      <c r="A133">
        <f>Raw_data!A133</f>
        <v>132</v>
      </c>
      <c r="B133" t="str">
        <f>Raw_data!B133</f>
        <v>C4157</v>
      </c>
      <c r="C133" t="str">
        <f>Raw_data!C133</f>
        <v>R2804</v>
      </c>
      <c r="D133" s="3">
        <f>Raw_data!D133</f>
        <v>45297.356307870374</v>
      </c>
      <c r="E133" s="3">
        <f>Raw_data!E133</f>
        <v>45297.407696759263</v>
      </c>
      <c r="F133" s="4">
        <f t="shared" si="12"/>
        <v>5.1388888889050577E-2</v>
      </c>
      <c r="G133" s="6">
        <f>Raw_data!F133</f>
        <v>1801</v>
      </c>
      <c r="H133" s="6">
        <f>Raw_data!G133</f>
        <v>50</v>
      </c>
      <c r="I133" t="str">
        <f>Raw_data!H133</f>
        <v>Digital Wallet</v>
      </c>
      <c r="J133" s="7" t="str">
        <f>IF(Raw_data!I133=0.1,"10%",Raw_data!I133)</f>
        <v>None</v>
      </c>
      <c r="K133" s="6">
        <f>Raw_data!J133</f>
        <v>196</v>
      </c>
      <c r="L133" s="6">
        <f>Raw_data!K133</f>
        <v>19</v>
      </c>
      <c r="M133" s="6">
        <f>Raw_data!L133</f>
        <v>150</v>
      </c>
      <c r="N133" s="6">
        <f t="shared" si="13"/>
        <v>1586</v>
      </c>
      <c r="O133" s="6">
        <f t="shared" si="14"/>
        <v>65</v>
      </c>
      <c r="P133" s="6">
        <f t="shared" si="15"/>
        <v>1851</v>
      </c>
      <c r="Q133">
        <f t="shared" si="16"/>
        <v>1</v>
      </c>
      <c r="R133">
        <f t="shared" si="17"/>
        <v>5</v>
      </c>
    </row>
    <row r="134" spans="1:18" x14ac:dyDescent="0.25">
      <c r="A134">
        <f>Raw_data!A134</f>
        <v>133</v>
      </c>
      <c r="B134" t="str">
        <f>Raw_data!B134</f>
        <v>C6915</v>
      </c>
      <c r="C134" t="str">
        <f>Raw_data!C134</f>
        <v>R2074</v>
      </c>
      <c r="D134" s="3">
        <f>Raw_data!D134</f>
        <v>45311.401307870372</v>
      </c>
      <c r="E134" s="3">
        <f>Raw_data!E134</f>
        <v>45311.462418981479</v>
      </c>
      <c r="F134" s="4">
        <f t="shared" si="12"/>
        <v>6.1111111106583849E-2</v>
      </c>
      <c r="G134" s="6">
        <f>Raw_data!F134</f>
        <v>1137</v>
      </c>
      <c r="H134" s="6">
        <f>Raw_data!G134</f>
        <v>40</v>
      </c>
      <c r="I134" t="str">
        <f>Raw_data!H134</f>
        <v>Credit Card</v>
      </c>
      <c r="J134" s="7" t="str">
        <f>IF(Raw_data!I134=0.1,"10%",Raw_data!I134)</f>
        <v>None</v>
      </c>
      <c r="K134" s="6">
        <f>Raw_data!J134</f>
        <v>50</v>
      </c>
      <c r="L134" s="6">
        <f>Raw_data!K134</f>
        <v>50</v>
      </c>
      <c r="M134" s="6">
        <f>Raw_data!L134</f>
        <v>150</v>
      </c>
      <c r="N134" s="6">
        <f t="shared" si="13"/>
        <v>1037</v>
      </c>
      <c r="O134" s="6">
        <f t="shared" si="14"/>
        <v>-50</v>
      </c>
      <c r="P134" s="6">
        <f t="shared" si="15"/>
        <v>1177</v>
      </c>
      <c r="Q134">
        <f t="shared" si="16"/>
        <v>1</v>
      </c>
      <c r="R134">
        <f t="shared" si="17"/>
        <v>2</v>
      </c>
    </row>
    <row r="135" spans="1:18" x14ac:dyDescent="0.25">
      <c r="A135">
        <f>Raw_data!A135</f>
        <v>134</v>
      </c>
      <c r="B135" t="str">
        <f>Raw_data!B135</f>
        <v>C3693</v>
      </c>
      <c r="C135" t="str">
        <f>Raw_data!C135</f>
        <v>R2837</v>
      </c>
      <c r="D135" s="3">
        <f>Raw_data!D135</f>
        <v>45314.953321759262</v>
      </c>
      <c r="E135" s="3">
        <f>Raw_data!E135</f>
        <v>45315.004710648151</v>
      </c>
      <c r="F135" s="4">
        <f t="shared" si="12"/>
        <v>5.1388888889050577E-2</v>
      </c>
      <c r="G135" s="6">
        <f>Raw_data!F135</f>
        <v>1838</v>
      </c>
      <c r="H135" s="6">
        <f>Raw_data!G135</f>
        <v>30</v>
      </c>
      <c r="I135" t="str">
        <f>Raw_data!H135</f>
        <v>Digital Wallet</v>
      </c>
      <c r="J135" s="7" t="str">
        <f>IF(Raw_data!I135=0.1,"10%",Raw_data!I135)</f>
        <v>50 off Promo</v>
      </c>
      <c r="K135" s="6">
        <f>Raw_data!J135</f>
        <v>82</v>
      </c>
      <c r="L135" s="6">
        <f>Raw_data!K135</f>
        <v>36</v>
      </c>
      <c r="M135" s="6">
        <f>Raw_data!L135</f>
        <v>0</v>
      </c>
      <c r="N135" s="6">
        <f t="shared" si="13"/>
        <v>1720</v>
      </c>
      <c r="O135" s="6">
        <f t="shared" si="14"/>
        <v>118</v>
      </c>
      <c r="P135" s="6">
        <f t="shared" si="15"/>
        <v>1868</v>
      </c>
      <c r="Q135">
        <f t="shared" si="16"/>
        <v>1</v>
      </c>
      <c r="R135">
        <f t="shared" si="17"/>
        <v>2</v>
      </c>
    </row>
    <row r="136" spans="1:18" x14ac:dyDescent="0.25">
      <c r="A136">
        <f>Raw_data!A136</f>
        <v>135</v>
      </c>
      <c r="B136" t="str">
        <f>Raw_data!B136</f>
        <v>C4627</v>
      </c>
      <c r="C136" t="str">
        <f>Raw_data!C136</f>
        <v>R2145</v>
      </c>
      <c r="D136" s="3">
        <f>Raw_data!D136</f>
        <v>45309.919317129628</v>
      </c>
      <c r="E136" s="3">
        <f>Raw_data!E136</f>
        <v>45309.991539351853</v>
      </c>
      <c r="F136" s="4">
        <f t="shared" si="12"/>
        <v>7.2222222224809229E-2</v>
      </c>
      <c r="G136" s="6">
        <f>Raw_data!F136</f>
        <v>387</v>
      </c>
      <c r="H136" s="6">
        <f>Raw_data!G136</f>
        <v>50</v>
      </c>
      <c r="I136" t="str">
        <f>Raw_data!H136</f>
        <v>Credit Card</v>
      </c>
      <c r="J136" s="7" t="str">
        <f>IF(Raw_data!I136=0.1,"10%",Raw_data!I136)</f>
        <v>15% New User</v>
      </c>
      <c r="K136" s="6">
        <f>Raw_data!J136</f>
        <v>89</v>
      </c>
      <c r="L136" s="6">
        <f>Raw_data!K136</f>
        <v>18</v>
      </c>
      <c r="M136" s="6">
        <f>Raw_data!L136</f>
        <v>100</v>
      </c>
      <c r="N136" s="6">
        <f t="shared" si="13"/>
        <v>280</v>
      </c>
      <c r="O136" s="6">
        <f t="shared" si="14"/>
        <v>7</v>
      </c>
      <c r="P136" s="6">
        <f t="shared" si="15"/>
        <v>437</v>
      </c>
      <c r="Q136">
        <f t="shared" si="16"/>
        <v>2</v>
      </c>
      <c r="R136">
        <f t="shared" si="17"/>
        <v>2</v>
      </c>
    </row>
    <row r="137" spans="1:18" x14ac:dyDescent="0.25">
      <c r="A137">
        <f>Raw_data!A137</f>
        <v>136</v>
      </c>
      <c r="B137" t="str">
        <f>Raw_data!B137</f>
        <v>C6450</v>
      </c>
      <c r="C137" t="str">
        <f>Raw_data!C137</f>
        <v>R2127</v>
      </c>
      <c r="D137" s="3">
        <f>Raw_data!D137</f>
        <v>45328.225902777776</v>
      </c>
      <c r="E137" s="3">
        <f>Raw_data!E137</f>
        <v>45328.271736111114</v>
      </c>
      <c r="F137" s="4">
        <f t="shared" si="12"/>
        <v>4.5833333337213844E-2</v>
      </c>
      <c r="G137" s="6">
        <f>Raw_data!F137</f>
        <v>288</v>
      </c>
      <c r="H137" s="6">
        <f>Raw_data!G137</f>
        <v>20</v>
      </c>
      <c r="I137" t="str">
        <f>Raw_data!H137</f>
        <v>Credit Card</v>
      </c>
      <c r="J137" s="7" t="str">
        <f>IF(Raw_data!I137=0.1,"10%",Raw_data!I137)</f>
        <v>15% New User</v>
      </c>
      <c r="K137" s="6">
        <f>Raw_data!J137</f>
        <v>81</v>
      </c>
      <c r="L137" s="6">
        <f>Raw_data!K137</f>
        <v>37</v>
      </c>
      <c r="M137" s="6">
        <f>Raw_data!L137</f>
        <v>100</v>
      </c>
      <c r="N137" s="6">
        <f t="shared" si="13"/>
        <v>170</v>
      </c>
      <c r="O137" s="6">
        <f t="shared" si="14"/>
        <v>18</v>
      </c>
      <c r="P137" s="6">
        <f t="shared" si="15"/>
        <v>308</v>
      </c>
      <c r="Q137">
        <f t="shared" si="16"/>
        <v>1</v>
      </c>
      <c r="R137">
        <f t="shared" si="17"/>
        <v>2</v>
      </c>
    </row>
    <row r="138" spans="1:18" x14ac:dyDescent="0.25">
      <c r="A138">
        <f>Raw_data!A138</f>
        <v>137</v>
      </c>
      <c r="B138" t="str">
        <f>Raw_data!B138</f>
        <v>C2663</v>
      </c>
      <c r="C138" t="str">
        <f>Raw_data!C138</f>
        <v>R2852</v>
      </c>
      <c r="D138" s="3">
        <f>Raw_data!D138</f>
        <v>45322.406759259262</v>
      </c>
      <c r="E138" s="3">
        <f>Raw_data!E138</f>
        <v>45322.472037037034</v>
      </c>
      <c r="F138" s="4">
        <f t="shared" si="12"/>
        <v>6.5277777772280388E-2</v>
      </c>
      <c r="G138" s="6">
        <f>Raw_data!F138</f>
        <v>1013</v>
      </c>
      <c r="H138" s="6">
        <f>Raw_data!G138</f>
        <v>40</v>
      </c>
      <c r="I138" t="str">
        <f>Raw_data!H138</f>
        <v>Digital Wallet</v>
      </c>
      <c r="J138" s="7" t="str">
        <f>IF(Raw_data!I138=0.1,"10%",Raw_data!I138)</f>
        <v>50 off Promo</v>
      </c>
      <c r="K138" s="6">
        <f>Raw_data!J138</f>
        <v>66</v>
      </c>
      <c r="L138" s="6">
        <f>Raw_data!K138</f>
        <v>10</v>
      </c>
      <c r="M138" s="6">
        <f>Raw_data!L138</f>
        <v>0</v>
      </c>
      <c r="N138" s="6">
        <f t="shared" si="13"/>
        <v>937</v>
      </c>
      <c r="O138" s="6">
        <f t="shared" si="14"/>
        <v>76</v>
      </c>
      <c r="P138" s="6">
        <f t="shared" si="15"/>
        <v>1053</v>
      </c>
      <c r="Q138">
        <f t="shared" si="16"/>
        <v>1</v>
      </c>
      <c r="R138">
        <f t="shared" si="17"/>
        <v>1</v>
      </c>
    </row>
    <row r="139" spans="1:18" x14ac:dyDescent="0.25">
      <c r="A139">
        <f>Raw_data!A139</f>
        <v>138</v>
      </c>
      <c r="B139" t="str">
        <f>Raw_data!B139</f>
        <v>C6592</v>
      </c>
      <c r="C139" t="str">
        <f>Raw_data!C139</f>
        <v>R2041</v>
      </c>
      <c r="D139" s="3">
        <f>Raw_data!D139</f>
        <v>45303.320370370369</v>
      </c>
      <c r="E139" s="3">
        <f>Raw_data!E139</f>
        <v>45303.346759259257</v>
      </c>
      <c r="F139" s="4">
        <f t="shared" si="12"/>
        <v>2.6388888887595385E-2</v>
      </c>
      <c r="G139" s="6">
        <f>Raw_data!F139</f>
        <v>1278</v>
      </c>
      <c r="H139" s="6">
        <f>Raw_data!G139</f>
        <v>50</v>
      </c>
      <c r="I139" t="str">
        <f>Raw_data!H139</f>
        <v>Credit Card</v>
      </c>
      <c r="J139" s="7" t="str">
        <f>IF(Raw_data!I139=0.1,"10%",Raw_data!I139)</f>
        <v>10%</v>
      </c>
      <c r="K139" s="6">
        <f>Raw_data!J139</f>
        <v>175</v>
      </c>
      <c r="L139" s="6">
        <f>Raw_data!K139</f>
        <v>26</v>
      </c>
      <c r="M139" s="6">
        <f>Raw_data!L139</f>
        <v>50</v>
      </c>
      <c r="N139" s="6">
        <f t="shared" si="13"/>
        <v>1077</v>
      </c>
      <c r="O139" s="6">
        <f t="shared" si="14"/>
        <v>151</v>
      </c>
      <c r="P139" s="6">
        <f t="shared" si="15"/>
        <v>1328</v>
      </c>
      <c r="Q139">
        <f t="shared" si="16"/>
        <v>2</v>
      </c>
      <c r="R139">
        <f t="shared" si="17"/>
        <v>2</v>
      </c>
    </row>
    <row r="140" spans="1:18" x14ac:dyDescent="0.25">
      <c r="A140">
        <f>Raw_data!A140</f>
        <v>139</v>
      </c>
      <c r="B140" t="str">
        <f>Raw_data!B140</f>
        <v>C8392</v>
      </c>
      <c r="C140" t="str">
        <f>Raw_data!C140</f>
        <v>R2355</v>
      </c>
      <c r="D140" s="3">
        <f>Raw_data!D140</f>
        <v>45324.707129629627</v>
      </c>
      <c r="E140" s="3">
        <f>Raw_data!E140</f>
        <v>45324.739074074074</v>
      </c>
      <c r="F140" s="4">
        <f t="shared" si="12"/>
        <v>3.1944444446708076E-2</v>
      </c>
      <c r="G140" s="6">
        <f>Raw_data!F140</f>
        <v>1690</v>
      </c>
      <c r="H140" s="6">
        <f>Raw_data!G140</f>
        <v>40</v>
      </c>
      <c r="I140" t="str">
        <f>Raw_data!H140</f>
        <v>Cash on Delivery</v>
      </c>
      <c r="J140" s="7" t="str">
        <f>IF(Raw_data!I140=0.1,"10%",Raw_data!I140)</f>
        <v>15% New User</v>
      </c>
      <c r="K140" s="6">
        <f>Raw_data!J140</f>
        <v>57</v>
      </c>
      <c r="L140" s="6">
        <f>Raw_data!K140</f>
        <v>40</v>
      </c>
      <c r="M140" s="6">
        <f>Raw_data!L140</f>
        <v>0</v>
      </c>
      <c r="N140" s="6">
        <f t="shared" si="13"/>
        <v>1593</v>
      </c>
      <c r="O140" s="6">
        <f t="shared" si="14"/>
        <v>97</v>
      </c>
      <c r="P140" s="6">
        <f t="shared" si="15"/>
        <v>1730</v>
      </c>
      <c r="Q140">
        <f t="shared" si="16"/>
        <v>2</v>
      </c>
      <c r="R140">
        <f t="shared" si="17"/>
        <v>4</v>
      </c>
    </row>
    <row r="141" spans="1:18" x14ac:dyDescent="0.25">
      <c r="A141">
        <f>Raw_data!A141</f>
        <v>140</v>
      </c>
      <c r="B141" t="str">
        <f>Raw_data!B141</f>
        <v>C2306</v>
      </c>
      <c r="C141" t="str">
        <f>Raw_data!C141</f>
        <v>R2040</v>
      </c>
      <c r="D141" s="3">
        <f>Raw_data!D141</f>
        <v>45300.593611111108</v>
      </c>
      <c r="E141" s="3">
        <f>Raw_data!E141</f>
        <v>45300.658888888887</v>
      </c>
      <c r="F141" s="4">
        <f t="shared" si="12"/>
        <v>6.5277777779556345E-2</v>
      </c>
      <c r="G141" s="6">
        <f>Raw_data!F141</f>
        <v>793</v>
      </c>
      <c r="H141" s="6">
        <f>Raw_data!G141</f>
        <v>20</v>
      </c>
      <c r="I141" t="str">
        <f>Raw_data!H141</f>
        <v>Cash on Delivery</v>
      </c>
      <c r="J141" s="7" t="str">
        <f>IF(Raw_data!I141=0.1,"10%",Raw_data!I141)</f>
        <v>50 off Promo</v>
      </c>
      <c r="K141" s="6">
        <f>Raw_data!J141</f>
        <v>106</v>
      </c>
      <c r="L141" s="6">
        <f>Raw_data!K141</f>
        <v>19</v>
      </c>
      <c r="M141" s="6">
        <f>Raw_data!L141</f>
        <v>100</v>
      </c>
      <c r="N141" s="6">
        <f t="shared" si="13"/>
        <v>668</v>
      </c>
      <c r="O141" s="6">
        <f t="shared" si="14"/>
        <v>25</v>
      </c>
      <c r="P141" s="6">
        <f t="shared" si="15"/>
        <v>813</v>
      </c>
      <c r="Q141">
        <f t="shared" si="16"/>
        <v>1</v>
      </c>
      <c r="R141">
        <f t="shared" si="17"/>
        <v>1</v>
      </c>
    </row>
    <row r="142" spans="1:18" x14ac:dyDescent="0.25">
      <c r="A142">
        <f>Raw_data!A142</f>
        <v>141</v>
      </c>
      <c r="B142" t="str">
        <f>Raw_data!B142</f>
        <v>C7776</v>
      </c>
      <c r="C142" t="str">
        <f>Raw_data!C142</f>
        <v>R2933</v>
      </c>
      <c r="D142" s="3">
        <f>Raw_data!D142</f>
        <v>45323.628692129627</v>
      </c>
      <c r="E142" s="3">
        <f>Raw_data!E142</f>
        <v>45323.650914351849</v>
      </c>
      <c r="F142" s="4">
        <f t="shared" si="12"/>
        <v>2.2222222221898846E-2</v>
      </c>
      <c r="G142" s="6">
        <f>Raw_data!F142</f>
        <v>1845</v>
      </c>
      <c r="H142" s="6">
        <f>Raw_data!G142</f>
        <v>50</v>
      </c>
      <c r="I142" t="str">
        <f>Raw_data!H142</f>
        <v>Credit Card</v>
      </c>
      <c r="J142" s="7" t="str">
        <f>IF(Raw_data!I142=0.1,"10%",Raw_data!I142)</f>
        <v>10%</v>
      </c>
      <c r="K142" s="6">
        <f>Raw_data!J142</f>
        <v>91</v>
      </c>
      <c r="L142" s="6">
        <f>Raw_data!K142</f>
        <v>46</v>
      </c>
      <c r="M142" s="6">
        <f>Raw_data!L142</f>
        <v>0</v>
      </c>
      <c r="N142" s="6">
        <f t="shared" si="13"/>
        <v>1708</v>
      </c>
      <c r="O142" s="6">
        <f t="shared" si="14"/>
        <v>137</v>
      </c>
      <c r="P142" s="6">
        <f t="shared" si="15"/>
        <v>1895</v>
      </c>
      <c r="Q142">
        <f t="shared" si="16"/>
        <v>1</v>
      </c>
      <c r="R142">
        <f t="shared" si="17"/>
        <v>4</v>
      </c>
    </row>
    <row r="143" spans="1:18" x14ac:dyDescent="0.25">
      <c r="A143">
        <f>Raw_data!A143</f>
        <v>142</v>
      </c>
      <c r="B143" t="str">
        <f>Raw_data!B143</f>
        <v>C6864</v>
      </c>
      <c r="C143" t="str">
        <f>Raw_data!C143</f>
        <v>R2033</v>
      </c>
      <c r="D143" s="3">
        <f>Raw_data!D143</f>
        <v>45315.594212962962</v>
      </c>
      <c r="E143" s="3">
        <f>Raw_data!E143</f>
        <v>45315.632407407407</v>
      </c>
      <c r="F143" s="4">
        <f t="shared" si="12"/>
        <v>3.8194444445252884E-2</v>
      </c>
      <c r="G143" s="6">
        <f>Raw_data!F143</f>
        <v>987</v>
      </c>
      <c r="H143" s="6">
        <f>Raw_data!G143</f>
        <v>20</v>
      </c>
      <c r="I143" t="str">
        <f>Raw_data!H143</f>
        <v>Cash on Delivery</v>
      </c>
      <c r="J143" s="7" t="str">
        <f>IF(Raw_data!I143=0.1,"10%",Raw_data!I143)</f>
        <v>10%</v>
      </c>
      <c r="K143" s="6">
        <f>Raw_data!J143</f>
        <v>147</v>
      </c>
      <c r="L143" s="6">
        <f>Raw_data!K143</f>
        <v>38</v>
      </c>
      <c r="M143" s="6">
        <f>Raw_data!L143</f>
        <v>0</v>
      </c>
      <c r="N143" s="6">
        <f t="shared" si="13"/>
        <v>802</v>
      </c>
      <c r="O143" s="6">
        <f t="shared" si="14"/>
        <v>185</v>
      </c>
      <c r="P143" s="6">
        <f t="shared" si="15"/>
        <v>1007</v>
      </c>
      <c r="Q143">
        <f t="shared" si="16"/>
        <v>1</v>
      </c>
      <c r="R143">
        <f t="shared" si="17"/>
        <v>1</v>
      </c>
    </row>
    <row r="144" spans="1:18" x14ac:dyDescent="0.25">
      <c r="A144">
        <f>Raw_data!A144</f>
        <v>143</v>
      </c>
      <c r="B144" t="str">
        <f>Raw_data!B144</f>
        <v>C8526</v>
      </c>
      <c r="C144" t="str">
        <f>Raw_data!C144</f>
        <v>R2016</v>
      </c>
      <c r="D144" s="3">
        <f>Raw_data!D144</f>
        <v>45299.900092592594</v>
      </c>
      <c r="E144" s="3">
        <f>Raw_data!E144</f>
        <v>45299.957037037035</v>
      </c>
      <c r="F144" s="4">
        <f t="shared" si="12"/>
        <v>5.694444444088731E-2</v>
      </c>
      <c r="G144" s="6">
        <f>Raw_data!F144</f>
        <v>570</v>
      </c>
      <c r="H144" s="6">
        <f>Raw_data!G144</f>
        <v>0</v>
      </c>
      <c r="I144" t="str">
        <f>Raw_data!H144</f>
        <v>Digital Wallet</v>
      </c>
      <c r="J144" s="7" t="str">
        <f>IF(Raw_data!I144=0.1,"10%",Raw_data!I144)</f>
        <v>5% on App</v>
      </c>
      <c r="K144" s="6">
        <f>Raw_data!J144</f>
        <v>186</v>
      </c>
      <c r="L144" s="6">
        <f>Raw_data!K144</f>
        <v>27</v>
      </c>
      <c r="M144" s="6">
        <f>Raw_data!L144</f>
        <v>0</v>
      </c>
      <c r="N144" s="6">
        <f t="shared" si="13"/>
        <v>357</v>
      </c>
      <c r="O144" s="6">
        <f t="shared" si="14"/>
        <v>213</v>
      </c>
      <c r="P144" s="6">
        <f t="shared" si="15"/>
        <v>570</v>
      </c>
      <c r="Q144">
        <f t="shared" si="16"/>
        <v>1</v>
      </c>
      <c r="R144">
        <f t="shared" si="17"/>
        <v>5</v>
      </c>
    </row>
    <row r="145" spans="1:18" x14ac:dyDescent="0.25">
      <c r="A145">
        <f>Raw_data!A145</f>
        <v>144</v>
      </c>
      <c r="B145" t="str">
        <f>Raw_data!B145</f>
        <v>C9901</v>
      </c>
      <c r="C145" t="str">
        <f>Raw_data!C145</f>
        <v>R2676</v>
      </c>
      <c r="D145" s="3">
        <f>Raw_data!D145</f>
        <v>45323.712453703702</v>
      </c>
      <c r="E145" s="3">
        <f>Raw_data!E145</f>
        <v>45323.754120370373</v>
      </c>
      <c r="F145" s="4">
        <f t="shared" si="12"/>
        <v>4.1666666671517305E-2</v>
      </c>
      <c r="G145" s="6">
        <f>Raw_data!F145</f>
        <v>1198</v>
      </c>
      <c r="H145" s="6">
        <f>Raw_data!G145</f>
        <v>20</v>
      </c>
      <c r="I145" t="str">
        <f>Raw_data!H145</f>
        <v>Credit Card</v>
      </c>
      <c r="J145" s="7" t="str">
        <f>IF(Raw_data!I145=0.1,"10%",Raw_data!I145)</f>
        <v>10%</v>
      </c>
      <c r="K145" s="6">
        <f>Raw_data!J145</f>
        <v>169</v>
      </c>
      <c r="L145" s="6">
        <f>Raw_data!K145</f>
        <v>47</v>
      </c>
      <c r="M145" s="6">
        <f>Raw_data!L145</f>
        <v>50</v>
      </c>
      <c r="N145" s="6">
        <f t="shared" si="13"/>
        <v>982</v>
      </c>
      <c r="O145" s="6">
        <f t="shared" si="14"/>
        <v>166</v>
      </c>
      <c r="P145" s="6">
        <f t="shared" si="15"/>
        <v>1218</v>
      </c>
      <c r="Q145">
        <f t="shared" si="16"/>
        <v>1</v>
      </c>
      <c r="R145">
        <f t="shared" si="17"/>
        <v>1</v>
      </c>
    </row>
    <row r="146" spans="1:18" x14ac:dyDescent="0.25">
      <c r="A146">
        <f>Raw_data!A146</f>
        <v>145</v>
      </c>
      <c r="B146" t="str">
        <f>Raw_data!B146</f>
        <v>C6575</v>
      </c>
      <c r="C146" t="str">
        <f>Raw_data!C146</f>
        <v>R2152</v>
      </c>
      <c r="D146" s="3">
        <f>Raw_data!D146</f>
        <v>45322.323842592596</v>
      </c>
      <c r="E146" s="3">
        <f>Raw_data!E146</f>
        <v>45322.362037037034</v>
      </c>
      <c r="F146" s="4">
        <f t="shared" si="12"/>
        <v>3.8194444437976927E-2</v>
      </c>
      <c r="G146" s="6">
        <f>Raw_data!F146</f>
        <v>376</v>
      </c>
      <c r="H146" s="6">
        <f>Raw_data!G146</f>
        <v>40</v>
      </c>
      <c r="I146" t="str">
        <f>Raw_data!H146</f>
        <v>Credit Card</v>
      </c>
      <c r="J146" s="7" t="str">
        <f>IF(Raw_data!I146=0.1,"10%",Raw_data!I146)</f>
        <v>15% New User</v>
      </c>
      <c r="K146" s="6">
        <f>Raw_data!J146</f>
        <v>136</v>
      </c>
      <c r="L146" s="6">
        <f>Raw_data!K146</f>
        <v>48</v>
      </c>
      <c r="M146" s="6">
        <f>Raw_data!L146</f>
        <v>0</v>
      </c>
      <c r="N146" s="6">
        <f t="shared" si="13"/>
        <v>192</v>
      </c>
      <c r="O146" s="6">
        <f t="shared" si="14"/>
        <v>184</v>
      </c>
      <c r="P146" s="6">
        <f t="shared" si="15"/>
        <v>416</v>
      </c>
      <c r="Q146">
        <f t="shared" si="16"/>
        <v>1</v>
      </c>
      <c r="R146">
        <f t="shared" si="17"/>
        <v>3</v>
      </c>
    </row>
    <row r="147" spans="1:18" x14ac:dyDescent="0.25">
      <c r="A147">
        <f>Raw_data!A147</f>
        <v>146</v>
      </c>
      <c r="B147" t="str">
        <f>Raw_data!B147</f>
        <v>C6530</v>
      </c>
      <c r="C147" t="str">
        <f>Raw_data!C147</f>
        <v>R2997</v>
      </c>
      <c r="D147" s="3">
        <f>Raw_data!D147</f>
        <v>45321.809236111112</v>
      </c>
      <c r="E147" s="3">
        <f>Raw_data!E147</f>
        <v>45321.845347222225</v>
      </c>
      <c r="F147" s="4">
        <f t="shared" si="12"/>
        <v>3.6111111112404615E-2</v>
      </c>
      <c r="G147" s="6">
        <f>Raw_data!F147</f>
        <v>1039</v>
      </c>
      <c r="H147" s="6">
        <f>Raw_data!G147</f>
        <v>30</v>
      </c>
      <c r="I147" t="str">
        <f>Raw_data!H147</f>
        <v>Digital Wallet</v>
      </c>
      <c r="J147" s="7" t="str">
        <f>IF(Raw_data!I147=0.1,"10%",Raw_data!I147)</f>
        <v>15% New User</v>
      </c>
      <c r="K147" s="6">
        <f>Raw_data!J147</f>
        <v>103</v>
      </c>
      <c r="L147" s="6">
        <f>Raw_data!K147</f>
        <v>15</v>
      </c>
      <c r="M147" s="6">
        <f>Raw_data!L147</f>
        <v>0</v>
      </c>
      <c r="N147" s="6">
        <f t="shared" si="13"/>
        <v>921</v>
      </c>
      <c r="O147" s="6">
        <f t="shared" si="14"/>
        <v>118</v>
      </c>
      <c r="P147" s="6">
        <f t="shared" si="15"/>
        <v>1069</v>
      </c>
      <c r="Q147">
        <f t="shared" si="16"/>
        <v>1</v>
      </c>
      <c r="R147">
        <f t="shared" si="17"/>
        <v>2</v>
      </c>
    </row>
    <row r="148" spans="1:18" x14ac:dyDescent="0.25">
      <c r="A148">
        <f>Raw_data!A148</f>
        <v>147</v>
      </c>
      <c r="B148" t="str">
        <f>Raw_data!B148</f>
        <v>C5413</v>
      </c>
      <c r="C148" t="str">
        <f>Raw_data!C148</f>
        <v>R2377</v>
      </c>
      <c r="D148" s="3">
        <f>Raw_data!D148</f>
        <v>45300.349351851852</v>
      </c>
      <c r="E148" s="3">
        <f>Raw_data!E148</f>
        <v>45300.390324074076</v>
      </c>
      <c r="F148" s="4">
        <f t="shared" si="12"/>
        <v>4.0972222224809229E-2</v>
      </c>
      <c r="G148" s="6">
        <f>Raw_data!F148</f>
        <v>1768</v>
      </c>
      <c r="H148" s="6">
        <f>Raw_data!G148</f>
        <v>20</v>
      </c>
      <c r="I148" t="str">
        <f>Raw_data!H148</f>
        <v>Digital Wallet</v>
      </c>
      <c r="J148" s="7" t="str">
        <f>IF(Raw_data!I148=0.1,"10%",Raw_data!I148)</f>
        <v>50 off Promo</v>
      </c>
      <c r="K148" s="6">
        <f>Raw_data!J148</f>
        <v>133</v>
      </c>
      <c r="L148" s="6">
        <f>Raw_data!K148</f>
        <v>49</v>
      </c>
      <c r="M148" s="6">
        <f>Raw_data!L148</f>
        <v>0</v>
      </c>
      <c r="N148" s="6">
        <f t="shared" si="13"/>
        <v>1586</v>
      </c>
      <c r="O148" s="6">
        <f t="shared" si="14"/>
        <v>182</v>
      </c>
      <c r="P148" s="6">
        <f t="shared" si="15"/>
        <v>1788</v>
      </c>
      <c r="Q148">
        <f t="shared" si="16"/>
        <v>1</v>
      </c>
      <c r="R148">
        <f t="shared" si="17"/>
        <v>2</v>
      </c>
    </row>
    <row r="149" spans="1:18" x14ac:dyDescent="0.25">
      <c r="A149">
        <f>Raw_data!A149</f>
        <v>148</v>
      </c>
      <c r="B149" t="str">
        <f>Raw_data!B149</f>
        <v>C4748</v>
      </c>
      <c r="C149" t="str">
        <f>Raw_data!C149</f>
        <v>R2587</v>
      </c>
      <c r="D149" s="3">
        <f>Raw_data!D149</f>
        <v>45327.353449074071</v>
      </c>
      <c r="E149" s="3">
        <f>Raw_data!E149</f>
        <v>45327.380532407406</v>
      </c>
      <c r="F149" s="4">
        <f t="shared" si="12"/>
        <v>2.7083333334303461E-2</v>
      </c>
      <c r="G149" s="6">
        <f>Raw_data!F149</f>
        <v>1466</v>
      </c>
      <c r="H149" s="6">
        <f>Raw_data!G149</f>
        <v>30</v>
      </c>
      <c r="I149" t="str">
        <f>Raw_data!H149</f>
        <v>Digital Wallet</v>
      </c>
      <c r="J149" s="7" t="str">
        <f>IF(Raw_data!I149=0.1,"10%",Raw_data!I149)</f>
        <v>50 off Promo</v>
      </c>
      <c r="K149" s="6">
        <f>Raw_data!J149</f>
        <v>74</v>
      </c>
      <c r="L149" s="6">
        <f>Raw_data!K149</f>
        <v>21</v>
      </c>
      <c r="M149" s="6">
        <f>Raw_data!L149</f>
        <v>150</v>
      </c>
      <c r="N149" s="6">
        <f t="shared" si="13"/>
        <v>1371</v>
      </c>
      <c r="O149" s="6">
        <f t="shared" si="14"/>
        <v>-55</v>
      </c>
      <c r="P149" s="6">
        <f t="shared" si="15"/>
        <v>1496</v>
      </c>
      <c r="Q149">
        <f t="shared" si="16"/>
        <v>1</v>
      </c>
      <c r="R149">
        <f t="shared" si="17"/>
        <v>2</v>
      </c>
    </row>
    <row r="150" spans="1:18" x14ac:dyDescent="0.25">
      <c r="A150">
        <f>Raw_data!A150</f>
        <v>149</v>
      </c>
      <c r="B150" t="str">
        <f>Raw_data!B150</f>
        <v>C1663</v>
      </c>
      <c r="C150" t="str">
        <f>Raw_data!C150</f>
        <v>R2598</v>
      </c>
      <c r="D150" s="3">
        <f>Raw_data!D150</f>
        <v>45321.123738425929</v>
      </c>
      <c r="E150" s="3">
        <f>Raw_data!E150</f>
        <v>45321.193877314814</v>
      </c>
      <c r="F150" s="4">
        <f t="shared" si="12"/>
        <v>7.0138888884685002E-2</v>
      </c>
      <c r="G150" s="6">
        <f>Raw_data!F150</f>
        <v>1548</v>
      </c>
      <c r="H150" s="6">
        <f>Raw_data!G150</f>
        <v>0</v>
      </c>
      <c r="I150" t="str">
        <f>Raw_data!H150</f>
        <v>Credit Card</v>
      </c>
      <c r="J150" s="7" t="str">
        <f>IF(Raw_data!I150=0.1,"10%",Raw_data!I150)</f>
        <v>10%</v>
      </c>
      <c r="K150" s="6">
        <f>Raw_data!J150</f>
        <v>116</v>
      </c>
      <c r="L150" s="6">
        <f>Raw_data!K150</f>
        <v>23</v>
      </c>
      <c r="M150" s="6">
        <f>Raw_data!L150</f>
        <v>0</v>
      </c>
      <c r="N150" s="6">
        <f t="shared" si="13"/>
        <v>1409</v>
      </c>
      <c r="O150" s="6">
        <f t="shared" si="14"/>
        <v>139</v>
      </c>
      <c r="P150" s="6">
        <f t="shared" si="15"/>
        <v>1548</v>
      </c>
      <c r="Q150">
        <f t="shared" si="16"/>
        <v>1</v>
      </c>
      <c r="R150">
        <f t="shared" si="17"/>
        <v>2</v>
      </c>
    </row>
    <row r="151" spans="1:18" x14ac:dyDescent="0.25">
      <c r="A151">
        <f>Raw_data!A151</f>
        <v>150</v>
      </c>
      <c r="B151" t="str">
        <f>Raw_data!B151</f>
        <v>C2998</v>
      </c>
      <c r="C151" t="str">
        <f>Raw_data!C151</f>
        <v>R2628</v>
      </c>
      <c r="D151" s="3">
        <f>Raw_data!D151</f>
        <v>45298.0159375</v>
      </c>
      <c r="E151" s="3">
        <f>Raw_data!E151</f>
        <v>45298.097881944443</v>
      </c>
      <c r="F151" s="4">
        <f t="shared" si="12"/>
        <v>8.1944444442342501E-2</v>
      </c>
      <c r="G151" s="6">
        <f>Raw_data!F151</f>
        <v>670</v>
      </c>
      <c r="H151" s="6">
        <f>Raw_data!G151</f>
        <v>50</v>
      </c>
      <c r="I151" t="str">
        <f>Raw_data!H151</f>
        <v>Digital Wallet</v>
      </c>
      <c r="J151" s="7" t="str">
        <f>IF(Raw_data!I151=0.1,"10%",Raw_data!I151)</f>
        <v>None</v>
      </c>
      <c r="K151" s="6">
        <f>Raw_data!J151</f>
        <v>95</v>
      </c>
      <c r="L151" s="6">
        <f>Raw_data!K151</f>
        <v>19</v>
      </c>
      <c r="M151" s="6">
        <f>Raw_data!L151</f>
        <v>50</v>
      </c>
      <c r="N151" s="6">
        <f t="shared" si="13"/>
        <v>556</v>
      </c>
      <c r="O151" s="6">
        <f t="shared" si="14"/>
        <v>64</v>
      </c>
      <c r="P151" s="6">
        <f t="shared" si="15"/>
        <v>720</v>
      </c>
      <c r="Q151">
        <f t="shared" si="16"/>
        <v>1</v>
      </c>
      <c r="R151">
        <f t="shared" si="17"/>
        <v>2</v>
      </c>
    </row>
    <row r="152" spans="1:18" x14ac:dyDescent="0.25">
      <c r="A152">
        <f>Raw_data!A152</f>
        <v>151</v>
      </c>
      <c r="B152" t="str">
        <f>Raw_data!B152</f>
        <v>C8994</v>
      </c>
      <c r="C152" t="str">
        <f>Raw_data!C152</f>
        <v>R2873</v>
      </c>
      <c r="D152" s="3">
        <f>Raw_data!D152</f>
        <v>45318.964131944442</v>
      </c>
      <c r="E152" s="3">
        <f>Raw_data!E152</f>
        <v>45319.028715277775</v>
      </c>
      <c r="F152" s="4">
        <f t="shared" si="12"/>
        <v>6.4583333332848269E-2</v>
      </c>
      <c r="G152" s="6">
        <f>Raw_data!F152</f>
        <v>1634</v>
      </c>
      <c r="H152" s="6">
        <f>Raw_data!G152</f>
        <v>50</v>
      </c>
      <c r="I152" t="str">
        <f>Raw_data!H152</f>
        <v>Digital Wallet</v>
      </c>
      <c r="J152" s="7" t="str">
        <f>IF(Raw_data!I152=0.1,"10%",Raw_data!I152)</f>
        <v>5% on App</v>
      </c>
      <c r="K152" s="6">
        <f>Raw_data!J152</f>
        <v>71</v>
      </c>
      <c r="L152" s="6">
        <f>Raw_data!K152</f>
        <v>29</v>
      </c>
      <c r="M152" s="6">
        <f>Raw_data!L152</f>
        <v>0</v>
      </c>
      <c r="N152" s="6">
        <f t="shared" si="13"/>
        <v>1534</v>
      </c>
      <c r="O152" s="6">
        <f t="shared" si="14"/>
        <v>100</v>
      </c>
      <c r="P152" s="6">
        <f t="shared" si="15"/>
        <v>1684</v>
      </c>
      <c r="Q152">
        <f t="shared" si="16"/>
        <v>1</v>
      </c>
      <c r="R152">
        <f t="shared" si="17"/>
        <v>2</v>
      </c>
    </row>
    <row r="153" spans="1:18" x14ac:dyDescent="0.25">
      <c r="A153">
        <f>Raw_data!A153</f>
        <v>152</v>
      </c>
      <c r="B153" t="str">
        <f>Raw_data!B153</f>
        <v>C2495</v>
      </c>
      <c r="C153" t="str">
        <f>Raw_data!C153</f>
        <v>R2341</v>
      </c>
      <c r="D153" s="3">
        <f>Raw_data!D153</f>
        <v>45321.885613425926</v>
      </c>
      <c r="E153" s="3">
        <f>Raw_data!E153</f>
        <v>45321.921030092592</v>
      </c>
      <c r="F153" s="4">
        <f t="shared" si="12"/>
        <v>3.5416666665696539E-2</v>
      </c>
      <c r="G153" s="6">
        <f>Raw_data!F153</f>
        <v>956</v>
      </c>
      <c r="H153" s="6">
        <f>Raw_data!G153</f>
        <v>30</v>
      </c>
      <c r="I153" t="str">
        <f>Raw_data!H153</f>
        <v>Cash on Delivery</v>
      </c>
      <c r="J153" s="7" t="str">
        <f>IF(Raw_data!I153=0.1,"10%",Raw_data!I153)</f>
        <v>None</v>
      </c>
      <c r="K153" s="6">
        <f>Raw_data!J153</f>
        <v>188</v>
      </c>
      <c r="L153" s="6">
        <f>Raw_data!K153</f>
        <v>24</v>
      </c>
      <c r="M153" s="6">
        <f>Raw_data!L153</f>
        <v>0</v>
      </c>
      <c r="N153" s="6">
        <f t="shared" si="13"/>
        <v>744</v>
      </c>
      <c r="O153" s="6">
        <f t="shared" si="14"/>
        <v>212</v>
      </c>
      <c r="P153" s="6">
        <f t="shared" si="15"/>
        <v>986</v>
      </c>
      <c r="Q153">
        <f t="shared" si="16"/>
        <v>1</v>
      </c>
      <c r="R153">
        <f t="shared" si="17"/>
        <v>1</v>
      </c>
    </row>
    <row r="154" spans="1:18" x14ac:dyDescent="0.25">
      <c r="A154">
        <f>Raw_data!A154</f>
        <v>153</v>
      </c>
      <c r="B154" t="str">
        <f>Raw_data!B154</f>
        <v>C4304</v>
      </c>
      <c r="C154" t="str">
        <f>Raw_data!C154</f>
        <v>R2980</v>
      </c>
      <c r="D154" s="3">
        <f>Raw_data!D154</f>
        <v>45325.422430555554</v>
      </c>
      <c r="E154" s="3">
        <f>Raw_data!E154</f>
        <v>45325.452986111108</v>
      </c>
      <c r="F154" s="4">
        <f t="shared" si="12"/>
        <v>3.0555555553291924E-2</v>
      </c>
      <c r="G154" s="6">
        <f>Raw_data!F154</f>
        <v>1100</v>
      </c>
      <c r="H154" s="6">
        <f>Raw_data!G154</f>
        <v>50</v>
      </c>
      <c r="I154" t="str">
        <f>Raw_data!H154</f>
        <v>Cash on Delivery</v>
      </c>
      <c r="J154" s="7" t="str">
        <f>IF(Raw_data!I154=0.1,"10%",Raw_data!I154)</f>
        <v>10%</v>
      </c>
      <c r="K154" s="6">
        <f>Raw_data!J154</f>
        <v>57</v>
      </c>
      <c r="L154" s="6">
        <f>Raw_data!K154</f>
        <v>40</v>
      </c>
      <c r="M154" s="6">
        <f>Raw_data!L154</f>
        <v>0</v>
      </c>
      <c r="N154" s="6">
        <f t="shared" si="13"/>
        <v>1003</v>
      </c>
      <c r="O154" s="6">
        <f t="shared" si="14"/>
        <v>97</v>
      </c>
      <c r="P154" s="6">
        <f t="shared" si="15"/>
        <v>1150</v>
      </c>
      <c r="Q154">
        <f t="shared" si="16"/>
        <v>1</v>
      </c>
      <c r="R154">
        <f t="shared" si="17"/>
        <v>3</v>
      </c>
    </row>
    <row r="155" spans="1:18" x14ac:dyDescent="0.25">
      <c r="A155">
        <f>Raw_data!A155</f>
        <v>154</v>
      </c>
      <c r="B155" t="str">
        <f>Raw_data!B155</f>
        <v>C4763</v>
      </c>
      <c r="C155" t="str">
        <f>Raw_data!C155</f>
        <v>R2026</v>
      </c>
      <c r="D155" s="3">
        <f>Raw_data!D155</f>
        <v>45303.371168981481</v>
      </c>
      <c r="E155" s="3">
        <f>Raw_data!E155</f>
        <v>45303.430196759262</v>
      </c>
      <c r="F155" s="4">
        <f t="shared" si="12"/>
        <v>5.9027777781011537E-2</v>
      </c>
      <c r="G155" s="6">
        <f>Raw_data!F155</f>
        <v>1305</v>
      </c>
      <c r="H155" s="6">
        <f>Raw_data!G155</f>
        <v>20</v>
      </c>
      <c r="I155" t="str">
        <f>Raw_data!H155</f>
        <v>Credit Card</v>
      </c>
      <c r="J155" s="7" t="str">
        <f>IF(Raw_data!I155=0.1,"10%",Raw_data!I155)</f>
        <v>10%</v>
      </c>
      <c r="K155" s="6">
        <f>Raw_data!J155</f>
        <v>88</v>
      </c>
      <c r="L155" s="6">
        <f>Raw_data!K155</f>
        <v>16</v>
      </c>
      <c r="M155" s="6">
        <f>Raw_data!L155</f>
        <v>0</v>
      </c>
      <c r="N155" s="6">
        <f t="shared" si="13"/>
        <v>1201</v>
      </c>
      <c r="O155" s="6">
        <f t="shared" si="14"/>
        <v>104</v>
      </c>
      <c r="P155" s="6">
        <f t="shared" si="15"/>
        <v>1325</v>
      </c>
      <c r="Q155">
        <f t="shared" si="16"/>
        <v>1</v>
      </c>
      <c r="R155">
        <f t="shared" si="17"/>
        <v>2</v>
      </c>
    </row>
    <row r="156" spans="1:18" x14ac:dyDescent="0.25">
      <c r="A156">
        <f>Raw_data!A156</f>
        <v>155</v>
      </c>
      <c r="B156" t="str">
        <f>Raw_data!B156</f>
        <v>C6232</v>
      </c>
      <c r="C156" t="str">
        <f>Raw_data!C156</f>
        <v>R2824</v>
      </c>
      <c r="D156" s="3">
        <f>Raw_data!D156</f>
        <v>45292.420381944445</v>
      </c>
      <c r="E156" s="3">
        <f>Raw_data!E156</f>
        <v>45292.491909722223</v>
      </c>
      <c r="F156" s="4">
        <f t="shared" si="12"/>
        <v>7.1527777778101154E-2</v>
      </c>
      <c r="G156" s="6">
        <f>Raw_data!F156</f>
        <v>557</v>
      </c>
      <c r="H156" s="6">
        <f>Raw_data!G156</f>
        <v>30</v>
      </c>
      <c r="I156" t="str">
        <f>Raw_data!H156</f>
        <v>Cash on Delivery</v>
      </c>
      <c r="J156" s="7" t="str">
        <f>IF(Raw_data!I156=0.1,"10%",Raw_data!I156)</f>
        <v>None</v>
      </c>
      <c r="K156" s="6">
        <f>Raw_data!J156</f>
        <v>98</v>
      </c>
      <c r="L156" s="6">
        <f>Raw_data!K156</f>
        <v>50</v>
      </c>
      <c r="M156" s="6">
        <f>Raw_data!L156</f>
        <v>0</v>
      </c>
      <c r="N156" s="6">
        <f t="shared" si="13"/>
        <v>409</v>
      </c>
      <c r="O156" s="6">
        <f t="shared" si="14"/>
        <v>148</v>
      </c>
      <c r="P156" s="6">
        <f t="shared" si="15"/>
        <v>587</v>
      </c>
      <c r="Q156">
        <f t="shared" si="16"/>
        <v>2</v>
      </c>
      <c r="R156">
        <f t="shared" si="17"/>
        <v>2</v>
      </c>
    </row>
    <row r="157" spans="1:18" x14ac:dyDescent="0.25">
      <c r="A157">
        <f>Raw_data!A157</f>
        <v>156</v>
      </c>
      <c r="B157" t="str">
        <f>Raw_data!B157</f>
        <v>C2853</v>
      </c>
      <c r="C157" t="str">
        <f>Raw_data!C157</f>
        <v>R2286</v>
      </c>
      <c r="D157" s="3">
        <f>Raw_data!D157</f>
        <v>45320.155011574076</v>
      </c>
      <c r="E157" s="3">
        <f>Raw_data!E157</f>
        <v>45320.189039351855</v>
      </c>
      <c r="F157" s="4">
        <f t="shared" si="12"/>
        <v>3.4027777779556345E-2</v>
      </c>
      <c r="G157" s="6">
        <f>Raw_data!F157</f>
        <v>1017</v>
      </c>
      <c r="H157" s="6">
        <f>Raw_data!G157</f>
        <v>40</v>
      </c>
      <c r="I157" t="str">
        <f>Raw_data!H157</f>
        <v>Cash on Delivery</v>
      </c>
      <c r="J157" s="7" t="str">
        <f>IF(Raw_data!I157=0.1,"10%",Raw_data!I157)</f>
        <v>5% on App</v>
      </c>
      <c r="K157" s="6">
        <f>Raw_data!J157</f>
        <v>95</v>
      </c>
      <c r="L157" s="6">
        <f>Raw_data!K157</f>
        <v>19</v>
      </c>
      <c r="M157" s="6">
        <f>Raw_data!L157</f>
        <v>0</v>
      </c>
      <c r="N157" s="6">
        <f t="shared" si="13"/>
        <v>903</v>
      </c>
      <c r="O157" s="6">
        <f t="shared" si="14"/>
        <v>114</v>
      </c>
      <c r="P157" s="6">
        <f t="shared" si="15"/>
        <v>1057</v>
      </c>
      <c r="Q157">
        <f t="shared" si="16"/>
        <v>1</v>
      </c>
      <c r="R157">
        <f t="shared" si="17"/>
        <v>1</v>
      </c>
    </row>
    <row r="158" spans="1:18" x14ac:dyDescent="0.25">
      <c r="A158">
        <f>Raw_data!A158</f>
        <v>157</v>
      </c>
      <c r="B158" t="str">
        <f>Raw_data!B158</f>
        <v>C7585</v>
      </c>
      <c r="C158" t="str">
        <f>Raw_data!C158</f>
        <v>R2645</v>
      </c>
      <c r="D158" s="3">
        <f>Raw_data!D158</f>
        <v>45293.811319444445</v>
      </c>
      <c r="E158" s="3">
        <f>Raw_data!E158</f>
        <v>45293.86409722222</v>
      </c>
      <c r="F158" s="4">
        <f t="shared" si="12"/>
        <v>5.2777777775190771E-2</v>
      </c>
      <c r="G158" s="6">
        <f>Raw_data!F158</f>
        <v>1974</v>
      </c>
      <c r="H158" s="6">
        <f>Raw_data!G158</f>
        <v>20</v>
      </c>
      <c r="I158" t="str">
        <f>Raw_data!H158</f>
        <v>Digital Wallet</v>
      </c>
      <c r="J158" s="7" t="str">
        <f>IF(Raw_data!I158=0.1,"10%",Raw_data!I158)</f>
        <v>None</v>
      </c>
      <c r="K158" s="6">
        <f>Raw_data!J158</f>
        <v>87</v>
      </c>
      <c r="L158" s="6">
        <f>Raw_data!K158</f>
        <v>19</v>
      </c>
      <c r="M158" s="6">
        <f>Raw_data!L158</f>
        <v>0</v>
      </c>
      <c r="N158" s="6">
        <f t="shared" si="13"/>
        <v>1868</v>
      </c>
      <c r="O158" s="6">
        <f t="shared" si="14"/>
        <v>106</v>
      </c>
      <c r="P158" s="6">
        <f t="shared" si="15"/>
        <v>1994</v>
      </c>
      <c r="Q158">
        <f t="shared" si="16"/>
        <v>1</v>
      </c>
      <c r="R158">
        <f t="shared" si="17"/>
        <v>2</v>
      </c>
    </row>
    <row r="159" spans="1:18" x14ac:dyDescent="0.25">
      <c r="A159">
        <f>Raw_data!A159</f>
        <v>158</v>
      </c>
      <c r="B159" t="str">
        <f>Raw_data!B159</f>
        <v>C2291</v>
      </c>
      <c r="C159" t="str">
        <f>Raw_data!C159</f>
        <v>R2730</v>
      </c>
      <c r="D159" s="3">
        <f>Raw_data!D159</f>
        <v>45328.614583333336</v>
      </c>
      <c r="E159" s="3">
        <f>Raw_data!E159</f>
        <v>45328.695138888892</v>
      </c>
      <c r="F159" s="4">
        <f t="shared" si="12"/>
        <v>8.0555555556202307E-2</v>
      </c>
      <c r="G159" s="6">
        <f>Raw_data!F159</f>
        <v>932</v>
      </c>
      <c r="H159" s="6">
        <f>Raw_data!G159</f>
        <v>20</v>
      </c>
      <c r="I159" t="str">
        <f>Raw_data!H159</f>
        <v>Digital Wallet</v>
      </c>
      <c r="J159" s="7" t="str">
        <f>IF(Raw_data!I159=0.1,"10%",Raw_data!I159)</f>
        <v>50 off Promo</v>
      </c>
      <c r="K159" s="6">
        <f>Raw_data!J159</f>
        <v>185</v>
      </c>
      <c r="L159" s="6">
        <f>Raw_data!K159</f>
        <v>48</v>
      </c>
      <c r="M159" s="6">
        <f>Raw_data!L159</f>
        <v>0</v>
      </c>
      <c r="N159" s="6">
        <f t="shared" si="13"/>
        <v>699</v>
      </c>
      <c r="O159" s="6">
        <f t="shared" si="14"/>
        <v>233</v>
      </c>
      <c r="P159" s="6">
        <f t="shared" si="15"/>
        <v>952</v>
      </c>
      <c r="Q159">
        <f t="shared" si="16"/>
        <v>1</v>
      </c>
      <c r="R159">
        <f t="shared" si="17"/>
        <v>2</v>
      </c>
    </row>
    <row r="160" spans="1:18" x14ac:dyDescent="0.25">
      <c r="A160">
        <f>Raw_data!A160</f>
        <v>159</v>
      </c>
      <c r="B160" t="str">
        <f>Raw_data!B160</f>
        <v>C4581</v>
      </c>
      <c r="C160" t="str">
        <f>Raw_data!C160</f>
        <v>R2167</v>
      </c>
      <c r="D160" s="3">
        <f>Raw_data!D160</f>
        <v>45314.439375000002</v>
      </c>
      <c r="E160" s="3">
        <f>Raw_data!E160</f>
        <v>45314.496319444443</v>
      </c>
      <c r="F160" s="4">
        <f t="shared" si="12"/>
        <v>5.694444444088731E-2</v>
      </c>
      <c r="G160" s="6">
        <f>Raw_data!F160</f>
        <v>1187</v>
      </c>
      <c r="H160" s="6">
        <f>Raw_data!G160</f>
        <v>20</v>
      </c>
      <c r="I160" t="str">
        <f>Raw_data!H160</f>
        <v>Cash on Delivery</v>
      </c>
      <c r="J160" s="7" t="str">
        <f>IF(Raw_data!I160=0.1,"10%",Raw_data!I160)</f>
        <v>15% New User</v>
      </c>
      <c r="K160" s="6">
        <f>Raw_data!J160</f>
        <v>103</v>
      </c>
      <c r="L160" s="6">
        <f>Raw_data!K160</f>
        <v>37</v>
      </c>
      <c r="M160" s="6">
        <f>Raw_data!L160</f>
        <v>50</v>
      </c>
      <c r="N160" s="6">
        <f t="shared" si="13"/>
        <v>1047</v>
      </c>
      <c r="O160" s="6">
        <f t="shared" si="14"/>
        <v>90</v>
      </c>
      <c r="P160" s="6">
        <f t="shared" si="15"/>
        <v>1207</v>
      </c>
      <c r="Q160">
        <f t="shared" si="16"/>
        <v>1</v>
      </c>
      <c r="R160">
        <f t="shared" si="17"/>
        <v>2</v>
      </c>
    </row>
    <row r="161" spans="1:18" x14ac:dyDescent="0.25">
      <c r="A161">
        <f>Raw_data!A161</f>
        <v>160</v>
      </c>
      <c r="B161" t="str">
        <f>Raw_data!B161</f>
        <v>C8554</v>
      </c>
      <c r="C161" t="str">
        <f>Raw_data!C161</f>
        <v>R2609</v>
      </c>
      <c r="D161" s="3">
        <f>Raw_data!D161</f>
        <v>45325.41777777778</v>
      </c>
      <c r="E161" s="3">
        <f>Raw_data!E161</f>
        <v>45325.474722222221</v>
      </c>
      <c r="F161" s="4">
        <f t="shared" si="12"/>
        <v>5.694444444088731E-2</v>
      </c>
      <c r="G161" s="6">
        <f>Raw_data!F161</f>
        <v>938</v>
      </c>
      <c r="H161" s="6">
        <f>Raw_data!G161</f>
        <v>40</v>
      </c>
      <c r="I161" t="str">
        <f>Raw_data!H161</f>
        <v>Cash on Delivery</v>
      </c>
      <c r="J161" s="7" t="str">
        <f>IF(Raw_data!I161=0.1,"10%",Raw_data!I161)</f>
        <v>50 off Promo</v>
      </c>
      <c r="K161" s="6">
        <f>Raw_data!J161</f>
        <v>141</v>
      </c>
      <c r="L161" s="6">
        <f>Raw_data!K161</f>
        <v>39</v>
      </c>
      <c r="M161" s="6">
        <f>Raw_data!L161</f>
        <v>0</v>
      </c>
      <c r="N161" s="6">
        <f t="shared" si="13"/>
        <v>758</v>
      </c>
      <c r="O161" s="6">
        <f t="shared" si="14"/>
        <v>180</v>
      </c>
      <c r="P161" s="6">
        <f t="shared" si="15"/>
        <v>978</v>
      </c>
      <c r="Q161">
        <f t="shared" si="16"/>
        <v>1</v>
      </c>
      <c r="R161">
        <f t="shared" si="17"/>
        <v>3</v>
      </c>
    </row>
    <row r="162" spans="1:18" x14ac:dyDescent="0.25">
      <c r="A162">
        <f>Raw_data!A162</f>
        <v>161</v>
      </c>
      <c r="B162" t="str">
        <f>Raw_data!B162</f>
        <v>C8280</v>
      </c>
      <c r="C162" t="str">
        <f>Raw_data!C162</f>
        <v>R2267</v>
      </c>
      <c r="D162" s="3">
        <f>Raw_data!D162</f>
        <v>45296.566932870373</v>
      </c>
      <c r="E162" s="3">
        <f>Raw_data!E162</f>
        <v>45296.587766203702</v>
      </c>
      <c r="F162" s="4">
        <f t="shared" si="12"/>
        <v>2.0833333328482695E-2</v>
      </c>
      <c r="G162" s="6">
        <f>Raw_data!F162</f>
        <v>1383</v>
      </c>
      <c r="H162" s="6">
        <f>Raw_data!G162</f>
        <v>0</v>
      </c>
      <c r="I162" t="str">
        <f>Raw_data!H162</f>
        <v>Cash on Delivery</v>
      </c>
      <c r="J162" s="7" t="str">
        <f>IF(Raw_data!I162=0.1,"10%",Raw_data!I162)</f>
        <v>15% New User</v>
      </c>
      <c r="K162" s="6">
        <f>Raw_data!J162</f>
        <v>89</v>
      </c>
      <c r="L162" s="6">
        <f>Raw_data!K162</f>
        <v>46</v>
      </c>
      <c r="M162" s="6">
        <f>Raw_data!L162</f>
        <v>0</v>
      </c>
      <c r="N162" s="6">
        <f t="shared" si="13"/>
        <v>1248</v>
      </c>
      <c r="O162" s="6">
        <f t="shared" si="14"/>
        <v>135</v>
      </c>
      <c r="P162" s="6">
        <f t="shared" si="15"/>
        <v>1383</v>
      </c>
      <c r="Q162">
        <f t="shared" si="16"/>
        <v>1</v>
      </c>
      <c r="R162">
        <f t="shared" si="17"/>
        <v>3</v>
      </c>
    </row>
    <row r="163" spans="1:18" x14ac:dyDescent="0.25">
      <c r="A163">
        <f>Raw_data!A163</f>
        <v>162</v>
      </c>
      <c r="B163" t="str">
        <f>Raw_data!B163</f>
        <v>C2636</v>
      </c>
      <c r="C163" t="str">
        <f>Raw_data!C163</f>
        <v>R2748</v>
      </c>
      <c r="D163" s="3">
        <f>Raw_data!D163</f>
        <v>45319.031724537039</v>
      </c>
      <c r="E163" s="3">
        <f>Raw_data!E163</f>
        <v>45319.053252314814</v>
      </c>
      <c r="F163" s="4">
        <f t="shared" si="12"/>
        <v>2.1527777775190771E-2</v>
      </c>
      <c r="G163" s="6">
        <f>Raw_data!F163</f>
        <v>292</v>
      </c>
      <c r="H163" s="6">
        <f>Raw_data!G163</f>
        <v>50</v>
      </c>
      <c r="I163" t="str">
        <f>Raw_data!H163</f>
        <v>Credit Card</v>
      </c>
      <c r="J163" s="7" t="str">
        <f>IF(Raw_data!I163=0.1,"10%",Raw_data!I163)</f>
        <v>10%</v>
      </c>
      <c r="K163" s="6">
        <f>Raw_data!J163</f>
        <v>83</v>
      </c>
      <c r="L163" s="6">
        <f>Raw_data!K163</f>
        <v>12</v>
      </c>
      <c r="M163" s="6">
        <f>Raw_data!L163</f>
        <v>0</v>
      </c>
      <c r="N163" s="6">
        <f t="shared" si="13"/>
        <v>197</v>
      </c>
      <c r="O163" s="6">
        <f t="shared" si="14"/>
        <v>95</v>
      </c>
      <c r="P163" s="6">
        <f t="shared" si="15"/>
        <v>342</v>
      </c>
      <c r="Q163">
        <f t="shared" si="16"/>
        <v>1</v>
      </c>
      <c r="R163">
        <f t="shared" si="17"/>
        <v>2</v>
      </c>
    </row>
    <row r="164" spans="1:18" x14ac:dyDescent="0.25">
      <c r="A164">
        <f>Raw_data!A164</f>
        <v>163</v>
      </c>
      <c r="B164" t="str">
        <f>Raw_data!B164</f>
        <v>C4696</v>
      </c>
      <c r="C164" t="str">
        <f>Raw_data!C164</f>
        <v>R2820</v>
      </c>
      <c r="D164" s="3">
        <f>Raw_data!D164</f>
        <v>45323.673402777778</v>
      </c>
      <c r="E164" s="3">
        <f>Raw_data!E164</f>
        <v>45323.733819444446</v>
      </c>
      <c r="F164" s="4">
        <f t="shared" si="12"/>
        <v>6.0416666667151731E-2</v>
      </c>
      <c r="G164" s="6">
        <f>Raw_data!F164</f>
        <v>1778</v>
      </c>
      <c r="H164" s="6">
        <f>Raw_data!G164</f>
        <v>30</v>
      </c>
      <c r="I164" t="str">
        <f>Raw_data!H164</f>
        <v>Credit Card</v>
      </c>
      <c r="J164" s="7" t="str">
        <f>IF(Raw_data!I164=0.1,"10%",Raw_data!I164)</f>
        <v>5% on App</v>
      </c>
      <c r="K164" s="6">
        <f>Raw_data!J164</f>
        <v>145</v>
      </c>
      <c r="L164" s="6">
        <f>Raw_data!K164</f>
        <v>24</v>
      </c>
      <c r="M164" s="6">
        <f>Raw_data!L164</f>
        <v>100</v>
      </c>
      <c r="N164" s="6">
        <f t="shared" si="13"/>
        <v>1609</v>
      </c>
      <c r="O164" s="6">
        <f t="shared" si="14"/>
        <v>69</v>
      </c>
      <c r="P164" s="6">
        <f t="shared" si="15"/>
        <v>1808</v>
      </c>
      <c r="Q164">
        <f t="shared" si="16"/>
        <v>1</v>
      </c>
      <c r="R164">
        <f t="shared" si="17"/>
        <v>1</v>
      </c>
    </row>
    <row r="165" spans="1:18" x14ac:dyDescent="0.25">
      <c r="A165">
        <f>Raw_data!A165</f>
        <v>164</v>
      </c>
      <c r="B165" t="str">
        <f>Raw_data!B165</f>
        <v>C1698</v>
      </c>
      <c r="C165" t="str">
        <f>Raw_data!C165</f>
        <v>R2454</v>
      </c>
      <c r="D165" s="3">
        <f>Raw_data!D165</f>
        <v>45304.737268518518</v>
      </c>
      <c r="E165" s="3">
        <f>Raw_data!E165</f>
        <v>45304.770601851851</v>
      </c>
      <c r="F165" s="4">
        <f t="shared" si="12"/>
        <v>3.3333333332848269E-2</v>
      </c>
      <c r="G165" s="6">
        <f>Raw_data!F165</f>
        <v>715</v>
      </c>
      <c r="H165" s="6">
        <f>Raw_data!G165</f>
        <v>0</v>
      </c>
      <c r="I165" t="str">
        <f>Raw_data!H165</f>
        <v>Credit Card</v>
      </c>
      <c r="J165" s="7" t="str">
        <f>IF(Raw_data!I165=0.1,"10%",Raw_data!I165)</f>
        <v>None</v>
      </c>
      <c r="K165" s="6">
        <f>Raw_data!J165</f>
        <v>128</v>
      </c>
      <c r="L165" s="6">
        <f>Raw_data!K165</f>
        <v>30</v>
      </c>
      <c r="M165" s="6">
        <f>Raw_data!L165</f>
        <v>150</v>
      </c>
      <c r="N165" s="6">
        <f t="shared" si="13"/>
        <v>557</v>
      </c>
      <c r="O165" s="6">
        <f t="shared" si="14"/>
        <v>8</v>
      </c>
      <c r="P165" s="6">
        <f t="shared" si="15"/>
        <v>715</v>
      </c>
      <c r="Q165">
        <f t="shared" si="16"/>
        <v>2</v>
      </c>
      <c r="R165">
        <f t="shared" si="17"/>
        <v>3</v>
      </c>
    </row>
    <row r="166" spans="1:18" x14ac:dyDescent="0.25">
      <c r="A166">
        <f>Raw_data!A166</f>
        <v>165</v>
      </c>
      <c r="B166" t="str">
        <f>Raw_data!B166</f>
        <v>C5737</v>
      </c>
      <c r="C166" t="str">
        <f>Raw_data!C166</f>
        <v>R2905</v>
      </c>
      <c r="D166" s="3">
        <f>Raw_data!D166</f>
        <v>45310.247569444444</v>
      </c>
      <c r="E166" s="3">
        <f>Raw_data!E166</f>
        <v>45310.310763888891</v>
      </c>
      <c r="F166" s="4">
        <f t="shared" si="12"/>
        <v>6.3194444446708076E-2</v>
      </c>
      <c r="G166" s="6">
        <f>Raw_data!F166</f>
        <v>505</v>
      </c>
      <c r="H166" s="6">
        <f>Raw_data!G166</f>
        <v>30</v>
      </c>
      <c r="I166" t="str">
        <f>Raw_data!H166</f>
        <v>Cash on Delivery</v>
      </c>
      <c r="J166" s="7" t="str">
        <f>IF(Raw_data!I166=0.1,"10%",Raw_data!I166)</f>
        <v>5% on App</v>
      </c>
      <c r="K166" s="6">
        <f>Raw_data!J166</f>
        <v>176</v>
      </c>
      <c r="L166" s="6">
        <f>Raw_data!K166</f>
        <v>46</v>
      </c>
      <c r="M166" s="6">
        <f>Raw_data!L166</f>
        <v>100</v>
      </c>
      <c r="N166" s="6">
        <f t="shared" si="13"/>
        <v>283</v>
      </c>
      <c r="O166" s="6">
        <f t="shared" si="14"/>
        <v>122</v>
      </c>
      <c r="P166" s="6">
        <f t="shared" si="15"/>
        <v>535</v>
      </c>
      <c r="Q166">
        <f t="shared" si="16"/>
        <v>1</v>
      </c>
      <c r="R166">
        <f t="shared" si="17"/>
        <v>2</v>
      </c>
    </row>
    <row r="167" spans="1:18" x14ac:dyDescent="0.25">
      <c r="A167">
        <f>Raw_data!A167</f>
        <v>166</v>
      </c>
      <c r="B167" t="str">
        <f>Raw_data!B167</f>
        <v>C1854</v>
      </c>
      <c r="C167" t="str">
        <f>Raw_data!C167</f>
        <v>R2684</v>
      </c>
      <c r="D167" s="3">
        <f>Raw_data!D167</f>
        <v>45308.202222222222</v>
      </c>
      <c r="E167" s="3">
        <f>Raw_data!E167</f>
        <v>45308.27652777778</v>
      </c>
      <c r="F167" s="4">
        <f t="shared" si="12"/>
        <v>7.4305555557657499E-2</v>
      </c>
      <c r="G167" s="6">
        <f>Raw_data!F167</f>
        <v>1849</v>
      </c>
      <c r="H167" s="6">
        <f>Raw_data!G167</f>
        <v>50</v>
      </c>
      <c r="I167" t="str">
        <f>Raw_data!H167</f>
        <v>Cash on Delivery</v>
      </c>
      <c r="J167" s="7" t="str">
        <f>IF(Raw_data!I167=0.1,"10%",Raw_data!I167)</f>
        <v>None</v>
      </c>
      <c r="K167" s="6">
        <f>Raw_data!J167</f>
        <v>66</v>
      </c>
      <c r="L167" s="6">
        <f>Raw_data!K167</f>
        <v>21</v>
      </c>
      <c r="M167" s="6">
        <f>Raw_data!L167</f>
        <v>0</v>
      </c>
      <c r="N167" s="6">
        <f t="shared" si="13"/>
        <v>1762</v>
      </c>
      <c r="O167" s="6">
        <f t="shared" si="14"/>
        <v>87</v>
      </c>
      <c r="P167" s="6">
        <f t="shared" si="15"/>
        <v>1899</v>
      </c>
      <c r="Q167">
        <f t="shared" si="16"/>
        <v>1</v>
      </c>
      <c r="R167">
        <f t="shared" si="17"/>
        <v>2</v>
      </c>
    </row>
    <row r="168" spans="1:18" x14ac:dyDescent="0.25">
      <c r="A168">
        <f>Raw_data!A168</f>
        <v>167</v>
      </c>
      <c r="B168" t="str">
        <f>Raw_data!B168</f>
        <v>C9164</v>
      </c>
      <c r="C168" t="str">
        <f>Raw_data!C168</f>
        <v>R2400</v>
      </c>
      <c r="D168" s="3">
        <f>Raw_data!D168</f>
        <v>45304.45716435185</v>
      </c>
      <c r="E168" s="3">
        <f>Raw_data!E168</f>
        <v>45304.527303240742</v>
      </c>
      <c r="F168" s="4">
        <f t="shared" si="12"/>
        <v>7.013888889196096E-2</v>
      </c>
      <c r="G168" s="6">
        <f>Raw_data!F168</f>
        <v>1877</v>
      </c>
      <c r="H168" s="6">
        <f>Raw_data!G168</f>
        <v>40</v>
      </c>
      <c r="I168" t="str">
        <f>Raw_data!H168</f>
        <v>Credit Card</v>
      </c>
      <c r="J168" s="7" t="str">
        <f>IF(Raw_data!I168=0.1,"10%",Raw_data!I168)</f>
        <v>50 off Promo</v>
      </c>
      <c r="K168" s="6">
        <f>Raw_data!J168</f>
        <v>159</v>
      </c>
      <c r="L168" s="6">
        <f>Raw_data!K168</f>
        <v>13</v>
      </c>
      <c r="M168" s="6">
        <f>Raw_data!L168</f>
        <v>0</v>
      </c>
      <c r="N168" s="6">
        <f t="shared" si="13"/>
        <v>1705</v>
      </c>
      <c r="O168" s="6">
        <f t="shared" si="14"/>
        <v>172</v>
      </c>
      <c r="P168" s="6">
        <f t="shared" si="15"/>
        <v>1917</v>
      </c>
      <c r="Q168">
        <f t="shared" si="16"/>
        <v>1</v>
      </c>
      <c r="R168">
        <f t="shared" si="17"/>
        <v>4</v>
      </c>
    </row>
    <row r="169" spans="1:18" x14ac:dyDescent="0.25">
      <c r="A169">
        <f>Raw_data!A169</f>
        <v>168</v>
      </c>
      <c r="B169" t="str">
        <f>Raw_data!B169</f>
        <v>C6855</v>
      </c>
      <c r="C169" t="str">
        <f>Raw_data!C169</f>
        <v>R2921</v>
      </c>
      <c r="D169" s="3">
        <f>Raw_data!D169</f>
        <v>45314.708067129628</v>
      </c>
      <c r="E169" s="3">
        <f>Raw_data!E169</f>
        <v>45314.736539351848</v>
      </c>
      <c r="F169" s="4">
        <f t="shared" si="12"/>
        <v>2.8472222220443655E-2</v>
      </c>
      <c r="G169" s="6">
        <f>Raw_data!F169</f>
        <v>1042</v>
      </c>
      <c r="H169" s="6">
        <f>Raw_data!G169</f>
        <v>20</v>
      </c>
      <c r="I169" t="str">
        <f>Raw_data!H169</f>
        <v>Credit Card</v>
      </c>
      <c r="J169" s="7" t="str">
        <f>IF(Raw_data!I169=0.1,"10%",Raw_data!I169)</f>
        <v>50 off Promo</v>
      </c>
      <c r="K169" s="6">
        <f>Raw_data!J169</f>
        <v>101</v>
      </c>
      <c r="L169" s="6">
        <f>Raw_data!K169</f>
        <v>18</v>
      </c>
      <c r="M169" s="6">
        <f>Raw_data!L169</f>
        <v>0</v>
      </c>
      <c r="N169" s="6">
        <f t="shared" si="13"/>
        <v>923</v>
      </c>
      <c r="O169" s="6">
        <f t="shared" si="14"/>
        <v>119</v>
      </c>
      <c r="P169" s="6">
        <f t="shared" si="15"/>
        <v>1062</v>
      </c>
      <c r="Q169">
        <f t="shared" si="16"/>
        <v>1</v>
      </c>
      <c r="R169">
        <f t="shared" si="17"/>
        <v>2</v>
      </c>
    </row>
    <row r="170" spans="1:18" x14ac:dyDescent="0.25">
      <c r="A170">
        <f>Raw_data!A170</f>
        <v>169</v>
      </c>
      <c r="B170" t="str">
        <f>Raw_data!B170</f>
        <v>C8392</v>
      </c>
      <c r="C170" t="str">
        <f>Raw_data!C170</f>
        <v>R2980</v>
      </c>
      <c r="D170" s="3">
        <f>Raw_data!D170</f>
        <v>45325.051180555558</v>
      </c>
      <c r="E170" s="3">
        <f>Raw_data!E170</f>
        <v>45325.089375000003</v>
      </c>
      <c r="F170" s="4">
        <f t="shared" si="12"/>
        <v>3.8194444445252884E-2</v>
      </c>
      <c r="G170" s="6">
        <f>Raw_data!F170</f>
        <v>820</v>
      </c>
      <c r="H170" s="6">
        <f>Raw_data!G170</f>
        <v>20</v>
      </c>
      <c r="I170" t="str">
        <f>Raw_data!H170</f>
        <v>Cash on Delivery</v>
      </c>
      <c r="J170" s="7" t="str">
        <f>IF(Raw_data!I170=0.1,"10%",Raw_data!I170)</f>
        <v>None</v>
      </c>
      <c r="K170" s="6">
        <f>Raw_data!J170</f>
        <v>167</v>
      </c>
      <c r="L170" s="6">
        <f>Raw_data!K170</f>
        <v>48</v>
      </c>
      <c r="M170" s="6">
        <f>Raw_data!L170</f>
        <v>0</v>
      </c>
      <c r="N170" s="6">
        <f t="shared" si="13"/>
        <v>605</v>
      </c>
      <c r="O170" s="6">
        <f t="shared" si="14"/>
        <v>215</v>
      </c>
      <c r="P170" s="6">
        <f t="shared" si="15"/>
        <v>840</v>
      </c>
      <c r="Q170">
        <f t="shared" si="16"/>
        <v>2</v>
      </c>
      <c r="R170">
        <f t="shared" si="17"/>
        <v>3</v>
      </c>
    </row>
    <row r="171" spans="1:18" x14ac:dyDescent="0.25">
      <c r="A171">
        <f>Raw_data!A171</f>
        <v>170</v>
      </c>
      <c r="B171" t="str">
        <f>Raw_data!B171</f>
        <v>C7528</v>
      </c>
      <c r="C171" t="str">
        <f>Raw_data!C171</f>
        <v>R2475</v>
      </c>
      <c r="D171" s="3">
        <f>Raw_data!D171</f>
        <v>45299.690601851849</v>
      </c>
      <c r="E171" s="3">
        <f>Raw_data!E171</f>
        <v>45299.729490740741</v>
      </c>
      <c r="F171" s="4">
        <f t="shared" si="12"/>
        <v>3.888888889196096E-2</v>
      </c>
      <c r="G171" s="6">
        <f>Raw_data!F171</f>
        <v>192</v>
      </c>
      <c r="H171" s="6">
        <f>Raw_data!G171</f>
        <v>40</v>
      </c>
      <c r="I171" t="str">
        <f>Raw_data!H171</f>
        <v>Digital Wallet</v>
      </c>
      <c r="J171" s="7" t="str">
        <f>IF(Raw_data!I171=0.1,"10%",Raw_data!I171)</f>
        <v>5% on App</v>
      </c>
      <c r="K171" s="6">
        <f>Raw_data!J171</f>
        <v>58</v>
      </c>
      <c r="L171" s="6">
        <f>Raw_data!K171</f>
        <v>37</v>
      </c>
      <c r="M171" s="6">
        <f>Raw_data!L171</f>
        <v>0</v>
      </c>
      <c r="N171" s="6">
        <f t="shared" si="13"/>
        <v>97</v>
      </c>
      <c r="O171" s="6">
        <f t="shared" si="14"/>
        <v>95</v>
      </c>
      <c r="P171" s="6">
        <f t="shared" si="15"/>
        <v>232</v>
      </c>
      <c r="Q171">
        <f t="shared" si="16"/>
        <v>1</v>
      </c>
      <c r="R171">
        <f t="shared" si="17"/>
        <v>2</v>
      </c>
    </row>
    <row r="172" spans="1:18" x14ac:dyDescent="0.25">
      <c r="A172">
        <f>Raw_data!A172</f>
        <v>171</v>
      </c>
      <c r="B172" t="str">
        <f>Raw_data!B172</f>
        <v>C6249</v>
      </c>
      <c r="C172" t="str">
        <f>Raw_data!C172</f>
        <v>R2701</v>
      </c>
      <c r="D172" s="3">
        <f>Raw_data!D172</f>
        <v>45318.689097222225</v>
      </c>
      <c r="E172" s="3">
        <f>Raw_data!E172</f>
        <v>45318.729375000003</v>
      </c>
      <c r="F172" s="4">
        <f t="shared" si="12"/>
        <v>4.0277777778101154E-2</v>
      </c>
      <c r="G172" s="6">
        <f>Raw_data!F172</f>
        <v>529</v>
      </c>
      <c r="H172" s="6">
        <f>Raw_data!G172</f>
        <v>0</v>
      </c>
      <c r="I172" t="str">
        <f>Raw_data!H172</f>
        <v>Credit Card</v>
      </c>
      <c r="J172" s="7" t="str">
        <f>IF(Raw_data!I172=0.1,"10%",Raw_data!I172)</f>
        <v>None</v>
      </c>
      <c r="K172" s="6">
        <f>Raw_data!J172</f>
        <v>82</v>
      </c>
      <c r="L172" s="6">
        <f>Raw_data!K172</f>
        <v>32</v>
      </c>
      <c r="M172" s="6">
        <f>Raw_data!L172</f>
        <v>150</v>
      </c>
      <c r="N172" s="6">
        <f t="shared" si="13"/>
        <v>415</v>
      </c>
      <c r="O172" s="6">
        <f t="shared" si="14"/>
        <v>-36</v>
      </c>
      <c r="P172" s="6">
        <f t="shared" si="15"/>
        <v>529</v>
      </c>
      <c r="Q172">
        <f t="shared" si="16"/>
        <v>1</v>
      </c>
      <c r="R172">
        <f t="shared" si="17"/>
        <v>1</v>
      </c>
    </row>
    <row r="173" spans="1:18" x14ac:dyDescent="0.25">
      <c r="A173">
        <f>Raw_data!A173</f>
        <v>172</v>
      </c>
      <c r="B173" t="str">
        <f>Raw_data!B173</f>
        <v>C6172</v>
      </c>
      <c r="C173" t="str">
        <f>Raw_data!C173</f>
        <v>R2633</v>
      </c>
      <c r="D173" s="3">
        <f>Raw_data!D173</f>
        <v>45324.220324074071</v>
      </c>
      <c r="E173" s="3">
        <f>Raw_data!E173</f>
        <v>45324.250879629632</v>
      </c>
      <c r="F173" s="4">
        <f t="shared" si="12"/>
        <v>3.0555555560567882E-2</v>
      </c>
      <c r="G173" s="6">
        <f>Raw_data!F173</f>
        <v>753</v>
      </c>
      <c r="H173" s="6">
        <f>Raw_data!G173</f>
        <v>0</v>
      </c>
      <c r="I173" t="str">
        <f>Raw_data!H173</f>
        <v>Cash on Delivery</v>
      </c>
      <c r="J173" s="7" t="str">
        <f>IF(Raw_data!I173=0.1,"10%",Raw_data!I173)</f>
        <v>10%</v>
      </c>
      <c r="K173" s="6">
        <f>Raw_data!J173</f>
        <v>162</v>
      </c>
      <c r="L173" s="6">
        <f>Raw_data!K173</f>
        <v>49</v>
      </c>
      <c r="M173" s="6">
        <f>Raw_data!L173</f>
        <v>0</v>
      </c>
      <c r="N173" s="6">
        <f t="shared" si="13"/>
        <v>542</v>
      </c>
      <c r="O173" s="6">
        <f t="shared" si="14"/>
        <v>211</v>
      </c>
      <c r="P173" s="6">
        <f t="shared" si="15"/>
        <v>753</v>
      </c>
      <c r="Q173">
        <f t="shared" si="16"/>
        <v>1</v>
      </c>
      <c r="R173">
        <f t="shared" si="17"/>
        <v>1</v>
      </c>
    </row>
    <row r="174" spans="1:18" x14ac:dyDescent="0.25">
      <c r="A174">
        <f>Raw_data!A174</f>
        <v>173</v>
      </c>
      <c r="B174" t="str">
        <f>Raw_data!B174</f>
        <v>C2707</v>
      </c>
      <c r="C174" t="str">
        <f>Raw_data!C174</f>
        <v>R2557</v>
      </c>
      <c r="D174" s="3">
        <f>Raw_data!D174</f>
        <v>45314.441018518519</v>
      </c>
      <c r="E174" s="3">
        <f>Raw_data!E174</f>
        <v>45314.493101851855</v>
      </c>
      <c r="F174" s="4">
        <f t="shared" si="12"/>
        <v>5.2083333335758653E-2</v>
      </c>
      <c r="G174" s="6">
        <f>Raw_data!F174</f>
        <v>1557</v>
      </c>
      <c r="H174" s="6">
        <f>Raw_data!G174</f>
        <v>30</v>
      </c>
      <c r="I174" t="str">
        <f>Raw_data!H174</f>
        <v>Cash on Delivery</v>
      </c>
      <c r="J174" s="7" t="str">
        <f>IF(Raw_data!I174=0.1,"10%",Raw_data!I174)</f>
        <v>50 off Promo</v>
      </c>
      <c r="K174" s="6">
        <f>Raw_data!J174</f>
        <v>198</v>
      </c>
      <c r="L174" s="6">
        <f>Raw_data!K174</f>
        <v>31</v>
      </c>
      <c r="M174" s="6">
        <f>Raw_data!L174</f>
        <v>0</v>
      </c>
      <c r="N174" s="6">
        <f t="shared" si="13"/>
        <v>1328</v>
      </c>
      <c r="O174" s="6">
        <f t="shared" si="14"/>
        <v>229</v>
      </c>
      <c r="P174" s="6">
        <f t="shared" si="15"/>
        <v>1587</v>
      </c>
      <c r="Q174">
        <f t="shared" si="16"/>
        <v>1</v>
      </c>
      <c r="R174">
        <f t="shared" si="17"/>
        <v>2</v>
      </c>
    </row>
    <row r="175" spans="1:18" x14ac:dyDescent="0.25">
      <c r="A175">
        <f>Raw_data!A175</f>
        <v>174</v>
      </c>
      <c r="B175" t="str">
        <f>Raw_data!B175</f>
        <v>C6791</v>
      </c>
      <c r="C175" t="str">
        <f>Raw_data!C175</f>
        <v>R2575</v>
      </c>
      <c r="D175" s="3">
        <f>Raw_data!D175</f>
        <v>45303.902777777781</v>
      </c>
      <c r="E175" s="3">
        <f>Raw_data!E175</f>
        <v>45303.923611111109</v>
      </c>
      <c r="F175" s="4">
        <f t="shared" si="12"/>
        <v>2.0833333328482695E-2</v>
      </c>
      <c r="G175" s="6">
        <f>Raw_data!F175</f>
        <v>1527</v>
      </c>
      <c r="H175" s="6">
        <f>Raw_data!G175</f>
        <v>40</v>
      </c>
      <c r="I175" t="str">
        <f>Raw_data!H175</f>
        <v>Digital Wallet</v>
      </c>
      <c r="J175" s="7" t="str">
        <f>IF(Raw_data!I175=0.1,"10%",Raw_data!I175)</f>
        <v>10%</v>
      </c>
      <c r="K175" s="6">
        <f>Raw_data!J175</f>
        <v>134</v>
      </c>
      <c r="L175" s="6">
        <f>Raw_data!K175</f>
        <v>33</v>
      </c>
      <c r="M175" s="6">
        <f>Raw_data!L175</f>
        <v>0</v>
      </c>
      <c r="N175" s="6">
        <f t="shared" si="13"/>
        <v>1360</v>
      </c>
      <c r="O175" s="6">
        <f t="shared" si="14"/>
        <v>167</v>
      </c>
      <c r="P175" s="6">
        <f t="shared" si="15"/>
        <v>1567</v>
      </c>
      <c r="Q175">
        <f t="shared" si="16"/>
        <v>1</v>
      </c>
      <c r="R175">
        <f t="shared" si="17"/>
        <v>1</v>
      </c>
    </row>
    <row r="176" spans="1:18" x14ac:dyDescent="0.25">
      <c r="A176">
        <f>Raw_data!A176</f>
        <v>175</v>
      </c>
      <c r="B176" t="str">
        <f>Raw_data!B176</f>
        <v>C6535</v>
      </c>
      <c r="C176" t="str">
        <f>Raw_data!C176</f>
        <v>R2129</v>
      </c>
      <c r="D176" s="3">
        <f>Raw_data!D176</f>
        <v>45302.186481481483</v>
      </c>
      <c r="E176" s="3">
        <f>Raw_data!E176</f>
        <v>45302.248287037037</v>
      </c>
      <c r="F176" s="4">
        <f t="shared" si="12"/>
        <v>6.1805555553291924E-2</v>
      </c>
      <c r="G176" s="6">
        <f>Raw_data!F176</f>
        <v>533</v>
      </c>
      <c r="H176" s="6">
        <f>Raw_data!G176</f>
        <v>0</v>
      </c>
      <c r="I176" t="str">
        <f>Raw_data!H176</f>
        <v>Cash on Delivery</v>
      </c>
      <c r="J176" s="7" t="str">
        <f>IF(Raw_data!I176=0.1,"10%",Raw_data!I176)</f>
        <v>50 off Promo</v>
      </c>
      <c r="K176" s="6">
        <f>Raw_data!J176</f>
        <v>59</v>
      </c>
      <c r="L176" s="6">
        <f>Raw_data!K176</f>
        <v>35</v>
      </c>
      <c r="M176" s="6">
        <f>Raw_data!L176</f>
        <v>50</v>
      </c>
      <c r="N176" s="6">
        <f t="shared" si="13"/>
        <v>439</v>
      </c>
      <c r="O176" s="6">
        <f t="shared" si="14"/>
        <v>44</v>
      </c>
      <c r="P176" s="6">
        <f t="shared" si="15"/>
        <v>533</v>
      </c>
      <c r="Q176">
        <f t="shared" si="16"/>
        <v>1</v>
      </c>
      <c r="R176">
        <f t="shared" si="17"/>
        <v>3</v>
      </c>
    </row>
    <row r="177" spans="1:18" x14ac:dyDescent="0.25">
      <c r="A177">
        <f>Raw_data!A177</f>
        <v>176</v>
      </c>
      <c r="B177" t="str">
        <f>Raw_data!B177</f>
        <v>C5931</v>
      </c>
      <c r="C177" t="str">
        <f>Raw_data!C177</f>
        <v>R2821</v>
      </c>
      <c r="D177" s="3">
        <f>Raw_data!D177</f>
        <v>45296.151504629626</v>
      </c>
      <c r="E177" s="3">
        <f>Raw_data!E177</f>
        <v>45296.211226851854</v>
      </c>
      <c r="F177" s="4">
        <f t="shared" si="12"/>
        <v>5.9722222227719612E-2</v>
      </c>
      <c r="G177" s="6">
        <f>Raw_data!F177</f>
        <v>1235</v>
      </c>
      <c r="H177" s="6">
        <f>Raw_data!G177</f>
        <v>40</v>
      </c>
      <c r="I177" t="str">
        <f>Raw_data!H177</f>
        <v>Cash on Delivery</v>
      </c>
      <c r="J177" s="7" t="str">
        <f>IF(Raw_data!I177=0.1,"10%",Raw_data!I177)</f>
        <v>50 off Promo</v>
      </c>
      <c r="K177" s="6">
        <f>Raw_data!J177</f>
        <v>55</v>
      </c>
      <c r="L177" s="6">
        <f>Raw_data!K177</f>
        <v>39</v>
      </c>
      <c r="M177" s="6">
        <f>Raw_data!L177</f>
        <v>150</v>
      </c>
      <c r="N177" s="6">
        <f t="shared" si="13"/>
        <v>1141</v>
      </c>
      <c r="O177" s="6">
        <f t="shared" si="14"/>
        <v>-56</v>
      </c>
      <c r="P177" s="6">
        <f t="shared" si="15"/>
        <v>1275</v>
      </c>
      <c r="Q177">
        <f t="shared" si="16"/>
        <v>1</v>
      </c>
      <c r="R177">
        <f t="shared" si="17"/>
        <v>1</v>
      </c>
    </row>
    <row r="178" spans="1:18" x14ac:dyDescent="0.25">
      <c r="A178">
        <f>Raw_data!A178</f>
        <v>177</v>
      </c>
      <c r="B178" t="str">
        <f>Raw_data!B178</f>
        <v>C4510</v>
      </c>
      <c r="C178" t="str">
        <f>Raw_data!C178</f>
        <v>R2362</v>
      </c>
      <c r="D178" s="3">
        <f>Raw_data!D178</f>
        <v>45327.151608796295</v>
      </c>
      <c r="E178" s="3">
        <f>Raw_data!E178</f>
        <v>45327.173831018517</v>
      </c>
      <c r="F178" s="4">
        <f t="shared" si="12"/>
        <v>2.2222222221898846E-2</v>
      </c>
      <c r="G178" s="6">
        <f>Raw_data!F178</f>
        <v>474</v>
      </c>
      <c r="H178" s="6">
        <f>Raw_data!G178</f>
        <v>50</v>
      </c>
      <c r="I178" t="str">
        <f>Raw_data!H178</f>
        <v>Credit Card</v>
      </c>
      <c r="J178" s="7" t="str">
        <f>IF(Raw_data!I178=0.1,"10%",Raw_data!I178)</f>
        <v>15% New User</v>
      </c>
      <c r="K178" s="6">
        <f>Raw_data!J178</f>
        <v>164</v>
      </c>
      <c r="L178" s="6">
        <f>Raw_data!K178</f>
        <v>42</v>
      </c>
      <c r="M178" s="6">
        <f>Raw_data!L178</f>
        <v>0</v>
      </c>
      <c r="N178" s="6">
        <f t="shared" si="13"/>
        <v>268</v>
      </c>
      <c r="O178" s="6">
        <f t="shared" si="14"/>
        <v>206</v>
      </c>
      <c r="P178" s="6">
        <f t="shared" si="15"/>
        <v>524</v>
      </c>
      <c r="Q178">
        <f t="shared" si="16"/>
        <v>1</v>
      </c>
      <c r="R178">
        <f t="shared" si="17"/>
        <v>3</v>
      </c>
    </row>
    <row r="179" spans="1:18" x14ac:dyDescent="0.25">
      <c r="A179">
        <f>Raw_data!A179</f>
        <v>178</v>
      </c>
      <c r="B179" t="str">
        <f>Raw_data!B179</f>
        <v>C1202</v>
      </c>
      <c r="C179" t="str">
        <f>Raw_data!C179</f>
        <v>R2704</v>
      </c>
      <c r="D179" s="3">
        <f>Raw_data!D179</f>
        <v>45292.925613425927</v>
      </c>
      <c r="E179" s="3">
        <f>Raw_data!E179</f>
        <v>45292.958252314813</v>
      </c>
      <c r="F179" s="4">
        <f t="shared" si="12"/>
        <v>3.2638888886140194E-2</v>
      </c>
      <c r="G179" s="6">
        <f>Raw_data!F179</f>
        <v>1182</v>
      </c>
      <c r="H179" s="6">
        <f>Raw_data!G179</f>
        <v>20</v>
      </c>
      <c r="I179" t="str">
        <f>Raw_data!H179</f>
        <v>Credit Card</v>
      </c>
      <c r="J179" s="7" t="str">
        <f>IF(Raw_data!I179=0.1,"10%",Raw_data!I179)</f>
        <v>10%</v>
      </c>
      <c r="K179" s="6">
        <f>Raw_data!J179</f>
        <v>170</v>
      </c>
      <c r="L179" s="6">
        <f>Raw_data!K179</f>
        <v>25</v>
      </c>
      <c r="M179" s="6">
        <f>Raw_data!L179</f>
        <v>0</v>
      </c>
      <c r="N179" s="6">
        <f t="shared" si="13"/>
        <v>987</v>
      </c>
      <c r="O179" s="6">
        <f t="shared" si="14"/>
        <v>195</v>
      </c>
      <c r="P179" s="6">
        <f t="shared" si="15"/>
        <v>1202</v>
      </c>
      <c r="Q179">
        <f t="shared" si="16"/>
        <v>1</v>
      </c>
      <c r="R179">
        <f t="shared" si="17"/>
        <v>3</v>
      </c>
    </row>
    <row r="180" spans="1:18" x14ac:dyDescent="0.25">
      <c r="A180">
        <f>Raw_data!A180</f>
        <v>179</v>
      </c>
      <c r="B180" t="str">
        <f>Raw_data!B180</f>
        <v>C5218</v>
      </c>
      <c r="C180" t="str">
        <f>Raw_data!C180</f>
        <v>R2818</v>
      </c>
      <c r="D180" s="3">
        <f>Raw_data!D180</f>
        <v>45299.339375000003</v>
      </c>
      <c r="E180" s="3">
        <f>Raw_data!E180</f>
        <v>45299.395624999997</v>
      </c>
      <c r="F180" s="4">
        <f t="shared" si="12"/>
        <v>5.6249999994179234E-2</v>
      </c>
      <c r="G180" s="6">
        <f>Raw_data!F180</f>
        <v>1166</v>
      </c>
      <c r="H180" s="6">
        <f>Raw_data!G180</f>
        <v>20</v>
      </c>
      <c r="I180" t="str">
        <f>Raw_data!H180</f>
        <v>Digital Wallet</v>
      </c>
      <c r="J180" s="7" t="str">
        <f>IF(Raw_data!I180=0.1,"10%",Raw_data!I180)</f>
        <v>10%</v>
      </c>
      <c r="K180" s="6">
        <f>Raw_data!J180</f>
        <v>190</v>
      </c>
      <c r="L180" s="6">
        <f>Raw_data!K180</f>
        <v>31</v>
      </c>
      <c r="M180" s="6">
        <f>Raw_data!L180</f>
        <v>0</v>
      </c>
      <c r="N180" s="6">
        <f t="shared" si="13"/>
        <v>945</v>
      </c>
      <c r="O180" s="6">
        <f t="shared" si="14"/>
        <v>221</v>
      </c>
      <c r="P180" s="6">
        <f t="shared" si="15"/>
        <v>1186</v>
      </c>
      <c r="Q180">
        <f t="shared" si="16"/>
        <v>1</v>
      </c>
      <c r="R180">
        <f t="shared" si="17"/>
        <v>1</v>
      </c>
    </row>
    <row r="181" spans="1:18" x14ac:dyDescent="0.25">
      <c r="A181">
        <f>Raw_data!A181</f>
        <v>180</v>
      </c>
      <c r="B181" t="str">
        <f>Raw_data!B181</f>
        <v>C9958</v>
      </c>
      <c r="C181" t="str">
        <f>Raw_data!C181</f>
        <v>R2692</v>
      </c>
      <c r="D181" s="3">
        <f>Raw_data!D181</f>
        <v>45315.643784722219</v>
      </c>
      <c r="E181" s="3">
        <f>Raw_data!E181</f>
        <v>45315.705590277779</v>
      </c>
      <c r="F181" s="4">
        <f t="shared" si="12"/>
        <v>6.1805555560567882E-2</v>
      </c>
      <c r="G181" s="6">
        <f>Raw_data!F181</f>
        <v>306</v>
      </c>
      <c r="H181" s="6">
        <f>Raw_data!G181</f>
        <v>20</v>
      </c>
      <c r="I181" t="str">
        <f>Raw_data!H181</f>
        <v>Digital Wallet</v>
      </c>
      <c r="J181" s="7" t="str">
        <f>IF(Raw_data!I181=0.1,"10%",Raw_data!I181)</f>
        <v>15% New User</v>
      </c>
      <c r="K181" s="6">
        <f>Raw_data!J181</f>
        <v>114</v>
      </c>
      <c r="L181" s="6">
        <f>Raw_data!K181</f>
        <v>27</v>
      </c>
      <c r="M181" s="6">
        <f>Raw_data!L181</f>
        <v>0</v>
      </c>
      <c r="N181" s="6">
        <f t="shared" si="13"/>
        <v>165</v>
      </c>
      <c r="O181" s="6">
        <f t="shared" si="14"/>
        <v>141</v>
      </c>
      <c r="P181" s="6">
        <f t="shared" si="15"/>
        <v>326</v>
      </c>
      <c r="Q181">
        <f t="shared" si="16"/>
        <v>1</v>
      </c>
      <c r="R181">
        <f t="shared" si="17"/>
        <v>3</v>
      </c>
    </row>
    <row r="182" spans="1:18" x14ac:dyDescent="0.25">
      <c r="A182">
        <f>Raw_data!A182</f>
        <v>181</v>
      </c>
      <c r="B182" t="str">
        <f>Raw_data!B182</f>
        <v>C5389</v>
      </c>
      <c r="C182" t="str">
        <f>Raw_data!C182</f>
        <v>R2291</v>
      </c>
      <c r="D182" s="3">
        <f>Raw_data!D182</f>
        <v>45304.131631944445</v>
      </c>
      <c r="E182" s="3">
        <f>Raw_data!E182</f>
        <v>45304.175381944442</v>
      </c>
      <c r="F182" s="4">
        <f t="shared" si="12"/>
        <v>4.3749999997089617E-2</v>
      </c>
      <c r="G182" s="6">
        <f>Raw_data!F182</f>
        <v>879</v>
      </c>
      <c r="H182" s="6">
        <f>Raw_data!G182</f>
        <v>40</v>
      </c>
      <c r="I182" t="str">
        <f>Raw_data!H182</f>
        <v>Cash on Delivery</v>
      </c>
      <c r="J182" s="7" t="str">
        <f>IF(Raw_data!I182=0.1,"10%",Raw_data!I182)</f>
        <v>5% on App</v>
      </c>
      <c r="K182" s="6">
        <f>Raw_data!J182</f>
        <v>69</v>
      </c>
      <c r="L182" s="6">
        <f>Raw_data!K182</f>
        <v>16</v>
      </c>
      <c r="M182" s="6">
        <f>Raw_data!L182</f>
        <v>0</v>
      </c>
      <c r="N182" s="6">
        <f t="shared" si="13"/>
        <v>794</v>
      </c>
      <c r="O182" s="6">
        <f t="shared" si="14"/>
        <v>85</v>
      </c>
      <c r="P182" s="6">
        <f t="shared" si="15"/>
        <v>919</v>
      </c>
      <c r="Q182">
        <f t="shared" si="16"/>
        <v>1</v>
      </c>
      <c r="R182">
        <f t="shared" si="17"/>
        <v>1</v>
      </c>
    </row>
    <row r="183" spans="1:18" x14ac:dyDescent="0.25">
      <c r="A183">
        <f>Raw_data!A183</f>
        <v>182</v>
      </c>
      <c r="B183" t="str">
        <f>Raw_data!B183</f>
        <v>C3327</v>
      </c>
      <c r="C183" t="str">
        <f>Raw_data!C183</f>
        <v>R2370</v>
      </c>
      <c r="D183" s="3">
        <f>Raw_data!D183</f>
        <v>45309.384548611109</v>
      </c>
      <c r="E183" s="3">
        <f>Raw_data!E183</f>
        <v>45309.466493055559</v>
      </c>
      <c r="F183" s="4">
        <f t="shared" si="12"/>
        <v>8.1944444449618459E-2</v>
      </c>
      <c r="G183" s="6">
        <f>Raw_data!F183</f>
        <v>1419</v>
      </c>
      <c r="H183" s="6">
        <f>Raw_data!G183</f>
        <v>40</v>
      </c>
      <c r="I183" t="str">
        <f>Raw_data!H183</f>
        <v>Credit Card</v>
      </c>
      <c r="J183" s="7" t="str">
        <f>IF(Raw_data!I183=0.1,"10%",Raw_data!I183)</f>
        <v>10%</v>
      </c>
      <c r="K183" s="6">
        <f>Raw_data!J183</f>
        <v>106</v>
      </c>
      <c r="L183" s="6">
        <f>Raw_data!K183</f>
        <v>35</v>
      </c>
      <c r="M183" s="6">
        <f>Raw_data!L183</f>
        <v>0</v>
      </c>
      <c r="N183" s="6">
        <f t="shared" si="13"/>
        <v>1278</v>
      </c>
      <c r="O183" s="6">
        <f t="shared" si="14"/>
        <v>141</v>
      </c>
      <c r="P183" s="6">
        <f t="shared" si="15"/>
        <v>1459</v>
      </c>
      <c r="Q183">
        <f t="shared" si="16"/>
        <v>2</v>
      </c>
      <c r="R183">
        <f t="shared" si="17"/>
        <v>2</v>
      </c>
    </row>
    <row r="184" spans="1:18" x14ac:dyDescent="0.25">
      <c r="A184">
        <f>Raw_data!A184</f>
        <v>183</v>
      </c>
      <c r="B184" t="str">
        <f>Raw_data!B184</f>
        <v>C9004</v>
      </c>
      <c r="C184" t="str">
        <f>Raw_data!C184</f>
        <v>R2793</v>
      </c>
      <c r="D184" s="3">
        <f>Raw_data!D184</f>
        <v>45319.602233796293</v>
      </c>
      <c r="E184" s="3">
        <f>Raw_data!E184</f>
        <v>45319.664039351854</v>
      </c>
      <c r="F184" s="4">
        <f t="shared" si="12"/>
        <v>6.1805555560567882E-2</v>
      </c>
      <c r="G184" s="6">
        <f>Raw_data!F184</f>
        <v>1241</v>
      </c>
      <c r="H184" s="6">
        <f>Raw_data!G184</f>
        <v>30</v>
      </c>
      <c r="I184" t="str">
        <f>Raw_data!H184</f>
        <v>Digital Wallet</v>
      </c>
      <c r="J184" s="7" t="str">
        <f>IF(Raw_data!I184=0.1,"10%",Raw_data!I184)</f>
        <v>None</v>
      </c>
      <c r="K184" s="6">
        <f>Raw_data!J184</f>
        <v>95</v>
      </c>
      <c r="L184" s="6">
        <f>Raw_data!K184</f>
        <v>17</v>
      </c>
      <c r="M184" s="6">
        <f>Raw_data!L184</f>
        <v>0</v>
      </c>
      <c r="N184" s="6">
        <f t="shared" si="13"/>
        <v>1129</v>
      </c>
      <c r="O184" s="6">
        <f t="shared" si="14"/>
        <v>112</v>
      </c>
      <c r="P184" s="6">
        <f t="shared" si="15"/>
        <v>1271</v>
      </c>
      <c r="Q184">
        <f t="shared" si="16"/>
        <v>1</v>
      </c>
      <c r="R184">
        <f t="shared" si="17"/>
        <v>3</v>
      </c>
    </row>
    <row r="185" spans="1:18" x14ac:dyDescent="0.25">
      <c r="A185">
        <f>Raw_data!A185</f>
        <v>184</v>
      </c>
      <c r="B185" t="str">
        <f>Raw_data!B185</f>
        <v>C3931</v>
      </c>
      <c r="C185" t="str">
        <f>Raw_data!C185</f>
        <v>R2028</v>
      </c>
      <c r="D185" s="3">
        <f>Raw_data!D185</f>
        <v>45321.996076388888</v>
      </c>
      <c r="E185" s="3">
        <f>Raw_data!E185</f>
        <v>45322.034270833334</v>
      </c>
      <c r="F185" s="4">
        <f t="shared" si="12"/>
        <v>3.8194444445252884E-2</v>
      </c>
      <c r="G185" s="6">
        <f>Raw_data!F185</f>
        <v>631</v>
      </c>
      <c r="H185" s="6">
        <f>Raw_data!G185</f>
        <v>20</v>
      </c>
      <c r="I185" t="str">
        <f>Raw_data!H185</f>
        <v>Digital Wallet</v>
      </c>
      <c r="J185" s="7" t="str">
        <f>IF(Raw_data!I185=0.1,"10%",Raw_data!I185)</f>
        <v>15% New User</v>
      </c>
      <c r="K185" s="6">
        <f>Raw_data!J185</f>
        <v>185</v>
      </c>
      <c r="L185" s="6">
        <f>Raw_data!K185</f>
        <v>15</v>
      </c>
      <c r="M185" s="6">
        <f>Raw_data!L185</f>
        <v>50</v>
      </c>
      <c r="N185" s="6">
        <f t="shared" si="13"/>
        <v>431</v>
      </c>
      <c r="O185" s="6">
        <f t="shared" si="14"/>
        <v>150</v>
      </c>
      <c r="P185" s="6">
        <f t="shared" si="15"/>
        <v>651</v>
      </c>
      <c r="Q185">
        <f t="shared" si="16"/>
        <v>1</v>
      </c>
      <c r="R185">
        <f t="shared" si="17"/>
        <v>4</v>
      </c>
    </row>
    <row r="186" spans="1:18" x14ac:dyDescent="0.25">
      <c r="A186">
        <f>Raw_data!A186</f>
        <v>185</v>
      </c>
      <c r="B186" t="str">
        <f>Raw_data!B186</f>
        <v>C8777</v>
      </c>
      <c r="C186" t="str">
        <f>Raw_data!C186</f>
        <v>R2148</v>
      </c>
      <c r="D186" s="3">
        <f>Raw_data!D186</f>
        <v>45314.136388888888</v>
      </c>
      <c r="E186" s="3">
        <f>Raw_data!E186</f>
        <v>45314.20652777778</v>
      </c>
      <c r="F186" s="4">
        <f t="shared" si="12"/>
        <v>7.013888889196096E-2</v>
      </c>
      <c r="G186" s="6">
        <f>Raw_data!F186</f>
        <v>1345</v>
      </c>
      <c r="H186" s="6">
        <f>Raw_data!G186</f>
        <v>30</v>
      </c>
      <c r="I186" t="str">
        <f>Raw_data!H186</f>
        <v>Digital Wallet</v>
      </c>
      <c r="J186" s="7" t="str">
        <f>IF(Raw_data!I186=0.1,"10%",Raw_data!I186)</f>
        <v>10%</v>
      </c>
      <c r="K186" s="6">
        <f>Raw_data!J186</f>
        <v>59</v>
      </c>
      <c r="L186" s="6">
        <f>Raw_data!K186</f>
        <v>39</v>
      </c>
      <c r="M186" s="6">
        <f>Raw_data!L186</f>
        <v>0</v>
      </c>
      <c r="N186" s="6">
        <f t="shared" si="13"/>
        <v>1247</v>
      </c>
      <c r="O186" s="6">
        <f t="shared" si="14"/>
        <v>98</v>
      </c>
      <c r="P186" s="6">
        <f t="shared" si="15"/>
        <v>1375</v>
      </c>
      <c r="Q186">
        <f t="shared" si="16"/>
        <v>1</v>
      </c>
      <c r="R186">
        <f t="shared" si="17"/>
        <v>1</v>
      </c>
    </row>
    <row r="187" spans="1:18" x14ac:dyDescent="0.25">
      <c r="A187">
        <f>Raw_data!A187</f>
        <v>186</v>
      </c>
      <c r="B187" t="str">
        <f>Raw_data!B187</f>
        <v>C1197</v>
      </c>
      <c r="C187" t="str">
        <f>Raw_data!C187</f>
        <v>R2778</v>
      </c>
      <c r="D187" s="3">
        <f>Raw_data!D187</f>
        <v>45310.466157407405</v>
      </c>
      <c r="E187" s="3">
        <f>Raw_data!E187</f>
        <v>45310.499490740738</v>
      </c>
      <c r="F187" s="4">
        <f t="shared" si="12"/>
        <v>3.3333333332848269E-2</v>
      </c>
      <c r="G187" s="6">
        <f>Raw_data!F187</f>
        <v>265</v>
      </c>
      <c r="H187" s="6">
        <f>Raw_data!G187</f>
        <v>20</v>
      </c>
      <c r="I187" t="str">
        <f>Raw_data!H187</f>
        <v>Cash on Delivery</v>
      </c>
      <c r="J187" s="7" t="str">
        <f>IF(Raw_data!I187=0.1,"10%",Raw_data!I187)</f>
        <v>5% on App</v>
      </c>
      <c r="K187" s="6">
        <f>Raw_data!J187</f>
        <v>162</v>
      </c>
      <c r="L187" s="6">
        <f>Raw_data!K187</f>
        <v>48</v>
      </c>
      <c r="M187" s="6">
        <f>Raw_data!L187</f>
        <v>0</v>
      </c>
      <c r="N187" s="6">
        <f t="shared" si="13"/>
        <v>55</v>
      </c>
      <c r="O187" s="6">
        <f t="shared" si="14"/>
        <v>210</v>
      </c>
      <c r="P187" s="6">
        <f t="shared" si="15"/>
        <v>285</v>
      </c>
      <c r="Q187">
        <f t="shared" si="16"/>
        <v>1</v>
      </c>
      <c r="R187">
        <f t="shared" si="17"/>
        <v>2</v>
      </c>
    </row>
    <row r="188" spans="1:18" x14ac:dyDescent="0.25">
      <c r="A188">
        <f>Raw_data!A188</f>
        <v>187</v>
      </c>
      <c r="B188" t="str">
        <f>Raw_data!B188</f>
        <v>C8125</v>
      </c>
      <c r="C188" t="str">
        <f>Raw_data!C188</f>
        <v>R2295</v>
      </c>
      <c r="D188" s="3">
        <f>Raw_data!D188</f>
        <v>45294.604733796295</v>
      </c>
      <c r="E188" s="3">
        <f>Raw_data!E188</f>
        <v>45294.640150462961</v>
      </c>
      <c r="F188" s="4">
        <f t="shared" si="12"/>
        <v>3.5416666665696539E-2</v>
      </c>
      <c r="G188" s="6">
        <f>Raw_data!F188</f>
        <v>742</v>
      </c>
      <c r="H188" s="6">
        <f>Raw_data!G188</f>
        <v>30</v>
      </c>
      <c r="I188" t="str">
        <f>Raw_data!H188</f>
        <v>Credit Card</v>
      </c>
      <c r="J188" s="7" t="str">
        <f>IF(Raw_data!I188=0.1,"10%",Raw_data!I188)</f>
        <v>10%</v>
      </c>
      <c r="K188" s="6">
        <f>Raw_data!J188</f>
        <v>188</v>
      </c>
      <c r="L188" s="6">
        <f>Raw_data!K188</f>
        <v>32</v>
      </c>
      <c r="M188" s="6">
        <f>Raw_data!L188</f>
        <v>0</v>
      </c>
      <c r="N188" s="6">
        <f t="shared" si="13"/>
        <v>522</v>
      </c>
      <c r="O188" s="6">
        <f t="shared" si="14"/>
        <v>220</v>
      </c>
      <c r="P188" s="6">
        <f t="shared" si="15"/>
        <v>772</v>
      </c>
      <c r="Q188">
        <f t="shared" si="16"/>
        <v>1</v>
      </c>
      <c r="R188">
        <f t="shared" si="17"/>
        <v>2</v>
      </c>
    </row>
    <row r="189" spans="1:18" x14ac:dyDescent="0.25">
      <c r="A189">
        <f>Raw_data!A189</f>
        <v>188</v>
      </c>
      <c r="B189" t="str">
        <f>Raw_data!B189</f>
        <v>C2930</v>
      </c>
      <c r="C189" t="str">
        <f>Raw_data!C189</f>
        <v>R2010</v>
      </c>
      <c r="D189" s="3">
        <f>Raw_data!D189</f>
        <v>45307.245266203703</v>
      </c>
      <c r="E189" s="3">
        <f>Raw_data!E189</f>
        <v>45307.288321759261</v>
      </c>
      <c r="F189" s="4">
        <f t="shared" si="12"/>
        <v>4.3055555557657499E-2</v>
      </c>
      <c r="G189" s="6">
        <f>Raw_data!F189</f>
        <v>1279</v>
      </c>
      <c r="H189" s="6">
        <f>Raw_data!G189</f>
        <v>30</v>
      </c>
      <c r="I189" t="str">
        <f>Raw_data!H189</f>
        <v>Digital Wallet</v>
      </c>
      <c r="J189" s="7" t="str">
        <f>IF(Raw_data!I189=0.1,"10%",Raw_data!I189)</f>
        <v>50 off Promo</v>
      </c>
      <c r="K189" s="6">
        <f>Raw_data!J189</f>
        <v>61</v>
      </c>
      <c r="L189" s="6">
        <f>Raw_data!K189</f>
        <v>41</v>
      </c>
      <c r="M189" s="6">
        <f>Raw_data!L189</f>
        <v>100</v>
      </c>
      <c r="N189" s="6">
        <f t="shared" si="13"/>
        <v>1177</v>
      </c>
      <c r="O189" s="6">
        <f t="shared" si="14"/>
        <v>2</v>
      </c>
      <c r="P189" s="6">
        <f t="shared" si="15"/>
        <v>1309</v>
      </c>
      <c r="Q189">
        <f t="shared" si="16"/>
        <v>1</v>
      </c>
      <c r="R189">
        <f t="shared" si="17"/>
        <v>3</v>
      </c>
    </row>
    <row r="190" spans="1:18" x14ac:dyDescent="0.25">
      <c r="A190">
        <f>Raw_data!A190</f>
        <v>189</v>
      </c>
      <c r="B190" t="str">
        <f>Raw_data!B190</f>
        <v>C7287</v>
      </c>
      <c r="C190" t="str">
        <f>Raw_data!C190</f>
        <v>R2511</v>
      </c>
      <c r="D190" s="3">
        <f>Raw_data!D190</f>
        <v>45318.202025462961</v>
      </c>
      <c r="E190" s="3">
        <f>Raw_data!E190</f>
        <v>45318.248553240737</v>
      </c>
      <c r="F190" s="4">
        <f t="shared" si="12"/>
        <v>4.6527777776645962E-2</v>
      </c>
      <c r="G190" s="6">
        <f>Raw_data!F190</f>
        <v>1307</v>
      </c>
      <c r="H190" s="6">
        <f>Raw_data!G190</f>
        <v>50</v>
      </c>
      <c r="I190" t="str">
        <f>Raw_data!H190</f>
        <v>Credit Card</v>
      </c>
      <c r="J190" s="7" t="str">
        <f>IF(Raw_data!I190=0.1,"10%",Raw_data!I190)</f>
        <v>None</v>
      </c>
      <c r="K190" s="6">
        <f>Raw_data!J190</f>
        <v>187</v>
      </c>
      <c r="L190" s="6">
        <f>Raw_data!K190</f>
        <v>31</v>
      </c>
      <c r="M190" s="6">
        <f>Raw_data!L190</f>
        <v>0</v>
      </c>
      <c r="N190" s="6">
        <f t="shared" si="13"/>
        <v>1089</v>
      </c>
      <c r="O190" s="6">
        <f t="shared" si="14"/>
        <v>218</v>
      </c>
      <c r="P190" s="6">
        <f t="shared" si="15"/>
        <v>1357</v>
      </c>
      <c r="Q190">
        <f t="shared" si="16"/>
        <v>2</v>
      </c>
      <c r="R190">
        <f t="shared" si="17"/>
        <v>2</v>
      </c>
    </row>
    <row r="191" spans="1:18" x14ac:dyDescent="0.25">
      <c r="A191">
        <f>Raw_data!A191</f>
        <v>190</v>
      </c>
      <c r="B191" t="str">
        <f>Raw_data!B191</f>
        <v>C9800</v>
      </c>
      <c r="C191" t="str">
        <f>Raw_data!C191</f>
        <v>R2675</v>
      </c>
      <c r="D191" s="3">
        <f>Raw_data!D191</f>
        <v>45316.2422337963</v>
      </c>
      <c r="E191" s="3">
        <f>Raw_data!E191</f>
        <v>45316.286678240744</v>
      </c>
      <c r="F191" s="4">
        <f t="shared" si="12"/>
        <v>4.4444444443797693E-2</v>
      </c>
      <c r="G191" s="6">
        <f>Raw_data!F191</f>
        <v>189</v>
      </c>
      <c r="H191" s="6">
        <f>Raw_data!G191</f>
        <v>30</v>
      </c>
      <c r="I191" t="str">
        <f>Raw_data!H191</f>
        <v>Digital Wallet</v>
      </c>
      <c r="J191" s="7" t="str">
        <f>IF(Raw_data!I191=0.1,"10%",Raw_data!I191)</f>
        <v>15% New User</v>
      </c>
      <c r="K191" s="6">
        <f>Raw_data!J191</f>
        <v>60</v>
      </c>
      <c r="L191" s="6">
        <f>Raw_data!K191</f>
        <v>18</v>
      </c>
      <c r="M191" s="6">
        <f>Raw_data!L191</f>
        <v>0</v>
      </c>
      <c r="N191" s="6">
        <f t="shared" si="13"/>
        <v>111</v>
      </c>
      <c r="O191" s="6">
        <f t="shared" si="14"/>
        <v>78</v>
      </c>
      <c r="P191" s="6">
        <f t="shared" si="15"/>
        <v>219</v>
      </c>
      <c r="Q191">
        <f t="shared" si="16"/>
        <v>1</v>
      </c>
      <c r="R191">
        <f t="shared" si="17"/>
        <v>2</v>
      </c>
    </row>
    <row r="192" spans="1:18" x14ac:dyDescent="0.25">
      <c r="A192">
        <f>Raw_data!A192</f>
        <v>191</v>
      </c>
      <c r="B192" t="str">
        <f>Raw_data!B192</f>
        <v>C5282</v>
      </c>
      <c r="C192" t="str">
        <f>Raw_data!C192</f>
        <v>R2112</v>
      </c>
      <c r="D192" s="3">
        <f>Raw_data!D192</f>
        <v>45325.119317129633</v>
      </c>
      <c r="E192" s="3">
        <f>Raw_data!E192</f>
        <v>45325.185983796298</v>
      </c>
      <c r="F192" s="4">
        <f t="shared" si="12"/>
        <v>6.6666666665696539E-2</v>
      </c>
      <c r="G192" s="6">
        <f>Raw_data!F192</f>
        <v>1217</v>
      </c>
      <c r="H192" s="6">
        <f>Raw_data!G192</f>
        <v>40</v>
      </c>
      <c r="I192" t="str">
        <f>Raw_data!H192</f>
        <v>Digital Wallet</v>
      </c>
      <c r="J192" s="7" t="str">
        <f>IF(Raw_data!I192=0.1,"10%",Raw_data!I192)</f>
        <v>50 off Promo</v>
      </c>
      <c r="K192" s="6">
        <f>Raw_data!J192</f>
        <v>167</v>
      </c>
      <c r="L192" s="6">
        <f>Raw_data!K192</f>
        <v>40</v>
      </c>
      <c r="M192" s="6">
        <f>Raw_data!L192</f>
        <v>0</v>
      </c>
      <c r="N192" s="6">
        <f t="shared" si="13"/>
        <v>1010</v>
      </c>
      <c r="O192" s="6">
        <f t="shared" si="14"/>
        <v>207</v>
      </c>
      <c r="P192" s="6">
        <f t="shared" si="15"/>
        <v>1257</v>
      </c>
      <c r="Q192">
        <f t="shared" si="16"/>
        <v>1</v>
      </c>
      <c r="R192">
        <f t="shared" si="17"/>
        <v>2</v>
      </c>
    </row>
    <row r="193" spans="1:18" x14ac:dyDescent="0.25">
      <c r="A193">
        <f>Raw_data!A193</f>
        <v>192</v>
      </c>
      <c r="B193" t="str">
        <f>Raw_data!B193</f>
        <v>C3511</v>
      </c>
      <c r="C193" t="str">
        <f>Raw_data!C193</f>
        <v>R2186</v>
      </c>
      <c r="D193" s="3">
        <f>Raw_data!D193</f>
        <v>45300.650682870371</v>
      </c>
      <c r="E193" s="3">
        <f>Raw_data!E193</f>
        <v>45300.728460648148</v>
      </c>
      <c r="F193" s="4">
        <f t="shared" si="12"/>
        <v>7.7777777776645962E-2</v>
      </c>
      <c r="G193" s="6">
        <f>Raw_data!F193</f>
        <v>112</v>
      </c>
      <c r="H193" s="6">
        <f>Raw_data!G193</f>
        <v>30</v>
      </c>
      <c r="I193" t="str">
        <f>Raw_data!H193</f>
        <v>Credit Card</v>
      </c>
      <c r="J193" s="7" t="str">
        <f>IF(Raw_data!I193=0.1,"10%",Raw_data!I193)</f>
        <v>5% on App</v>
      </c>
      <c r="K193" s="6">
        <f>Raw_data!J193</f>
        <v>88</v>
      </c>
      <c r="L193" s="6">
        <f>Raw_data!K193</f>
        <v>16</v>
      </c>
      <c r="M193" s="6">
        <f>Raw_data!L193</f>
        <v>0</v>
      </c>
      <c r="N193" s="6">
        <f t="shared" si="13"/>
        <v>8</v>
      </c>
      <c r="O193" s="6">
        <f t="shared" si="14"/>
        <v>104</v>
      </c>
      <c r="P193" s="6">
        <f t="shared" si="15"/>
        <v>142</v>
      </c>
      <c r="Q193">
        <f t="shared" si="16"/>
        <v>1</v>
      </c>
      <c r="R193">
        <f t="shared" si="17"/>
        <v>2</v>
      </c>
    </row>
    <row r="194" spans="1:18" x14ac:dyDescent="0.25">
      <c r="A194">
        <f>Raw_data!A194</f>
        <v>193</v>
      </c>
      <c r="B194" t="str">
        <f>Raw_data!B194</f>
        <v>C1659</v>
      </c>
      <c r="C194" t="str">
        <f>Raw_data!C194</f>
        <v>R2806</v>
      </c>
      <c r="D194" s="3">
        <f>Raw_data!D194</f>
        <v>45304.499120370368</v>
      </c>
      <c r="E194" s="3">
        <f>Raw_data!E194</f>
        <v>45304.526203703703</v>
      </c>
      <c r="F194" s="4">
        <f t="shared" si="12"/>
        <v>2.7083333334303461E-2</v>
      </c>
      <c r="G194" s="6">
        <f>Raw_data!F194</f>
        <v>1072</v>
      </c>
      <c r="H194" s="6">
        <f>Raw_data!G194</f>
        <v>20</v>
      </c>
      <c r="I194" t="str">
        <f>Raw_data!H194</f>
        <v>Credit Card</v>
      </c>
      <c r="J194" s="7" t="str">
        <f>IF(Raw_data!I194=0.1,"10%",Raw_data!I194)</f>
        <v>50 off Promo</v>
      </c>
      <c r="K194" s="6">
        <f>Raw_data!J194</f>
        <v>102</v>
      </c>
      <c r="L194" s="6">
        <f>Raw_data!K194</f>
        <v>18</v>
      </c>
      <c r="M194" s="6">
        <f>Raw_data!L194</f>
        <v>0</v>
      </c>
      <c r="N194" s="6">
        <f t="shared" si="13"/>
        <v>952</v>
      </c>
      <c r="O194" s="6">
        <f t="shared" si="14"/>
        <v>120</v>
      </c>
      <c r="P194" s="6">
        <f t="shared" si="15"/>
        <v>1092</v>
      </c>
      <c r="Q194">
        <f t="shared" si="16"/>
        <v>1</v>
      </c>
      <c r="R194">
        <f t="shared" si="17"/>
        <v>2</v>
      </c>
    </row>
    <row r="195" spans="1:18" x14ac:dyDescent="0.25">
      <c r="A195">
        <f>Raw_data!A195</f>
        <v>194</v>
      </c>
      <c r="B195" t="str">
        <f>Raw_data!B195</f>
        <v>C3811</v>
      </c>
      <c r="C195" t="str">
        <f>Raw_data!C195</f>
        <v>R2743</v>
      </c>
      <c r="D195" s="3">
        <f>Raw_data!D195</f>
        <v>45306.402546296296</v>
      </c>
      <c r="E195" s="3">
        <f>Raw_data!E195</f>
        <v>45306.43310185185</v>
      </c>
      <c r="F195" s="4">
        <f t="shared" ref="F195:F258" si="18">E195-D195</f>
        <v>3.0555555553291924E-2</v>
      </c>
      <c r="G195" s="6">
        <f>Raw_data!F195</f>
        <v>1957</v>
      </c>
      <c r="H195" s="6">
        <f>Raw_data!G195</f>
        <v>30</v>
      </c>
      <c r="I195" t="str">
        <f>Raw_data!H195</f>
        <v>Credit Card</v>
      </c>
      <c r="J195" s="7" t="str">
        <f>IF(Raw_data!I195=0.1,"10%",Raw_data!I195)</f>
        <v>50 off Promo</v>
      </c>
      <c r="K195" s="6">
        <f>Raw_data!J195</f>
        <v>105</v>
      </c>
      <c r="L195" s="6">
        <f>Raw_data!K195</f>
        <v>22</v>
      </c>
      <c r="M195" s="6">
        <f>Raw_data!L195</f>
        <v>0</v>
      </c>
      <c r="N195" s="6">
        <f t="shared" ref="N195:N258" si="19">G195-K195-L195</f>
        <v>1830</v>
      </c>
      <c r="O195" s="6">
        <f t="shared" ref="O195:O258" si="20">K195+L195-M195</f>
        <v>127</v>
      </c>
      <c r="P195" s="6">
        <f t="shared" ref="P195:P258" si="21">G195+H195</f>
        <v>1987</v>
      </c>
      <c r="Q195">
        <f t="shared" ref="Q195:Q258" si="22">COUNTIF(B$2:B$1001,B195)</f>
        <v>1</v>
      </c>
      <c r="R195">
        <f t="shared" ref="R195:R258" si="23">COUNTIF(C$2:C$1001,C195)</f>
        <v>1</v>
      </c>
    </row>
    <row r="196" spans="1:18" x14ac:dyDescent="0.25">
      <c r="A196">
        <f>Raw_data!A196</f>
        <v>195</v>
      </c>
      <c r="B196" t="str">
        <f>Raw_data!B196</f>
        <v>C8098</v>
      </c>
      <c r="C196" t="str">
        <f>Raw_data!C196</f>
        <v>R2226</v>
      </c>
      <c r="D196" s="3">
        <f>Raw_data!D196</f>
        <v>45313.252141203702</v>
      </c>
      <c r="E196" s="3">
        <f>Raw_data!E196</f>
        <v>45313.279918981483</v>
      </c>
      <c r="F196" s="4">
        <f t="shared" si="18"/>
        <v>2.7777777781011537E-2</v>
      </c>
      <c r="G196" s="6">
        <f>Raw_data!F196</f>
        <v>904</v>
      </c>
      <c r="H196" s="6">
        <f>Raw_data!G196</f>
        <v>0</v>
      </c>
      <c r="I196" t="str">
        <f>Raw_data!H196</f>
        <v>Cash on Delivery</v>
      </c>
      <c r="J196" s="7" t="str">
        <f>IF(Raw_data!I196=0.1,"10%",Raw_data!I196)</f>
        <v>5% on App</v>
      </c>
      <c r="K196" s="6">
        <f>Raw_data!J196</f>
        <v>153</v>
      </c>
      <c r="L196" s="6">
        <f>Raw_data!K196</f>
        <v>12</v>
      </c>
      <c r="M196" s="6">
        <f>Raw_data!L196</f>
        <v>0</v>
      </c>
      <c r="N196" s="6">
        <f t="shared" si="19"/>
        <v>739</v>
      </c>
      <c r="O196" s="6">
        <f t="shared" si="20"/>
        <v>165</v>
      </c>
      <c r="P196" s="6">
        <f t="shared" si="21"/>
        <v>904</v>
      </c>
      <c r="Q196">
        <f t="shared" si="22"/>
        <v>1</v>
      </c>
      <c r="R196">
        <f t="shared" si="23"/>
        <v>2</v>
      </c>
    </row>
    <row r="197" spans="1:18" x14ac:dyDescent="0.25">
      <c r="A197">
        <f>Raw_data!A197</f>
        <v>196</v>
      </c>
      <c r="B197" t="str">
        <f>Raw_data!B197</f>
        <v>C7546</v>
      </c>
      <c r="C197" t="str">
        <f>Raw_data!C197</f>
        <v>R2309</v>
      </c>
      <c r="D197" s="3">
        <f>Raw_data!D197</f>
        <v>45317.844722222224</v>
      </c>
      <c r="E197" s="3">
        <f>Raw_data!E197</f>
        <v>45317.927361111113</v>
      </c>
      <c r="F197" s="4">
        <f t="shared" si="18"/>
        <v>8.2638888889050577E-2</v>
      </c>
      <c r="G197" s="6">
        <f>Raw_data!F197</f>
        <v>1044</v>
      </c>
      <c r="H197" s="6">
        <f>Raw_data!G197</f>
        <v>20</v>
      </c>
      <c r="I197" t="str">
        <f>Raw_data!H197</f>
        <v>Digital Wallet</v>
      </c>
      <c r="J197" s="7" t="str">
        <f>IF(Raw_data!I197=0.1,"10%",Raw_data!I197)</f>
        <v>50 off Promo</v>
      </c>
      <c r="K197" s="6">
        <f>Raw_data!J197</f>
        <v>178</v>
      </c>
      <c r="L197" s="6">
        <f>Raw_data!K197</f>
        <v>44</v>
      </c>
      <c r="M197" s="6">
        <f>Raw_data!L197</f>
        <v>0</v>
      </c>
      <c r="N197" s="6">
        <f t="shared" si="19"/>
        <v>822</v>
      </c>
      <c r="O197" s="6">
        <f t="shared" si="20"/>
        <v>222</v>
      </c>
      <c r="P197" s="6">
        <f t="shared" si="21"/>
        <v>1064</v>
      </c>
      <c r="Q197">
        <f t="shared" si="22"/>
        <v>1</v>
      </c>
      <c r="R197">
        <f t="shared" si="23"/>
        <v>3</v>
      </c>
    </row>
    <row r="198" spans="1:18" x14ac:dyDescent="0.25">
      <c r="A198">
        <f>Raw_data!A198</f>
        <v>197</v>
      </c>
      <c r="B198" t="str">
        <f>Raw_data!B198</f>
        <v>C2986</v>
      </c>
      <c r="C198" t="str">
        <f>Raw_data!C198</f>
        <v>R2097</v>
      </c>
      <c r="D198" s="3">
        <f>Raw_data!D198</f>
        <v>45307.549756944441</v>
      </c>
      <c r="E198" s="3">
        <f>Raw_data!E198</f>
        <v>45307.586562500001</v>
      </c>
      <c r="F198" s="4">
        <f t="shared" si="18"/>
        <v>3.680555555911269E-2</v>
      </c>
      <c r="G198" s="6">
        <f>Raw_data!F198</f>
        <v>841</v>
      </c>
      <c r="H198" s="6">
        <f>Raw_data!G198</f>
        <v>0</v>
      </c>
      <c r="I198" t="str">
        <f>Raw_data!H198</f>
        <v>Cash on Delivery</v>
      </c>
      <c r="J198" s="7" t="str">
        <f>IF(Raw_data!I198=0.1,"10%",Raw_data!I198)</f>
        <v>15% New User</v>
      </c>
      <c r="K198" s="6">
        <f>Raw_data!J198</f>
        <v>105</v>
      </c>
      <c r="L198" s="6">
        <f>Raw_data!K198</f>
        <v>42</v>
      </c>
      <c r="M198" s="6">
        <f>Raw_data!L198</f>
        <v>50</v>
      </c>
      <c r="N198" s="6">
        <f t="shared" si="19"/>
        <v>694</v>
      </c>
      <c r="O198" s="6">
        <f t="shared" si="20"/>
        <v>97</v>
      </c>
      <c r="P198" s="6">
        <f t="shared" si="21"/>
        <v>841</v>
      </c>
      <c r="Q198">
        <f t="shared" si="22"/>
        <v>1</v>
      </c>
      <c r="R198">
        <f t="shared" si="23"/>
        <v>2</v>
      </c>
    </row>
    <row r="199" spans="1:18" x14ac:dyDescent="0.25">
      <c r="A199">
        <f>Raw_data!A199</f>
        <v>198</v>
      </c>
      <c r="B199" t="str">
        <f>Raw_data!B199</f>
        <v>C9338</v>
      </c>
      <c r="C199" t="str">
        <f>Raw_data!C199</f>
        <v>R2054</v>
      </c>
      <c r="D199" s="3">
        <f>Raw_data!D199</f>
        <v>45319.557083333333</v>
      </c>
      <c r="E199" s="3">
        <f>Raw_data!E199</f>
        <v>45319.630694444444</v>
      </c>
      <c r="F199" s="4">
        <f t="shared" si="18"/>
        <v>7.3611111110949423E-2</v>
      </c>
      <c r="G199" s="6">
        <f>Raw_data!F199</f>
        <v>1957</v>
      </c>
      <c r="H199" s="6">
        <f>Raw_data!G199</f>
        <v>20</v>
      </c>
      <c r="I199" t="str">
        <f>Raw_data!H199</f>
        <v>Credit Card</v>
      </c>
      <c r="J199" s="7" t="str">
        <f>IF(Raw_data!I199=0.1,"10%",Raw_data!I199)</f>
        <v>10%</v>
      </c>
      <c r="K199" s="6">
        <f>Raw_data!J199</f>
        <v>167</v>
      </c>
      <c r="L199" s="6">
        <f>Raw_data!K199</f>
        <v>30</v>
      </c>
      <c r="M199" s="6">
        <f>Raw_data!L199</f>
        <v>0</v>
      </c>
      <c r="N199" s="6">
        <f t="shared" si="19"/>
        <v>1760</v>
      </c>
      <c r="O199" s="6">
        <f t="shared" si="20"/>
        <v>197</v>
      </c>
      <c r="P199" s="6">
        <f t="shared" si="21"/>
        <v>1977</v>
      </c>
      <c r="Q199">
        <f t="shared" si="22"/>
        <v>1</v>
      </c>
      <c r="R199">
        <f t="shared" si="23"/>
        <v>3</v>
      </c>
    </row>
    <row r="200" spans="1:18" x14ac:dyDescent="0.25">
      <c r="A200">
        <f>Raw_data!A200</f>
        <v>199</v>
      </c>
      <c r="B200" t="str">
        <f>Raw_data!B200</f>
        <v>C3911</v>
      </c>
      <c r="C200" t="str">
        <f>Raw_data!C200</f>
        <v>R2622</v>
      </c>
      <c r="D200" s="3">
        <f>Raw_data!D200</f>
        <v>45311.152233796296</v>
      </c>
      <c r="E200" s="3">
        <f>Raw_data!E200</f>
        <v>45311.175150462965</v>
      </c>
      <c r="F200" s="4">
        <f t="shared" si="18"/>
        <v>2.2916666668606922E-2</v>
      </c>
      <c r="G200" s="6">
        <f>Raw_data!F200</f>
        <v>1927</v>
      </c>
      <c r="H200" s="6">
        <f>Raw_data!G200</f>
        <v>40</v>
      </c>
      <c r="I200" t="str">
        <f>Raw_data!H200</f>
        <v>Digital Wallet</v>
      </c>
      <c r="J200" s="7" t="str">
        <f>IF(Raw_data!I200=0.1,"10%",Raw_data!I200)</f>
        <v>50 off Promo</v>
      </c>
      <c r="K200" s="6">
        <f>Raw_data!J200</f>
        <v>181</v>
      </c>
      <c r="L200" s="6">
        <f>Raw_data!K200</f>
        <v>40</v>
      </c>
      <c r="M200" s="6">
        <f>Raw_data!L200</f>
        <v>0</v>
      </c>
      <c r="N200" s="6">
        <f t="shared" si="19"/>
        <v>1706</v>
      </c>
      <c r="O200" s="6">
        <f t="shared" si="20"/>
        <v>221</v>
      </c>
      <c r="P200" s="6">
        <f t="shared" si="21"/>
        <v>1967</v>
      </c>
      <c r="Q200">
        <f t="shared" si="22"/>
        <v>1</v>
      </c>
      <c r="R200">
        <f t="shared" si="23"/>
        <v>2</v>
      </c>
    </row>
    <row r="201" spans="1:18" x14ac:dyDescent="0.25">
      <c r="A201">
        <f>Raw_data!A201</f>
        <v>200</v>
      </c>
      <c r="B201" t="str">
        <f>Raw_data!B201</f>
        <v>C2734</v>
      </c>
      <c r="C201" t="str">
        <f>Raw_data!C201</f>
        <v>R2663</v>
      </c>
      <c r="D201" s="3">
        <f>Raw_data!D201</f>
        <v>45304.756099537037</v>
      </c>
      <c r="E201" s="3">
        <f>Raw_data!E201</f>
        <v>45304.785266203704</v>
      </c>
      <c r="F201" s="4">
        <f t="shared" si="18"/>
        <v>2.9166666667151731E-2</v>
      </c>
      <c r="G201" s="6">
        <f>Raw_data!F201</f>
        <v>1561</v>
      </c>
      <c r="H201" s="6">
        <f>Raw_data!G201</f>
        <v>40</v>
      </c>
      <c r="I201" t="str">
        <f>Raw_data!H201</f>
        <v>Cash on Delivery</v>
      </c>
      <c r="J201" s="7" t="str">
        <f>IF(Raw_data!I201=0.1,"10%",Raw_data!I201)</f>
        <v>15% New User</v>
      </c>
      <c r="K201" s="6">
        <f>Raw_data!J201</f>
        <v>79</v>
      </c>
      <c r="L201" s="6">
        <f>Raw_data!K201</f>
        <v>43</v>
      </c>
      <c r="M201" s="6">
        <f>Raw_data!L201</f>
        <v>150</v>
      </c>
      <c r="N201" s="6">
        <f t="shared" si="19"/>
        <v>1439</v>
      </c>
      <c r="O201" s="6">
        <f t="shared" si="20"/>
        <v>-28</v>
      </c>
      <c r="P201" s="6">
        <f t="shared" si="21"/>
        <v>1601</v>
      </c>
      <c r="Q201">
        <f t="shared" si="22"/>
        <v>1</v>
      </c>
      <c r="R201">
        <f t="shared" si="23"/>
        <v>1</v>
      </c>
    </row>
    <row r="202" spans="1:18" x14ac:dyDescent="0.25">
      <c r="A202">
        <f>Raw_data!A202</f>
        <v>201</v>
      </c>
      <c r="B202" t="str">
        <f>Raw_data!B202</f>
        <v>C2843</v>
      </c>
      <c r="C202" t="str">
        <f>Raw_data!C202</f>
        <v>R2757</v>
      </c>
      <c r="D202" s="3">
        <f>Raw_data!D202</f>
        <v>45296.684861111113</v>
      </c>
      <c r="E202" s="3">
        <f>Raw_data!E202</f>
        <v>45296.755694444444</v>
      </c>
      <c r="F202" s="4">
        <f t="shared" si="18"/>
        <v>7.0833333331393078E-2</v>
      </c>
      <c r="G202" s="6">
        <f>Raw_data!F202</f>
        <v>1661</v>
      </c>
      <c r="H202" s="6">
        <f>Raw_data!G202</f>
        <v>40</v>
      </c>
      <c r="I202" t="str">
        <f>Raw_data!H202</f>
        <v>Digital Wallet</v>
      </c>
      <c r="J202" s="7" t="str">
        <f>IF(Raw_data!I202=0.1,"10%",Raw_data!I202)</f>
        <v>10%</v>
      </c>
      <c r="K202" s="6">
        <f>Raw_data!J202</f>
        <v>61</v>
      </c>
      <c r="L202" s="6">
        <f>Raw_data!K202</f>
        <v>41</v>
      </c>
      <c r="M202" s="6">
        <f>Raw_data!L202</f>
        <v>0</v>
      </c>
      <c r="N202" s="6">
        <f t="shared" si="19"/>
        <v>1559</v>
      </c>
      <c r="O202" s="6">
        <f t="shared" si="20"/>
        <v>102</v>
      </c>
      <c r="P202" s="6">
        <f t="shared" si="21"/>
        <v>1701</v>
      </c>
      <c r="Q202">
        <f t="shared" si="22"/>
        <v>1</v>
      </c>
      <c r="R202">
        <f t="shared" si="23"/>
        <v>2</v>
      </c>
    </row>
    <row r="203" spans="1:18" x14ac:dyDescent="0.25">
      <c r="A203">
        <f>Raw_data!A203</f>
        <v>202</v>
      </c>
      <c r="B203" t="str">
        <f>Raw_data!B203</f>
        <v>C9680</v>
      </c>
      <c r="C203" t="str">
        <f>Raw_data!C203</f>
        <v>R2405</v>
      </c>
      <c r="D203" s="3">
        <f>Raw_data!D203</f>
        <v>45311.855312500003</v>
      </c>
      <c r="E203" s="3">
        <f>Raw_data!E203</f>
        <v>45311.915034722224</v>
      </c>
      <c r="F203" s="4">
        <f t="shared" si="18"/>
        <v>5.9722222220443655E-2</v>
      </c>
      <c r="G203" s="6">
        <f>Raw_data!F203</f>
        <v>1710</v>
      </c>
      <c r="H203" s="6">
        <f>Raw_data!G203</f>
        <v>0</v>
      </c>
      <c r="I203" t="str">
        <f>Raw_data!H203</f>
        <v>Cash on Delivery</v>
      </c>
      <c r="J203" s="7" t="str">
        <f>IF(Raw_data!I203=0.1,"10%",Raw_data!I203)</f>
        <v>10%</v>
      </c>
      <c r="K203" s="6">
        <f>Raw_data!J203</f>
        <v>84</v>
      </c>
      <c r="L203" s="6">
        <f>Raw_data!K203</f>
        <v>44</v>
      </c>
      <c r="M203" s="6">
        <f>Raw_data!L203</f>
        <v>0</v>
      </c>
      <c r="N203" s="6">
        <f t="shared" si="19"/>
        <v>1582</v>
      </c>
      <c r="O203" s="6">
        <f t="shared" si="20"/>
        <v>128</v>
      </c>
      <c r="P203" s="6">
        <f t="shared" si="21"/>
        <v>1710</v>
      </c>
      <c r="Q203">
        <f t="shared" si="22"/>
        <v>1</v>
      </c>
      <c r="R203">
        <f t="shared" si="23"/>
        <v>1</v>
      </c>
    </row>
    <row r="204" spans="1:18" x14ac:dyDescent="0.25">
      <c r="A204">
        <f>Raw_data!A204</f>
        <v>203</v>
      </c>
      <c r="B204" t="str">
        <f>Raw_data!B204</f>
        <v>C3976</v>
      </c>
      <c r="C204" t="str">
        <f>Raw_data!C204</f>
        <v>R2068</v>
      </c>
      <c r="D204" s="3">
        <f>Raw_data!D204</f>
        <v>45298.610034722224</v>
      </c>
      <c r="E204" s="3">
        <f>Raw_data!E204</f>
        <v>45298.655868055554</v>
      </c>
      <c r="F204" s="4">
        <f t="shared" si="18"/>
        <v>4.5833333329937886E-2</v>
      </c>
      <c r="G204" s="6">
        <f>Raw_data!F204</f>
        <v>975</v>
      </c>
      <c r="H204" s="6">
        <f>Raw_data!G204</f>
        <v>50</v>
      </c>
      <c r="I204" t="str">
        <f>Raw_data!H204</f>
        <v>Credit Card</v>
      </c>
      <c r="J204" s="7" t="str">
        <f>IF(Raw_data!I204=0.1,"10%",Raw_data!I204)</f>
        <v>50 off Promo</v>
      </c>
      <c r="K204" s="6">
        <f>Raw_data!J204</f>
        <v>126</v>
      </c>
      <c r="L204" s="6">
        <f>Raw_data!K204</f>
        <v>24</v>
      </c>
      <c r="M204" s="6">
        <f>Raw_data!L204</f>
        <v>150</v>
      </c>
      <c r="N204" s="6">
        <f t="shared" si="19"/>
        <v>825</v>
      </c>
      <c r="O204" s="6">
        <f t="shared" si="20"/>
        <v>0</v>
      </c>
      <c r="P204" s="6">
        <f t="shared" si="21"/>
        <v>1025</v>
      </c>
      <c r="Q204">
        <f t="shared" si="22"/>
        <v>1</v>
      </c>
      <c r="R204">
        <f t="shared" si="23"/>
        <v>1</v>
      </c>
    </row>
    <row r="205" spans="1:18" x14ac:dyDescent="0.25">
      <c r="A205">
        <f>Raw_data!A205</f>
        <v>204</v>
      </c>
      <c r="B205" t="str">
        <f>Raw_data!B205</f>
        <v>C2959</v>
      </c>
      <c r="C205" t="str">
        <f>Raw_data!C205</f>
        <v>R2311</v>
      </c>
      <c r="D205" s="3">
        <f>Raw_data!D205</f>
        <v>45316.020902777775</v>
      </c>
      <c r="E205" s="3">
        <f>Raw_data!E205</f>
        <v>45316.074374999997</v>
      </c>
      <c r="F205" s="4">
        <f t="shared" si="18"/>
        <v>5.3472222221898846E-2</v>
      </c>
      <c r="G205" s="6">
        <f>Raw_data!F205</f>
        <v>1934</v>
      </c>
      <c r="H205" s="6">
        <f>Raw_data!G205</f>
        <v>20</v>
      </c>
      <c r="I205" t="str">
        <f>Raw_data!H205</f>
        <v>Cash on Delivery</v>
      </c>
      <c r="J205" s="7" t="str">
        <f>IF(Raw_data!I205=0.1,"10%",Raw_data!I205)</f>
        <v>15% New User</v>
      </c>
      <c r="K205" s="6">
        <f>Raw_data!J205</f>
        <v>151</v>
      </c>
      <c r="L205" s="6">
        <f>Raw_data!K205</f>
        <v>41</v>
      </c>
      <c r="M205" s="6">
        <f>Raw_data!L205</f>
        <v>0</v>
      </c>
      <c r="N205" s="6">
        <f t="shared" si="19"/>
        <v>1742</v>
      </c>
      <c r="O205" s="6">
        <f t="shared" si="20"/>
        <v>192</v>
      </c>
      <c r="P205" s="6">
        <f t="shared" si="21"/>
        <v>1954</v>
      </c>
      <c r="Q205">
        <f t="shared" si="22"/>
        <v>1</v>
      </c>
      <c r="R205">
        <f t="shared" si="23"/>
        <v>2</v>
      </c>
    </row>
    <row r="206" spans="1:18" x14ac:dyDescent="0.25">
      <c r="A206">
        <f>Raw_data!A206</f>
        <v>205</v>
      </c>
      <c r="B206" t="str">
        <f>Raw_data!B206</f>
        <v>C6759</v>
      </c>
      <c r="C206" t="str">
        <f>Raw_data!C206</f>
        <v>R2288</v>
      </c>
      <c r="D206" s="3">
        <f>Raw_data!D206</f>
        <v>45303.673136574071</v>
      </c>
      <c r="E206" s="3">
        <f>Raw_data!E206</f>
        <v>45303.742581018516</v>
      </c>
      <c r="F206" s="4">
        <f t="shared" si="18"/>
        <v>6.9444444445252884E-2</v>
      </c>
      <c r="G206" s="6">
        <f>Raw_data!F206</f>
        <v>1273</v>
      </c>
      <c r="H206" s="6">
        <f>Raw_data!G206</f>
        <v>40</v>
      </c>
      <c r="I206" t="str">
        <f>Raw_data!H206</f>
        <v>Digital Wallet</v>
      </c>
      <c r="J206" s="7" t="str">
        <f>IF(Raw_data!I206=0.1,"10%",Raw_data!I206)</f>
        <v>50 off Promo</v>
      </c>
      <c r="K206" s="6">
        <f>Raw_data!J206</f>
        <v>136</v>
      </c>
      <c r="L206" s="6">
        <f>Raw_data!K206</f>
        <v>15</v>
      </c>
      <c r="M206" s="6">
        <f>Raw_data!L206</f>
        <v>0</v>
      </c>
      <c r="N206" s="6">
        <f t="shared" si="19"/>
        <v>1122</v>
      </c>
      <c r="O206" s="6">
        <f t="shared" si="20"/>
        <v>151</v>
      </c>
      <c r="P206" s="6">
        <f t="shared" si="21"/>
        <v>1313</v>
      </c>
      <c r="Q206">
        <f t="shared" si="22"/>
        <v>1</v>
      </c>
      <c r="R206">
        <f t="shared" si="23"/>
        <v>2</v>
      </c>
    </row>
    <row r="207" spans="1:18" x14ac:dyDescent="0.25">
      <c r="A207">
        <f>Raw_data!A207</f>
        <v>206</v>
      </c>
      <c r="B207" t="str">
        <f>Raw_data!B207</f>
        <v>C7694</v>
      </c>
      <c r="C207" t="str">
        <f>Raw_data!C207</f>
        <v>R2761</v>
      </c>
      <c r="D207" s="3">
        <f>Raw_data!D207</f>
        <v>45321.135810185187</v>
      </c>
      <c r="E207" s="3">
        <f>Raw_data!E207</f>
        <v>45321.156643518516</v>
      </c>
      <c r="F207" s="4">
        <f t="shared" si="18"/>
        <v>2.0833333328482695E-2</v>
      </c>
      <c r="G207" s="6">
        <f>Raw_data!F207</f>
        <v>759</v>
      </c>
      <c r="H207" s="6">
        <f>Raw_data!G207</f>
        <v>20</v>
      </c>
      <c r="I207" t="str">
        <f>Raw_data!H207</f>
        <v>Digital Wallet</v>
      </c>
      <c r="J207" s="7" t="str">
        <f>IF(Raw_data!I207=0.1,"10%",Raw_data!I207)</f>
        <v>5% on App</v>
      </c>
      <c r="K207" s="6">
        <f>Raw_data!J207</f>
        <v>101</v>
      </c>
      <c r="L207" s="6">
        <f>Raw_data!K207</f>
        <v>30</v>
      </c>
      <c r="M207" s="6">
        <f>Raw_data!L207</f>
        <v>0</v>
      </c>
      <c r="N207" s="6">
        <f t="shared" si="19"/>
        <v>628</v>
      </c>
      <c r="O207" s="6">
        <f t="shared" si="20"/>
        <v>131</v>
      </c>
      <c r="P207" s="6">
        <f t="shared" si="21"/>
        <v>779</v>
      </c>
      <c r="Q207">
        <f t="shared" si="22"/>
        <v>1</v>
      </c>
      <c r="R207">
        <f t="shared" si="23"/>
        <v>1</v>
      </c>
    </row>
    <row r="208" spans="1:18" x14ac:dyDescent="0.25">
      <c r="A208">
        <f>Raw_data!A208</f>
        <v>207</v>
      </c>
      <c r="B208" t="str">
        <f>Raw_data!B208</f>
        <v>C3385</v>
      </c>
      <c r="C208" t="str">
        <f>Raw_data!C208</f>
        <v>R2547</v>
      </c>
      <c r="D208" s="3">
        <f>Raw_data!D208</f>
        <v>45316.145983796298</v>
      </c>
      <c r="E208" s="3">
        <f>Raw_data!E208</f>
        <v>45316.207789351851</v>
      </c>
      <c r="F208" s="4">
        <f t="shared" si="18"/>
        <v>6.1805555553291924E-2</v>
      </c>
      <c r="G208" s="6">
        <f>Raw_data!F208</f>
        <v>1131</v>
      </c>
      <c r="H208" s="6">
        <f>Raw_data!G208</f>
        <v>0</v>
      </c>
      <c r="I208" t="str">
        <f>Raw_data!H208</f>
        <v>Digital Wallet</v>
      </c>
      <c r="J208" s="7" t="str">
        <f>IF(Raw_data!I208=0.1,"10%",Raw_data!I208)</f>
        <v>10%</v>
      </c>
      <c r="K208" s="6">
        <f>Raw_data!J208</f>
        <v>129</v>
      </c>
      <c r="L208" s="6">
        <f>Raw_data!K208</f>
        <v>42</v>
      </c>
      <c r="M208" s="6">
        <f>Raw_data!L208</f>
        <v>0</v>
      </c>
      <c r="N208" s="6">
        <f t="shared" si="19"/>
        <v>960</v>
      </c>
      <c r="O208" s="6">
        <f t="shared" si="20"/>
        <v>171</v>
      </c>
      <c r="P208" s="6">
        <f t="shared" si="21"/>
        <v>1131</v>
      </c>
      <c r="Q208">
        <f t="shared" si="22"/>
        <v>1</v>
      </c>
      <c r="R208">
        <f t="shared" si="23"/>
        <v>2</v>
      </c>
    </row>
    <row r="209" spans="1:18" x14ac:dyDescent="0.25">
      <c r="A209">
        <f>Raw_data!A209</f>
        <v>208</v>
      </c>
      <c r="B209" t="str">
        <f>Raw_data!B209</f>
        <v>C5736</v>
      </c>
      <c r="C209" t="str">
        <f>Raw_data!C209</f>
        <v>R2750</v>
      </c>
      <c r="D209" s="3">
        <f>Raw_data!D209</f>
        <v>45309.380567129629</v>
      </c>
      <c r="E209" s="3">
        <f>Raw_data!E209</f>
        <v>45309.409039351849</v>
      </c>
      <c r="F209" s="4">
        <f t="shared" si="18"/>
        <v>2.8472222220443655E-2</v>
      </c>
      <c r="G209" s="6">
        <f>Raw_data!F209</f>
        <v>1152</v>
      </c>
      <c r="H209" s="6">
        <f>Raw_data!G209</f>
        <v>50</v>
      </c>
      <c r="I209" t="str">
        <f>Raw_data!H209</f>
        <v>Digital Wallet</v>
      </c>
      <c r="J209" s="7" t="str">
        <f>IF(Raw_data!I209=0.1,"10%",Raw_data!I209)</f>
        <v>50 off Promo</v>
      </c>
      <c r="K209" s="6">
        <f>Raw_data!J209</f>
        <v>184</v>
      </c>
      <c r="L209" s="6">
        <f>Raw_data!K209</f>
        <v>41</v>
      </c>
      <c r="M209" s="6">
        <f>Raw_data!L209</f>
        <v>0</v>
      </c>
      <c r="N209" s="6">
        <f t="shared" si="19"/>
        <v>927</v>
      </c>
      <c r="O209" s="6">
        <f t="shared" si="20"/>
        <v>225</v>
      </c>
      <c r="P209" s="6">
        <f t="shared" si="21"/>
        <v>1202</v>
      </c>
      <c r="Q209">
        <f t="shared" si="22"/>
        <v>1</v>
      </c>
      <c r="R209">
        <f t="shared" si="23"/>
        <v>1</v>
      </c>
    </row>
    <row r="210" spans="1:18" x14ac:dyDescent="0.25">
      <c r="A210">
        <f>Raw_data!A210</f>
        <v>209</v>
      </c>
      <c r="B210" t="str">
        <f>Raw_data!B210</f>
        <v>C2802</v>
      </c>
      <c r="C210" t="str">
        <f>Raw_data!C210</f>
        <v>R2147</v>
      </c>
      <c r="D210" s="3">
        <f>Raw_data!D210</f>
        <v>45324.170127314814</v>
      </c>
      <c r="E210" s="3">
        <f>Raw_data!E210</f>
        <v>45324.20484953704</v>
      </c>
      <c r="F210" s="4">
        <f t="shared" si="18"/>
        <v>3.4722222226264421E-2</v>
      </c>
      <c r="G210" s="6">
        <f>Raw_data!F210</f>
        <v>395</v>
      </c>
      <c r="H210" s="6">
        <f>Raw_data!G210</f>
        <v>0</v>
      </c>
      <c r="I210" t="str">
        <f>Raw_data!H210</f>
        <v>Credit Card</v>
      </c>
      <c r="J210" s="7" t="str">
        <f>IF(Raw_data!I210=0.1,"10%",Raw_data!I210)</f>
        <v>10%</v>
      </c>
      <c r="K210" s="6">
        <f>Raw_data!J210</f>
        <v>71</v>
      </c>
      <c r="L210" s="6">
        <f>Raw_data!K210</f>
        <v>28</v>
      </c>
      <c r="M210" s="6">
        <f>Raw_data!L210</f>
        <v>50</v>
      </c>
      <c r="N210" s="6">
        <f t="shared" si="19"/>
        <v>296</v>
      </c>
      <c r="O210" s="6">
        <f t="shared" si="20"/>
        <v>49</v>
      </c>
      <c r="P210" s="6">
        <f t="shared" si="21"/>
        <v>395</v>
      </c>
      <c r="Q210">
        <f t="shared" si="22"/>
        <v>1</v>
      </c>
      <c r="R210">
        <f t="shared" si="23"/>
        <v>1</v>
      </c>
    </row>
    <row r="211" spans="1:18" x14ac:dyDescent="0.25">
      <c r="A211">
        <f>Raw_data!A211</f>
        <v>210</v>
      </c>
      <c r="B211" t="str">
        <f>Raw_data!B211</f>
        <v>C9155</v>
      </c>
      <c r="C211" t="str">
        <f>Raw_data!C211</f>
        <v>R2466</v>
      </c>
      <c r="D211" s="3">
        <f>Raw_data!D211</f>
        <v>45314.149560185186</v>
      </c>
      <c r="E211" s="3">
        <f>Raw_data!E211</f>
        <v>45314.177337962959</v>
      </c>
      <c r="F211" s="4">
        <f t="shared" si="18"/>
        <v>2.7777777773735579E-2</v>
      </c>
      <c r="G211" s="6">
        <f>Raw_data!F211</f>
        <v>1085</v>
      </c>
      <c r="H211" s="6">
        <f>Raw_data!G211</f>
        <v>20</v>
      </c>
      <c r="I211" t="str">
        <f>Raw_data!H211</f>
        <v>Cash on Delivery</v>
      </c>
      <c r="J211" s="7" t="str">
        <f>IF(Raw_data!I211=0.1,"10%",Raw_data!I211)</f>
        <v>15% New User</v>
      </c>
      <c r="K211" s="6">
        <f>Raw_data!J211</f>
        <v>124</v>
      </c>
      <c r="L211" s="6">
        <f>Raw_data!K211</f>
        <v>42</v>
      </c>
      <c r="M211" s="6">
        <f>Raw_data!L211</f>
        <v>100</v>
      </c>
      <c r="N211" s="6">
        <f t="shared" si="19"/>
        <v>919</v>
      </c>
      <c r="O211" s="6">
        <f t="shared" si="20"/>
        <v>66</v>
      </c>
      <c r="P211" s="6">
        <f t="shared" si="21"/>
        <v>1105</v>
      </c>
      <c r="Q211">
        <f t="shared" si="22"/>
        <v>1</v>
      </c>
      <c r="R211">
        <f t="shared" si="23"/>
        <v>2</v>
      </c>
    </row>
    <row r="212" spans="1:18" x14ac:dyDescent="0.25">
      <c r="A212">
        <f>Raw_data!A212</f>
        <v>211</v>
      </c>
      <c r="B212" t="str">
        <f>Raw_data!B212</f>
        <v>C9120</v>
      </c>
      <c r="C212" t="str">
        <f>Raw_data!C212</f>
        <v>R2738</v>
      </c>
      <c r="D212" s="3">
        <f>Raw_data!D212</f>
        <v>45328.105671296296</v>
      </c>
      <c r="E212" s="3">
        <f>Raw_data!E212</f>
        <v>45328.156365740739</v>
      </c>
      <c r="F212" s="4">
        <f t="shared" si="18"/>
        <v>5.0694444442342501E-2</v>
      </c>
      <c r="G212" s="6">
        <f>Raw_data!F212</f>
        <v>1025</v>
      </c>
      <c r="H212" s="6">
        <f>Raw_data!G212</f>
        <v>50</v>
      </c>
      <c r="I212" t="str">
        <f>Raw_data!H212</f>
        <v>Credit Card</v>
      </c>
      <c r="J212" s="7" t="str">
        <f>IF(Raw_data!I212=0.1,"10%",Raw_data!I212)</f>
        <v>None</v>
      </c>
      <c r="K212" s="6">
        <f>Raw_data!J212</f>
        <v>107</v>
      </c>
      <c r="L212" s="6">
        <f>Raw_data!K212</f>
        <v>37</v>
      </c>
      <c r="M212" s="6">
        <f>Raw_data!L212</f>
        <v>0</v>
      </c>
      <c r="N212" s="6">
        <f t="shared" si="19"/>
        <v>881</v>
      </c>
      <c r="O212" s="6">
        <f t="shared" si="20"/>
        <v>144</v>
      </c>
      <c r="P212" s="6">
        <f t="shared" si="21"/>
        <v>1075</v>
      </c>
      <c r="Q212">
        <f t="shared" si="22"/>
        <v>2</v>
      </c>
      <c r="R212">
        <f t="shared" si="23"/>
        <v>4</v>
      </c>
    </row>
    <row r="213" spans="1:18" x14ac:dyDescent="0.25">
      <c r="A213">
        <f>Raw_data!A213</f>
        <v>212</v>
      </c>
      <c r="B213" t="str">
        <f>Raw_data!B213</f>
        <v>C7616</v>
      </c>
      <c r="C213" t="str">
        <f>Raw_data!C213</f>
        <v>R2243</v>
      </c>
      <c r="D213" s="3">
        <f>Raw_data!D213</f>
        <v>45324.533101851855</v>
      </c>
      <c r="E213" s="3">
        <f>Raw_data!E213</f>
        <v>45324.593518518515</v>
      </c>
      <c r="F213" s="4">
        <f t="shared" si="18"/>
        <v>6.0416666659875773E-2</v>
      </c>
      <c r="G213" s="6">
        <f>Raw_data!F213</f>
        <v>1844</v>
      </c>
      <c r="H213" s="6">
        <f>Raw_data!G213</f>
        <v>50</v>
      </c>
      <c r="I213" t="str">
        <f>Raw_data!H213</f>
        <v>Credit Card</v>
      </c>
      <c r="J213" s="7" t="str">
        <f>IF(Raw_data!I213=0.1,"10%",Raw_data!I213)</f>
        <v>50 off Promo</v>
      </c>
      <c r="K213" s="6">
        <f>Raw_data!J213</f>
        <v>142</v>
      </c>
      <c r="L213" s="6">
        <f>Raw_data!K213</f>
        <v>40</v>
      </c>
      <c r="M213" s="6">
        <f>Raw_data!L213</f>
        <v>150</v>
      </c>
      <c r="N213" s="6">
        <f t="shared" si="19"/>
        <v>1662</v>
      </c>
      <c r="O213" s="6">
        <f t="shared" si="20"/>
        <v>32</v>
      </c>
      <c r="P213" s="6">
        <f t="shared" si="21"/>
        <v>1894</v>
      </c>
      <c r="Q213">
        <f t="shared" si="22"/>
        <v>1</v>
      </c>
      <c r="R213">
        <f t="shared" si="23"/>
        <v>1</v>
      </c>
    </row>
    <row r="214" spans="1:18" x14ac:dyDescent="0.25">
      <c r="A214">
        <f>Raw_data!A214</f>
        <v>213</v>
      </c>
      <c r="B214" t="str">
        <f>Raw_data!B214</f>
        <v>C6534</v>
      </c>
      <c r="C214" t="str">
        <f>Raw_data!C214</f>
        <v>R2490</v>
      </c>
      <c r="D214" s="3">
        <f>Raw_data!D214</f>
        <v>45298.352824074071</v>
      </c>
      <c r="E214" s="3">
        <f>Raw_data!E214</f>
        <v>45298.40351851852</v>
      </c>
      <c r="F214" s="4">
        <f t="shared" si="18"/>
        <v>5.0694444449618459E-2</v>
      </c>
      <c r="G214" s="6">
        <f>Raw_data!F214</f>
        <v>739</v>
      </c>
      <c r="H214" s="6">
        <f>Raw_data!G214</f>
        <v>0</v>
      </c>
      <c r="I214" t="str">
        <f>Raw_data!H214</f>
        <v>Credit Card</v>
      </c>
      <c r="J214" s="7" t="str">
        <f>IF(Raw_data!I214=0.1,"10%",Raw_data!I214)</f>
        <v>50 off Promo</v>
      </c>
      <c r="K214" s="6">
        <f>Raw_data!J214</f>
        <v>152</v>
      </c>
      <c r="L214" s="6">
        <f>Raw_data!K214</f>
        <v>30</v>
      </c>
      <c r="M214" s="6">
        <f>Raw_data!L214</f>
        <v>0</v>
      </c>
      <c r="N214" s="6">
        <f t="shared" si="19"/>
        <v>557</v>
      </c>
      <c r="O214" s="6">
        <f t="shared" si="20"/>
        <v>182</v>
      </c>
      <c r="P214" s="6">
        <f t="shared" si="21"/>
        <v>739</v>
      </c>
      <c r="Q214">
        <f t="shared" si="22"/>
        <v>1</v>
      </c>
      <c r="R214">
        <f t="shared" si="23"/>
        <v>2</v>
      </c>
    </row>
    <row r="215" spans="1:18" x14ac:dyDescent="0.25">
      <c r="A215">
        <f>Raw_data!A215</f>
        <v>214</v>
      </c>
      <c r="B215" t="str">
        <f>Raw_data!B215</f>
        <v>C5061</v>
      </c>
      <c r="C215" t="str">
        <f>Raw_data!C215</f>
        <v>R2848</v>
      </c>
      <c r="D215" s="3">
        <f>Raw_data!D215</f>
        <v>45315.139513888891</v>
      </c>
      <c r="E215" s="3">
        <f>Raw_data!E215</f>
        <v>45315.213819444441</v>
      </c>
      <c r="F215" s="4">
        <f t="shared" si="18"/>
        <v>7.4305555550381541E-2</v>
      </c>
      <c r="G215" s="6">
        <f>Raw_data!F215</f>
        <v>439</v>
      </c>
      <c r="H215" s="6">
        <f>Raw_data!G215</f>
        <v>40</v>
      </c>
      <c r="I215" t="str">
        <f>Raw_data!H215</f>
        <v>Digital Wallet</v>
      </c>
      <c r="J215" s="7" t="str">
        <f>IF(Raw_data!I215=0.1,"10%",Raw_data!I215)</f>
        <v>10%</v>
      </c>
      <c r="K215" s="6">
        <f>Raw_data!J215</f>
        <v>189</v>
      </c>
      <c r="L215" s="6">
        <f>Raw_data!K215</f>
        <v>43</v>
      </c>
      <c r="M215" s="6">
        <f>Raw_data!L215</f>
        <v>0</v>
      </c>
      <c r="N215" s="6">
        <f t="shared" si="19"/>
        <v>207</v>
      </c>
      <c r="O215" s="6">
        <f t="shared" si="20"/>
        <v>232</v>
      </c>
      <c r="P215" s="6">
        <f t="shared" si="21"/>
        <v>479</v>
      </c>
      <c r="Q215">
        <f t="shared" si="22"/>
        <v>1</v>
      </c>
      <c r="R215">
        <f t="shared" si="23"/>
        <v>2</v>
      </c>
    </row>
    <row r="216" spans="1:18" x14ac:dyDescent="0.25">
      <c r="A216">
        <f>Raw_data!A216</f>
        <v>215</v>
      </c>
      <c r="B216" t="str">
        <f>Raw_data!B216</f>
        <v>C1262</v>
      </c>
      <c r="C216" t="str">
        <f>Raw_data!C216</f>
        <v>R2957</v>
      </c>
      <c r="D216" s="3">
        <f>Raw_data!D216</f>
        <v>45301.844189814816</v>
      </c>
      <c r="E216" s="3">
        <f>Raw_data!E216</f>
        <v>45301.887939814813</v>
      </c>
      <c r="F216" s="4">
        <f t="shared" si="18"/>
        <v>4.3749999997089617E-2</v>
      </c>
      <c r="G216" s="6">
        <f>Raw_data!F216</f>
        <v>727</v>
      </c>
      <c r="H216" s="6">
        <f>Raw_data!G216</f>
        <v>20</v>
      </c>
      <c r="I216" t="str">
        <f>Raw_data!H216</f>
        <v>Digital Wallet</v>
      </c>
      <c r="J216" s="7" t="str">
        <f>IF(Raw_data!I216=0.1,"10%",Raw_data!I216)</f>
        <v>15% New User</v>
      </c>
      <c r="K216" s="6">
        <f>Raw_data!J216</f>
        <v>56</v>
      </c>
      <c r="L216" s="6">
        <f>Raw_data!K216</f>
        <v>24</v>
      </c>
      <c r="M216" s="6">
        <f>Raw_data!L216</f>
        <v>0</v>
      </c>
      <c r="N216" s="6">
        <f t="shared" si="19"/>
        <v>647</v>
      </c>
      <c r="O216" s="6">
        <f t="shared" si="20"/>
        <v>80</v>
      </c>
      <c r="P216" s="6">
        <f t="shared" si="21"/>
        <v>747</v>
      </c>
      <c r="Q216">
        <f t="shared" si="22"/>
        <v>1</v>
      </c>
      <c r="R216">
        <f t="shared" si="23"/>
        <v>3</v>
      </c>
    </row>
    <row r="217" spans="1:18" x14ac:dyDescent="0.25">
      <c r="A217">
        <f>Raw_data!A217</f>
        <v>216</v>
      </c>
      <c r="B217" t="str">
        <f>Raw_data!B217</f>
        <v>C7287</v>
      </c>
      <c r="C217" t="str">
        <f>Raw_data!C217</f>
        <v>R2506</v>
      </c>
      <c r="D217" s="3">
        <f>Raw_data!D217</f>
        <v>45328.136180555557</v>
      </c>
      <c r="E217" s="3">
        <f>Raw_data!E217</f>
        <v>45328.173680555556</v>
      </c>
      <c r="F217" s="4">
        <f t="shared" si="18"/>
        <v>3.7499999998544808E-2</v>
      </c>
      <c r="G217" s="6">
        <f>Raw_data!F217</f>
        <v>538</v>
      </c>
      <c r="H217" s="6">
        <f>Raw_data!G217</f>
        <v>30</v>
      </c>
      <c r="I217" t="str">
        <f>Raw_data!H217</f>
        <v>Digital Wallet</v>
      </c>
      <c r="J217" s="7" t="str">
        <f>IF(Raw_data!I217=0.1,"10%",Raw_data!I217)</f>
        <v>5% on App</v>
      </c>
      <c r="K217" s="6">
        <f>Raw_data!J217</f>
        <v>177</v>
      </c>
      <c r="L217" s="6">
        <f>Raw_data!K217</f>
        <v>23</v>
      </c>
      <c r="M217" s="6">
        <f>Raw_data!L217</f>
        <v>0</v>
      </c>
      <c r="N217" s="6">
        <f t="shared" si="19"/>
        <v>338</v>
      </c>
      <c r="O217" s="6">
        <f t="shared" si="20"/>
        <v>200</v>
      </c>
      <c r="P217" s="6">
        <f t="shared" si="21"/>
        <v>568</v>
      </c>
      <c r="Q217">
        <f t="shared" si="22"/>
        <v>2</v>
      </c>
      <c r="R217">
        <f t="shared" si="23"/>
        <v>2</v>
      </c>
    </row>
    <row r="218" spans="1:18" x14ac:dyDescent="0.25">
      <c r="A218">
        <f>Raw_data!A218</f>
        <v>217</v>
      </c>
      <c r="B218" t="str">
        <f>Raw_data!B218</f>
        <v>C9815</v>
      </c>
      <c r="C218" t="str">
        <f>Raw_data!C218</f>
        <v>R2364</v>
      </c>
      <c r="D218" s="3">
        <f>Raw_data!D218</f>
        <v>45303.429062499999</v>
      </c>
      <c r="E218" s="3">
        <f>Raw_data!E218</f>
        <v>45303.451979166668</v>
      </c>
      <c r="F218" s="4">
        <f t="shared" si="18"/>
        <v>2.2916666668606922E-2</v>
      </c>
      <c r="G218" s="6">
        <f>Raw_data!F218</f>
        <v>1267</v>
      </c>
      <c r="H218" s="6">
        <f>Raw_data!G218</f>
        <v>30</v>
      </c>
      <c r="I218" t="str">
        <f>Raw_data!H218</f>
        <v>Cash on Delivery</v>
      </c>
      <c r="J218" s="7" t="str">
        <f>IF(Raw_data!I218=0.1,"10%",Raw_data!I218)</f>
        <v>15% New User</v>
      </c>
      <c r="K218" s="6">
        <f>Raw_data!J218</f>
        <v>104</v>
      </c>
      <c r="L218" s="6">
        <f>Raw_data!K218</f>
        <v>28</v>
      </c>
      <c r="M218" s="6">
        <f>Raw_data!L218</f>
        <v>0</v>
      </c>
      <c r="N218" s="6">
        <f t="shared" si="19"/>
        <v>1135</v>
      </c>
      <c r="O218" s="6">
        <f t="shared" si="20"/>
        <v>132</v>
      </c>
      <c r="P218" s="6">
        <f t="shared" si="21"/>
        <v>1297</v>
      </c>
      <c r="Q218">
        <f t="shared" si="22"/>
        <v>1</v>
      </c>
      <c r="R218">
        <f t="shared" si="23"/>
        <v>2</v>
      </c>
    </row>
    <row r="219" spans="1:18" x14ac:dyDescent="0.25">
      <c r="A219">
        <f>Raw_data!A219</f>
        <v>218</v>
      </c>
      <c r="B219" t="str">
        <f>Raw_data!B219</f>
        <v>C3049</v>
      </c>
      <c r="C219" t="str">
        <f>Raw_data!C219</f>
        <v>R2481</v>
      </c>
      <c r="D219" s="3">
        <f>Raw_data!D219</f>
        <v>45292.684976851851</v>
      </c>
      <c r="E219" s="3">
        <f>Raw_data!E219</f>
        <v>45292.749560185184</v>
      </c>
      <c r="F219" s="4">
        <f t="shared" si="18"/>
        <v>6.4583333332848269E-2</v>
      </c>
      <c r="G219" s="6">
        <f>Raw_data!F219</f>
        <v>1041</v>
      </c>
      <c r="H219" s="6">
        <f>Raw_data!G219</f>
        <v>0</v>
      </c>
      <c r="I219" t="str">
        <f>Raw_data!H219</f>
        <v>Digital Wallet</v>
      </c>
      <c r="J219" s="7" t="str">
        <f>IF(Raw_data!I219=0.1,"10%",Raw_data!I219)</f>
        <v>50 off Promo</v>
      </c>
      <c r="K219" s="6">
        <f>Raw_data!J219</f>
        <v>155</v>
      </c>
      <c r="L219" s="6">
        <f>Raw_data!K219</f>
        <v>24</v>
      </c>
      <c r="M219" s="6">
        <f>Raw_data!L219</f>
        <v>0</v>
      </c>
      <c r="N219" s="6">
        <f t="shared" si="19"/>
        <v>862</v>
      </c>
      <c r="O219" s="6">
        <f t="shared" si="20"/>
        <v>179</v>
      </c>
      <c r="P219" s="6">
        <f t="shared" si="21"/>
        <v>1041</v>
      </c>
      <c r="Q219">
        <f t="shared" si="22"/>
        <v>1</v>
      </c>
      <c r="R219">
        <f t="shared" si="23"/>
        <v>2</v>
      </c>
    </row>
    <row r="220" spans="1:18" x14ac:dyDescent="0.25">
      <c r="A220">
        <f>Raw_data!A220</f>
        <v>219</v>
      </c>
      <c r="B220" t="str">
        <f>Raw_data!B220</f>
        <v>C6423</v>
      </c>
      <c r="C220" t="str">
        <f>Raw_data!C220</f>
        <v>R2200</v>
      </c>
      <c r="D220" s="3">
        <f>Raw_data!D220</f>
        <v>45320.315497685187</v>
      </c>
      <c r="E220" s="3">
        <f>Raw_data!E220</f>
        <v>45320.398136574076</v>
      </c>
      <c r="F220" s="4">
        <f t="shared" si="18"/>
        <v>8.2638888889050577E-2</v>
      </c>
      <c r="G220" s="6">
        <f>Raw_data!F220</f>
        <v>929</v>
      </c>
      <c r="H220" s="6">
        <f>Raw_data!G220</f>
        <v>20</v>
      </c>
      <c r="I220" t="str">
        <f>Raw_data!H220</f>
        <v>Cash on Delivery</v>
      </c>
      <c r="J220" s="7" t="str">
        <f>IF(Raw_data!I220=0.1,"10%",Raw_data!I220)</f>
        <v>5% on App</v>
      </c>
      <c r="K220" s="6">
        <f>Raw_data!J220</f>
        <v>111</v>
      </c>
      <c r="L220" s="6">
        <f>Raw_data!K220</f>
        <v>15</v>
      </c>
      <c r="M220" s="6">
        <f>Raw_data!L220</f>
        <v>0</v>
      </c>
      <c r="N220" s="6">
        <f t="shared" si="19"/>
        <v>803</v>
      </c>
      <c r="O220" s="6">
        <f t="shared" si="20"/>
        <v>126</v>
      </c>
      <c r="P220" s="6">
        <f t="shared" si="21"/>
        <v>949</v>
      </c>
      <c r="Q220">
        <f t="shared" si="22"/>
        <v>1</v>
      </c>
      <c r="R220">
        <f t="shared" si="23"/>
        <v>2</v>
      </c>
    </row>
    <row r="221" spans="1:18" x14ac:dyDescent="0.25">
      <c r="A221">
        <f>Raw_data!A221</f>
        <v>220</v>
      </c>
      <c r="B221" t="str">
        <f>Raw_data!B221</f>
        <v>C5548</v>
      </c>
      <c r="C221" t="str">
        <f>Raw_data!C221</f>
        <v>R2153</v>
      </c>
      <c r="D221" s="3">
        <f>Raw_data!D221</f>
        <v>45319.761643518519</v>
      </c>
      <c r="E221" s="3">
        <f>Raw_data!E221</f>
        <v>45319.792893518519</v>
      </c>
      <c r="F221" s="4">
        <f t="shared" si="18"/>
        <v>3.125E-2</v>
      </c>
      <c r="G221" s="6">
        <f>Raw_data!F221</f>
        <v>1870</v>
      </c>
      <c r="H221" s="6">
        <f>Raw_data!G221</f>
        <v>20</v>
      </c>
      <c r="I221" t="str">
        <f>Raw_data!H221</f>
        <v>Digital Wallet</v>
      </c>
      <c r="J221" s="7" t="str">
        <f>IF(Raw_data!I221=0.1,"10%",Raw_data!I221)</f>
        <v>15% New User</v>
      </c>
      <c r="K221" s="6">
        <f>Raw_data!J221</f>
        <v>139</v>
      </c>
      <c r="L221" s="6">
        <f>Raw_data!K221</f>
        <v>18</v>
      </c>
      <c r="M221" s="6">
        <f>Raw_data!L221</f>
        <v>0</v>
      </c>
      <c r="N221" s="6">
        <f t="shared" si="19"/>
        <v>1713</v>
      </c>
      <c r="O221" s="6">
        <f t="shared" si="20"/>
        <v>157</v>
      </c>
      <c r="P221" s="6">
        <f t="shared" si="21"/>
        <v>1890</v>
      </c>
      <c r="Q221">
        <f t="shared" si="22"/>
        <v>1</v>
      </c>
      <c r="R221">
        <f t="shared" si="23"/>
        <v>1</v>
      </c>
    </row>
    <row r="222" spans="1:18" x14ac:dyDescent="0.25">
      <c r="A222">
        <f>Raw_data!A222</f>
        <v>221</v>
      </c>
      <c r="B222" t="str">
        <f>Raw_data!B222</f>
        <v>C4108</v>
      </c>
      <c r="C222" t="str">
        <f>Raw_data!C222</f>
        <v>R2449</v>
      </c>
      <c r="D222" s="3">
        <f>Raw_data!D222</f>
        <v>45307.819537037038</v>
      </c>
      <c r="E222" s="3">
        <f>Raw_data!E222</f>
        <v>45307.846620370372</v>
      </c>
      <c r="F222" s="4">
        <f t="shared" si="18"/>
        <v>2.7083333334303461E-2</v>
      </c>
      <c r="G222" s="6">
        <f>Raw_data!F222</f>
        <v>618</v>
      </c>
      <c r="H222" s="6">
        <f>Raw_data!G222</f>
        <v>0</v>
      </c>
      <c r="I222" t="str">
        <f>Raw_data!H222</f>
        <v>Digital Wallet</v>
      </c>
      <c r="J222" s="7" t="str">
        <f>IF(Raw_data!I222=0.1,"10%",Raw_data!I222)</f>
        <v>None</v>
      </c>
      <c r="K222" s="6">
        <f>Raw_data!J222</f>
        <v>147</v>
      </c>
      <c r="L222" s="6">
        <f>Raw_data!K222</f>
        <v>46</v>
      </c>
      <c r="M222" s="6">
        <f>Raw_data!L222</f>
        <v>0</v>
      </c>
      <c r="N222" s="6">
        <f t="shared" si="19"/>
        <v>425</v>
      </c>
      <c r="O222" s="6">
        <f t="shared" si="20"/>
        <v>193</v>
      </c>
      <c r="P222" s="6">
        <f t="shared" si="21"/>
        <v>618</v>
      </c>
      <c r="Q222">
        <f t="shared" si="22"/>
        <v>1</v>
      </c>
      <c r="R222">
        <f t="shared" si="23"/>
        <v>2</v>
      </c>
    </row>
    <row r="223" spans="1:18" x14ac:dyDescent="0.25">
      <c r="A223">
        <f>Raw_data!A223</f>
        <v>222</v>
      </c>
      <c r="B223" t="str">
        <f>Raw_data!B223</f>
        <v>C8158</v>
      </c>
      <c r="C223" t="str">
        <f>Raw_data!C223</f>
        <v>R2500</v>
      </c>
      <c r="D223" s="3">
        <f>Raw_data!D223</f>
        <v>45311.695219907408</v>
      </c>
      <c r="E223" s="3">
        <f>Raw_data!E223</f>
        <v>45311.761192129627</v>
      </c>
      <c r="F223" s="4">
        <f t="shared" si="18"/>
        <v>6.5972222218988463E-2</v>
      </c>
      <c r="G223" s="6">
        <f>Raw_data!F223</f>
        <v>1075</v>
      </c>
      <c r="H223" s="6">
        <f>Raw_data!G223</f>
        <v>20</v>
      </c>
      <c r="I223" t="str">
        <f>Raw_data!H223</f>
        <v>Credit Card</v>
      </c>
      <c r="J223" s="7" t="str">
        <f>IF(Raw_data!I223=0.1,"10%",Raw_data!I223)</f>
        <v>10%</v>
      </c>
      <c r="K223" s="6">
        <f>Raw_data!J223</f>
        <v>126</v>
      </c>
      <c r="L223" s="6">
        <f>Raw_data!K223</f>
        <v>29</v>
      </c>
      <c r="M223" s="6">
        <f>Raw_data!L223</f>
        <v>0</v>
      </c>
      <c r="N223" s="6">
        <f t="shared" si="19"/>
        <v>920</v>
      </c>
      <c r="O223" s="6">
        <f t="shared" si="20"/>
        <v>155</v>
      </c>
      <c r="P223" s="6">
        <f t="shared" si="21"/>
        <v>1095</v>
      </c>
      <c r="Q223">
        <f t="shared" si="22"/>
        <v>1</v>
      </c>
      <c r="R223">
        <f t="shared" si="23"/>
        <v>2</v>
      </c>
    </row>
    <row r="224" spans="1:18" x14ac:dyDescent="0.25">
      <c r="A224">
        <f>Raw_data!A224</f>
        <v>223</v>
      </c>
      <c r="B224" t="str">
        <f>Raw_data!B224</f>
        <v>C8400</v>
      </c>
      <c r="C224" t="str">
        <f>Raw_data!C224</f>
        <v>R2072</v>
      </c>
      <c r="D224" s="3">
        <f>Raw_data!D224</f>
        <v>45305.756412037037</v>
      </c>
      <c r="E224" s="3">
        <f>Raw_data!E224</f>
        <v>45305.800856481481</v>
      </c>
      <c r="F224" s="4">
        <f t="shared" si="18"/>
        <v>4.4444444443797693E-2</v>
      </c>
      <c r="G224" s="6">
        <f>Raw_data!F224</f>
        <v>1168</v>
      </c>
      <c r="H224" s="6">
        <f>Raw_data!G224</f>
        <v>40</v>
      </c>
      <c r="I224" t="str">
        <f>Raw_data!H224</f>
        <v>Credit Card</v>
      </c>
      <c r="J224" s="7" t="str">
        <f>IF(Raw_data!I224=0.1,"10%",Raw_data!I224)</f>
        <v>15% New User</v>
      </c>
      <c r="K224" s="6">
        <f>Raw_data!J224</f>
        <v>168</v>
      </c>
      <c r="L224" s="6">
        <f>Raw_data!K224</f>
        <v>43</v>
      </c>
      <c r="M224" s="6">
        <f>Raw_data!L224</f>
        <v>0</v>
      </c>
      <c r="N224" s="6">
        <f t="shared" si="19"/>
        <v>957</v>
      </c>
      <c r="O224" s="6">
        <f t="shared" si="20"/>
        <v>211</v>
      </c>
      <c r="P224" s="6">
        <f t="shared" si="21"/>
        <v>1208</v>
      </c>
      <c r="Q224">
        <f t="shared" si="22"/>
        <v>2</v>
      </c>
      <c r="R224">
        <f t="shared" si="23"/>
        <v>2</v>
      </c>
    </row>
    <row r="225" spans="1:18" x14ac:dyDescent="0.25">
      <c r="A225">
        <f>Raw_data!A225</f>
        <v>224</v>
      </c>
      <c r="B225" t="str">
        <f>Raw_data!B225</f>
        <v>C4170</v>
      </c>
      <c r="C225" t="str">
        <f>Raw_data!C225</f>
        <v>R2712</v>
      </c>
      <c r="D225" s="3">
        <f>Raw_data!D225</f>
        <v>45301.529467592591</v>
      </c>
      <c r="E225" s="3">
        <f>Raw_data!E225</f>
        <v>45301.607245370367</v>
      </c>
      <c r="F225" s="4">
        <f t="shared" si="18"/>
        <v>7.7777777776645962E-2</v>
      </c>
      <c r="G225" s="6">
        <f>Raw_data!F225</f>
        <v>1054</v>
      </c>
      <c r="H225" s="6">
        <f>Raw_data!G225</f>
        <v>0</v>
      </c>
      <c r="I225" t="str">
        <f>Raw_data!H225</f>
        <v>Credit Card</v>
      </c>
      <c r="J225" s="7" t="str">
        <f>IF(Raw_data!I225=0.1,"10%",Raw_data!I225)</f>
        <v>15% New User</v>
      </c>
      <c r="K225" s="6">
        <f>Raw_data!J225</f>
        <v>85</v>
      </c>
      <c r="L225" s="6">
        <f>Raw_data!K225</f>
        <v>47</v>
      </c>
      <c r="M225" s="6">
        <f>Raw_data!L225</f>
        <v>0</v>
      </c>
      <c r="N225" s="6">
        <f t="shared" si="19"/>
        <v>922</v>
      </c>
      <c r="O225" s="6">
        <f t="shared" si="20"/>
        <v>132</v>
      </c>
      <c r="P225" s="6">
        <f t="shared" si="21"/>
        <v>1054</v>
      </c>
      <c r="Q225">
        <f t="shared" si="22"/>
        <v>2</v>
      </c>
      <c r="R225">
        <f t="shared" si="23"/>
        <v>1</v>
      </c>
    </row>
    <row r="226" spans="1:18" x14ac:dyDescent="0.25">
      <c r="A226">
        <f>Raw_data!A226</f>
        <v>225</v>
      </c>
      <c r="B226" t="str">
        <f>Raw_data!B226</f>
        <v>C3255</v>
      </c>
      <c r="C226" t="str">
        <f>Raw_data!C226</f>
        <v>R2295</v>
      </c>
      <c r="D226" s="3">
        <f>Raw_data!D226</f>
        <v>45326.652013888888</v>
      </c>
      <c r="E226" s="3">
        <f>Raw_data!E226</f>
        <v>45326.676319444443</v>
      </c>
      <c r="F226" s="4">
        <f t="shared" si="18"/>
        <v>2.4305555554747116E-2</v>
      </c>
      <c r="G226" s="6">
        <f>Raw_data!F226</f>
        <v>1362</v>
      </c>
      <c r="H226" s="6">
        <f>Raw_data!G226</f>
        <v>40</v>
      </c>
      <c r="I226" t="str">
        <f>Raw_data!H226</f>
        <v>Cash on Delivery</v>
      </c>
      <c r="J226" s="7" t="str">
        <f>IF(Raw_data!I226=0.1,"10%",Raw_data!I226)</f>
        <v>None</v>
      </c>
      <c r="K226" s="6">
        <f>Raw_data!J226</f>
        <v>138</v>
      </c>
      <c r="L226" s="6">
        <f>Raw_data!K226</f>
        <v>35</v>
      </c>
      <c r="M226" s="6">
        <f>Raw_data!L226</f>
        <v>0</v>
      </c>
      <c r="N226" s="6">
        <f t="shared" si="19"/>
        <v>1189</v>
      </c>
      <c r="O226" s="6">
        <f t="shared" si="20"/>
        <v>173</v>
      </c>
      <c r="P226" s="6">
        <f t="shared" si="21"/>
        <v>1402</v>
      </c>
      <c r="Q226">
        <f t="shared" si="22"/>
        <v>1</v>
      </c>
      <c r="R226">
        <f t="shared" si="23"/>
        <v>2</v>
      </c>
    </row>
    <row r="227" spans="1:18" x14ac:dyDescent="0.25">
      <c r="A227">
        <f>Raw_data!A227</f>
        <v>226</v>
      </c>
      <c r="B227" t="str">
        <f>Raw_data!B227</f>
        <v>C2154</v>
      </c>
      <c r="C227" t="str">
        <f>Raw_data!C227</f>
        <v>R2016</v>
      </c>
      <c r="D227" s="3">
        <f>Raw_data!D227</f>
        <v>45325.186805555553</v>
      </c>
      <c r="E227" s="3">
        <f>Raw_data!E227</f>
        <v>45325.220138888886</v>
      </c>
      <c r="F227" s="4">
        <f t="shared" si="18"/>
        <v>3.3333333332848269E-2</v>
      </c>
      <c r="G227" s="6">
        <f>Raw_data!F227</f>
        <v>1051</v>
      </c>
      <c r="H227" s="6">
        <f>Raw_data!G227</f>
        <v>20</v>
      </c>
      <c r="I227" t="str">
        <f>Raw_data!H227</f>
        <v>Cash on Delivery</v>
      </c>
      <c r="J227" s="7" t="str">
        <f>IF(Raw_data!I227=0.1,"10%",Raw_data!I227)</f>
        <v>50 off Promo</v>
      </c>
      <c r="K227" s="6">
        <f>Raw_data!J227</f>
        <v>194</v>
      </c>
      <c r="L227" s="6">
        <f>Raw_data!K227</f>
        <v>27</v>
      </c>
      <c r="M227" s="6">
        <f>Raw_data!L227</f>
        <v>150</v>
      </c>
      <c r="N227" s="6">
        <f t="shared" si="19"/>
        <v>830</v>
      </c>
      <c r="O227" s="6">
        <f t="shared" si="20"/>
        <v>71</v>
      </c>
      <c r="P227" s="6">
        <f t="shared" si="21"/>
        <v>1071</v>
      </c>
      <c r="Q227">
        <f t="shared" si="22"/>
        <v>1</v>
      </c>
      <c r="R227">
        <f t="shared" si="23"/>
        <v>5</v>
      </c>
    </row>
    <row r="228" spans="1:18" x14ac:dyDescent="0.25">
      <c r="A228">
        <f>Raw_data!A228</f>
        <v>227</v>
      </c>
      <c r="B228" t="str">
        <f>Raw_data!B228</f>
        <v>C5499</v>
      </c>
      <c r="C228" t="str">
        <f>Raw_data!C228</f>
        <v>R2640</v>
      </c>
      <c r="D228" s="3">
        <f>Raw_data!D228</f>
        <v>45294.992094907408</v>
      </c>
      <c r="E228" s="3">
        <f>Raw_data!E228</f>
        <v>45295.053206018521</v>
      </c>
      <c r="F228" s="4">
        <f t="shared" si="18"/>
        <v>6.1111111113859806E-2</v>
      </c>
      <c r="G228" s="6">
        <f>Raw_data!F228</f>
        <v>1043</v>
      </c>
      <c r="H228" s="6">
        <f>Raw_data!G228</f>
        <v>0</v>
      </c>
      <c r="I228" t="str">
        <f>Raw_data!H228</f>
        <v>Digital Wallet</v>
      </c>
      <c r="J228" s="7" t="str">
        <f>IF(Raw_data!I228=0.1,"10%",Raw_data!I228)</f>
        <v>10%</v>
      </c>
      <c r="K228" s="6">
        <f>Raw_data!J228</f>
        <v>179</v>
      </c>
      <c r="L228" s="6">
        <f>Raw_data!K228</f>
        <v>37</v>
      </c>
      <c r="M228" s="6">
        <f>Raw_data!L228</f>
        <v>0</v>
      </c>
      <c r="N228" s="6">
        <f t="shared" si="19"/>
        <v>827</v>
      </c>
      <c r="O228" s="6">
        <f t="shared" si="20"/>
        <v>216</v>
      </c>
      <c r="P228" s="6">
        <f t="shared" si="21"/>
        <v>1043</v>
      </c>
      <c r="Q228">
        <f t="shared" si="22"/>
        <v>1</v>
      </c>
      <c r="R228">
        <f t="shared" si="23"/>
        <v>1</v>
      </c>
    </row>
    <row r="229" spans="1:18" x14ac:dyDescent="0.25">
      <c r="A229">
        <f>Raw_data!A229</f>
        <v>228</v>
      </c>
      <c r="B229" t="str">
        <f>Raw_data!B229</f>
        <v>C7295</v>
      </c>
      <c r="C229" t="str">
        <f>Raw_data!C229</f>
        <v>R2216</v>
      </c>
      <c r="D229" s="3">
        <f>Raw_data!D229</f>
        <v>45303.055023148147</v>
      </c>
      <c r="E229" s="3">
        <f>Raw_data!E229</f>
        <v>45303.111967592595</v>
      </c>
      <c r="F229" s="4">
        <f t="shared" si="18"/>
        <v>5.6944444448163267E-2</v>
      </c>
      <c r="G229" s="6">
        <f>Raw_data!F229</f>
        <v>254</v>
      </c>
      <c r="H229" s="6">
        <f>Raw_data!G229</f>
        <v>20</v>
      </c>
      <c r="I229" t="str">
        <f>Raw_data!H229</f>
        <v>Cash on Delivery</v>
      </c>
      <c r="J229" s="7" t="str">
        <f>IF(Raw_data!I229=0.1,"10%",Raw_data!I229)</f>
        <v>15% New User</v>
      </c>
      <c r="K229" s="6">
        <f>Raw_data!J229</f>
        <v>190</v>
      </c>
      <c r="L229" s="6">
        <f>Raw_data!K229</f>
        <v>18</v>
      </c>
      <c r="M229" s="6">
        <f>Raw_data!L229</f>
        <v>0</v>
      </c>
      <c r="N229" s="6">
        <f t="shared" si="19"/>
        <v>46</v>
      </c>
      <c r="O229" s="6">
        <f t="shared" si="20"/>
        <v>208</v>
      </c>
      <c r="P229" s="6">
        <f t="shared" si="21"/>
        <v>274</v>
      </c>
      <c r="Q229">
        <f t="shared" si="22"/>
        <v>1</v>
      </c>
      <c r="R229">
        <f t="shared" si="23"/>
        <v>1</v>
      </c>
    </row>
    <row r="230" spans="1:18" x14ac:dyDescent="0.25">
      <c r="A230">
        <f>Raw_data!A230</f>
        <v>229</v>
      </c>
      <c r="B230" t="str">
        <f>Raw_data!B230</f>
        <v>C7197</v>
      </c>
      <c r="C230" t="str">
        <f>Raw_data!C230</f>
        <v>R2060</v>
      </c>
      <c r="D230" s="3">
        <f>Raw_data!D230</f>
        <v>45307.707557870373</v>
      </c>
      <c r="E230" s="3">
        <f>Raw_data!E230</f>
        <v>45307.733252314814</v>
      </c>
      <c r="F230" s="4">
        <f t="shared" si="18"/>
        <v>2.569444444088731E-2</v>
      </c>
      <c r="G230" s="6">
        <f>Raw_data!F230</f>
        <v>1304</v>
      </c>
      <c r="H230" s="6">
        <f>Raw_data!G230</f>
        <v>0</v>
      </c>
      <c r="I230" t="str">
        <f>Raw_data!H230</f>
        <v>Digital Wallet</v>
      </c>
      <c r="J230" s="7" t="str">
        <f>IF(Raw_data!I230=0.1,"10%",Raw_data!I230)</f>
        <v>5% on App</v>
      </c>
      <c r="K230" s="6">
        <f>Raw_data!J230</f>
        <v>142</v>
      </c>
      <c r="L230" s="6">
        <f>Raw_data!K230</f>
        <v>41</v>
      </c>
      <c r="M230" s="6">
        <f>Raw_data!L230</f>
        <v>0</v>
      </c>
      <c r="N230" s="6">
        <f t="shared" si="19"/>
        <v>1121</v>
      </c>
      <c r="O230" s="6">
        <f t="shared" si="20"/>
        <v>183</v>
      </c>
      <c r="P230" s="6">
        <f t="shared" si="21"/>
        <v>1304</v>
      </c>
      <c r="Q230">
        <f t="shared" si="22"/>
        <v>1</v>
      </c>
      <c r="R230">
        <f t="shared" si="23"/>
        <v>2</v>
      </c>
    </row>
    <row r="231" spans="1:18" x14ac:dyDescent="0.25">
      <c r="A231">
        <f>Raw_data!A231</f>
        <v>230</v>
      </c>
      <c r="B231" t="str">
        <f>Raw_data!B231</f>
        <v>C2648</v>
      </c>
      <c r="C231" t="str">
        <f>Raw_data!C231</f>
        <v>R2938</v>
      </c>
      <c r="D231" s="3">
        <f>Raw_data!D231</f>
        <v>45317.859212962961</v>
      </c>
      <c r="E231" s="3">
        <f>Raw_data!E231</f>
        <v>45317.933518518519</v>
      </c>
      <c r="F231" s="4">
        <f t="shared" si="18"/>
        <v>7.4305555557657499E-2</v>
      </c>
      <c r="G231" s="6">
        <f>Raw_data!F231</f>
        <v>1338</v>
      </c>
      <c r="H231" s="6">
        <f>Raw_data!G231</f>
        <v>20</v>
      </c>
      <c r="I231" t="str">
        <f>Raw_data!H231</f>
        <v>Cash on Delivery</v>
      </c>
      <c r="J231" s="7" t="str">
        <f>IF(Raw_data!I231=0.1,"10%",Raw_data!I231)</f>
        <v>15% New User</v>
      </c>
      <c r="K231" s="6">
        <f>Raw_data!J231</f>
        <v>163</v>
      </c>
      <c r="L231" s="6">
        <f>Raw_data!K231</f>
        <v>15</v>
      </c>
      <c r="M231" s="6">
        <f>Raw_data!L231</f>
        <v>0</v>
      </c>
      <c r="N231" s="6">
        <f t="shared" si="19"/>
        <v>1160</v>
      </c>
      <c r="O231" s="6">
        <f t="shared" si="20"/>
        <v>178</v>
      </c>
      <c r="P231" s="6">
        <f t="shared" si="21"/>
        <v>1358</v>
      </c>
      <c r="Q231">
        <f t="shared" si="22"/>
        <v>1</v>
      </c>
      <c r="R231">
        <f t="shared" si="23"/>
        <v>2</v>
      </c>
    </row>
    <row r="232" spans="1:18" x14ac:dyDescent="0.25">
      <c r="A232">
        <f>Raw_data!A232</f>
        <v>231</v>
      </c>
      <c r="B232" t="str">
        <f>Raw_data!B232</f>
        <v>C6539</v>
      </c>
      <c r="C232" t="str">
        <f>Raw_data!C232</f>
        <v>R2615</v>
      </c>
      <c r="D232" s="3">
        <f>Raw_data!D232</f>
        <v>45300.165219907409</v>
      </c>
      <c r="E232" s="3">
        <f>Raw_data!E232</f>
        <v>45300.192303240743</v>
      </c>
      <c r="F232" s="4">
        <f t="shared" si="18"/>
        <v>2.7083333334303461E-2</v>
      </c>
      <c r="G232" s="6">
        <f>Raw_data!F232</f>
        <v>187</v>
      </c>
      <c r="H232" s="6">
        <f>Raw_data!G232</f>
        <v>40</v>
      </c>
      <c r="I232" t="str">
        <f>Raw_data!H232</f>
        <v>Cash on Delivery</v>
      </c>
      <c r="J232" s="7" t="str">
        <f>IF(Raw_data!I232=0.1,"10%",Raw_data!I232)</f>
        <v>10%</v>
      </c>
      <c r="K232" s="6">
        <f>Raw_data!J232</f>
        <v>77</v>
      </c>
      <c r="L232" s="6">
        <f>Raw_data!K232</f>
        <v>23</v>
      </c>
      <c r="M232" s="6">
        <f>Raw_data!L232</f>
        <v>0</v>
      </c>
      <c r="N232" s="6">
        <f t="shared" si="19"/>
        <v>87</v>
      </c>
      <c r="O232" s="6">
        <f t="shared" si="20"/>
        <v>100</v>
      </c>
      <c r="P232" s="6">
        <f t="shared" si="21"/>
        <v>227</v>
      </c>
      <c r="Q232">
        <f t="shared" si="22"/>
        <v>1</v>
      </c>
      <c r="R232">
        <f t="shared" si="23"/>
        <v>1</v>
      </c>
    </row>
    <row r="233" spans="1:18" x14ac:dyDescent="0.25">
      <c r="A233">
        <f>Raw_data!A233</f>
        <v>232</v>
      </c>
      <c r="B233" t="str">
        <f>Raw_data!B233</f>
        <v>C5199</v>
      </c>
      <c r="C233" t="str">
        <f>Raw_data!C233</f>
        <v>R2041</v>
      </c>
      <c r="D233" s="3">
        <f>Raw_data!D233</f>
        <v>45323.008750000001</v>
      </c>
      <c r="E233" s="3">
        <f>Raw_data!E233</f>
        <v>45323.075416666667</v>
      </c>
      <c r="F233" s="4">
        <f t="shared" si="18"/>
        <v>6.6666666665696539E-2</v>
      </c>
      <c r="G233" s="6">
        <f>Raw_data!F233</f>
        <v>1379</v>
      </c>
      <c r="H233" s="6">
        <f>Raw_data!G233</f>
        <v>40</v>
      </c>
      <c r="I233" t="str">
        <f>Raw_data!H233</f>
        <v>Cash on Delivery</v>
      </c>
      <c r="J233" s="7" t="str">
        <f>IF(Raw_data!I233=0.1,"10%",Raw_data!I233)</f>
        <v>15% New User</v>
      </c>
      <c r="K233" s="6">
        <f>Raw_data!J233</f>
        <v>192</v>
      </c>
      <c r="L233" s="6">
        <f>Raw_data!K233</f>
        <v>37</v>
      </c>
      <c r="M233" s="6">
        <f>Raw_data!L233</f>
        <v>0</v>
      </c>
      <c r="N233" s="6">
        <f t="shared" si="19"/>
        <v>1150</v>
      </c>
      <c r="O233" s="6">
        <f t="shared" si="20"/>
        <v>229</v>
      </c>
      <c r="P233" s="6">
        <f t="shared" si="21"/>
        <v>1419</v>
      </c>
      <c r="Q233">
        <f t="shared" si="22"/>
        <v>1</v>
      </c>
      <c r="R233">
        <f t="shared" si="23"/>
        <v>2</v>
      </c>
    </row>
    <row r="234" spans="1:18" x14ac:dyDescent="0.25">
      <c r="A234">
        <f>Raw_data!A234</f>
        <v>233</v>
      </c>
      <c r="B234" t="str">
        <f>Raw_data!B234</f>
        <v>C9445</v>
      </c>
      <c r="C234" t="str">
        <f>Raw_data!C234</f>
        <v>R2024</v>
      </c>
      <c r="D234" s="3">
        <f>Raw_data!D234</f>
        <v>45326.459849537037</v>
      </c>
      <c r="E234" s="3">
        <f>Raw_data!E234</f>
        <v>45326.506377314814</v>
      </c>
      <c r="F234" s="4">
        <f t="shared" si="18"/>
        <v>4.6527777776645962E-2</v>
      </c>
      <c r="G234" s="6">
        <f>Raw_data!F234</f>
        <v>1634</v>
      </c>
      <c r="H234" s="6">
        <f>Raw_data!G234</f>
        <v>20</v>
      </c>
      <c r="I234" t="str">
        <f>Raw_data!H234</f>
        <v>Credit Card</v>
      </c>
      <c r="J234" s="7" t="str">
        <f>IF(Raw_data!I234=0.1,"10%",Raw_data!I234)</f>
        <v>None</v>
      </c>
      <c r="K234" s="6">
        <f>Raw_data!J234</f>
        <v>82</v>
      </c>
      <c r="L234" s="6">
        <f>Raw_data!K234</f>
        <v>33</v>
      </c>
      <c r="M234" s="6">
        <f>Raw_data!L234</f>
        <v>0</v>
      </c>
      <c r="N234" s="6">
        <f t="shared" si="19"/>
        <v>1519</v>
      </c>
      <c r="O234" s="6">
        <f t="shared" si="20"/>
        <v>115</v>
      </c>
      <c r="P234" s="6">
        <f t="shared" si="21"/>
        <v>1654</v>
      </c>
      <c r="Q234">
        <f t="shared" si="22"/>
        <v>1</v>
      </c>
      <c r="R234">
        <f t="shared" si="23"/>
        <v>1</v>
      </c>
    </row>
    <row r="235" spans="1:18" x14ac:dyDescent="0.25">
      <c r="A235">
        <f>Raw_data!A235</f>
        <v>234</v>
      </c>
      <c r="B235" t="str">
        <f>Raw_data!B235</f>
        <v>C3557</v>
      </c>
      <c r="C235" t="str">
        <f>Raw_data!C235</f>
        <v>R2038</v>
      </c>
      <c r="D235" s="3">
        <f>Raw_data!D235</f>
        <v>45300.657557870371</v>
      </c>
      <c r="E235" s="3">
        <f>Raw_data!E235</f>
        <v>45300.697835648149</v>
      </c>
      <c r="F235" s="4">
        <f t="shared" si="18"/>
        <v>4.0277777778101154E-2</v>
      </c>
      <c r="G235" s="6">
        <f>Raw_data!F235</f>
        <v>1196</v>
      </c>
      <c r="H235" s="6">
        <f>Raw_data!G235</f>
        <v>0</v>
      </c>
      <c r="I235" t="str">
        <f>Raw_data!H235</f>
        <v>Cash on Delivery</v>
      </c>
      <c r="J235" s="7" t="str">
        <f>IF(Raw_data!I235=0.1,"10%",Raw_data!I235)</f>
        <v>15% New User</v>
      </c>
      <c r="K235" s="6">
        <f>Raw_data!J235</f>
        <v>69</v>
      </c>
      <c r="L235" s="6">
        <f>Raw_data!K235</f>
        <v>22</v>
      </c>
      <c r="M235" s="6">
        <f>Raw_data!L235</f>
        <v>0</v>
      </c>
      <c r="N235" s="6">
        <f t="shared" si="19"/>
        <v>1105</v>
      </c>
      <c r="O235" s="6">
        <f t="shared" si="20"/>
        <v>91</v>
      </c>
      <c r="P235" s="6">
        <f t="shared" si="21"/>
        <v>1196</v>
      </c>
      <c r="Q235">
        <f t="shared" si="22"/>
        <v>1</v>
      </c>
      <c r="R235">
        <f t="shared" si="23"/>
        <v>4</v>
      </c>
    </row>
    <row r="236" spans="1:18" x14ac:dyDescent="0.25">
      <c r="A236">
        <f>Raw_data!A236</f>
        <v>235</v>
      </c>
      <c r="B236" t="str">
        <f>Raw_data!B236</f>
        <v>C6592</v>
      </c>
      <c r="C236" t="str">
        <f>Raw_data!C236</f>
        <v>R2802</v>
      </c>
      <c r="D236" s="3">
        <f>Raw_data!D236</f>
        <v>45324.278819444444</v>
      </c>
      <c r="E236" s="3">
        <f>Raw_data!E236</f>
        <v>45324.309374999997</v>
      </c>
      <c r="F236" s="4">
        <f t="shared" si="18"/>
        <v>3.0555555553291924E-2</v>
      </c>
      <c r="G236" s="6">
        <f>Raw_data!F236</f>
        <v>1030</v>
      </c>
      <c r="H236" s="6">
        <f>Raw_data!G236</f>
        <v>30</v>
      </c>
      <c r="I236" t="str">
        <f>Raw_data!H236</f>
        <v>Credit Card</v>
      </c>
      <c r="J236" s="7" t="str">
        <f>IF(Raw_data!I236=0.1,"10%",Raw_data!I236)</f>
        <v>15% New User</v>
      </c>
      <c r="K236" s="6">
        <f>Raw_data!J236</f>
        <v>189</v>
      </c>
      <c r="L236" s="6">
        <f>Raw_data!K236</f>
        <v>21</v>
      </c>
      <c r="M236" s="6">
        <f>Raw_data!L236</f>
        <v>0</v>
      </c>
      <c r="N236" s="6">
        <f t="shared" si="19"/>
        <v>820</v>
      </c>
      <c r="O236" s="6">
        <f t="shared" si="20"/>
        <v>210</v>
      </c>
      <c r="P236" s="6">
        <f t="shared" si="21"/>
        <v>1060</v>
      </c>
      <c r="Q236">
        <f t="shared" si="22"/>
        <v>2</v>
      </c>
      <c r="R236">
        <f t="shared" si="23"/>
        <v>2</v>
      </c>
    </row>
    <row r="237" spans="1:18" x14ac:dyDescent="0.25">
      <c r="A237">
        <f>Raw_data!A237</f>
        <v>236</v>
      </c>
      <c r="B237" t="str">
        <f>Raw_data!B237</f>
        <v>C1098</v>
      </c>
      <c r="C237" t="str">
        <f>Raw_data!C237</f>
        <v>R2130</v>
      </c>
      <c r="D237" s="3">
        <f>Raw_data!D237</f>
        <v>45306.491643518515</v>
      </c>
      <c r="E237" s="3">
        <f>Raw_data!E237</f>
        <v>45306.572199074071</v>
      </c>
      <c r="F237" s="4">
        <f t="shared" si="18"/>
        <v>8.0555555556202307E-2</v>
      </c>
      <c r="G237" s="6">
        <f>Raw_data!F237</f>
        <v>278</v>
      </c>
      <c r="H237" s="6">
        <f>Raw_data!G237</f>
        <v>40</v>
      </c>
      <c r="I237" t="str">
        <f>Raw_data!H237</f>
        <v>Credit Card</v>
      </c>
      <c r="J237" s="7" t="str">
        <f>IF(Raw_data!I237=0.1,"10%",Raw_data!I237)</f>
        <v>5% on App</v>
      </c>
      <c r="K237" s="6">
        <f>Raw_data!J237</f>
        <v>150</v>
      </c>
      <c r="L237" s="6">
        <f>Raw_data!K237</f>
        <v>28</v>
      </c>
      <c r="M237" s="6">
        <f>Raw_data!L237</f>
        <v>0</v>
      </c>
      <c r="N237" s="6">
        <f t="shared" si="19"/>
        <v>100</v>
      </c>
      <c r="O237" s="6">
        <f t="shared" si="20"/>
        <v>178</v>
      </c>
      <c r="P237" s="6">
        <f t="shared" si="21"/>
        <v>318</v>
      </c>
      <c r="Q237">
        <f t="shared" si="22"/>
        <v>1</v>
      </c>
      <c r="R237">
        <f t="shared" si="23"/>
        <v>2</v>
      </c>
    </row>
    <row r="238" spans="1:18" x14ac:dyDescent="0.25">
      <c r="A238">
        <f>Raw_data!A238</f>
        <v>237</v>
      </c>
      <c r="B238" t="str">
        <f>Raw_data!B238</f>
        <v>C3200</v>
      </c>
      <c r="C238" t="str">
        <f>Raw_data!C238</f>
        <v>R2497</v>
      </c>
      <c r="D238" s="3">
        <f>Raw_data!D238</f>
        <v>45293.672905092593</v>
      </c>
      <c r="E238" s="3">
        <f>Raw_data!E238</f>
        <v>45293.709016203706</v>
      </c>
      <c r="F238" s="4">
        <f t="shared" si="18"/>
        <v>3.6111111112404615E-2</v>
      </c>
      <c r="G238" s="6">
        <f>Raw_data!F238</f>
        <v>311</v>
      </c>
      <c r="H238" s="6">
        <f>Raw_data!G238</f>
        <v>40</v>
      </c>
      <c r="I238" t="str">
        <f>Raw_data!H238</f>
        <v>Cash on Delivery</v>
      </c>
      <c r="J238" s="7" t="str">
        <f>IF(Raw_data!I238=0.1,"10%",Raw_data!I238)</f>
        <v>None</v>
      </c>
      <c r="K238" s="6">
        <f>Raw_data!J238</f>
        <v>72</v>
      </c>
      <c r="L238" s="6">
        <f>Raw_data!K238</f>
        <v>30</v>
      </c>
      <c r="M238" s="6">
        <f>Raw_data!L238</f>
        <v>0</v>
      </c>
      <c r="N238" s="6">
        <f t="shared" si="19"/>
        <v>209</v>
      </c>
      <c r="O238" s="6">
        <f t="shared" si="20"/>
        <v>102</v>
      </c>
      <c r="P238" s="6">
        <f t="shared" si="21"/>
        <v>351</v>
      </c>
      <c r="Q238">
        <f t="shared" si="22"/>
        <v>1</v>
      </c>
      <c r="R238">
        <f t="shared" si="23"/>
        <v>2</v>
      </c>
    </row>
    <row r="239" spans="1:18" x14ac:dyDescent="0.25">
      <c r="A239">
        <f>Raw_data!A239</f>
        <v>238</v>
      </c>
      <c r="B239" t="str">
        <f>Raw_data!B239</f>
        <v>C3961</v>
      </c>
      <c r="C239" t="str">
        <f>Raw_data!C239</f>
        <v>R2228</v>
      </c>
      <c r="D239" s="3">
        <f>Raw_data!D239</f>
        <v>45296.91002314815</v>
      </c>
      <c r="E239" s="3">
        <f>Raw_data!E239</f>
        <v>45296.98710648148</v>
      </c>
      <c r="F239" s="4">
        <f t="shared" si="18"/>
        <v>7.7083333329937886E-2</v>
      </c>
      <c r="G239" s="6">
        <f>Raw_data!F239</f>
        <v>1928</v>
      </c>
      <c r="H239" s="6">
        <f>Raw_data!G239</f>
        <v>30</v>
      </c>
      <c r="I239" t="str">
        <f>Raw_data!H239</f>
        <v>Digital Wallet</v>
      </c>
      <c r="J239" s="7" t="str">
        <f>IF(Raw_data!I239=0.1,"10%",Raw_data!I239)</f>
        <v>None</v>
      </c>
      <c r="K239" s="6">
        <f>Raw_data!J239</f>
        <v>161</v>
      </c>
      <c r="L239" s="6">
        <f>Raw_data!K239</f>
        <v>36</v>
      </c>
      <c r="M239" s="6">
        <f>Raw_data!L239</f>
        <v>0</v>
      </c>
      <c r="N239" s="6">
        <f t="shared" si="19"/>
        <v>1731</v>
      </c>
      <c r="O239" s="6">
        <f t="shared" si="20"/>
        <v>197</v>
      </c>
      <c r="P239" s="6">
        <f t="shared" si="21"/>
        <v>1958</v>
      </c>
      <c r="Q239">
        <f t="shared" si="22"/>
        <v>1</v>
      </c>
      <c r="R239">
        <f t="shared" si="23"/>
        <v>2</v>
      </c>
    </row>
    <row r="240" spans="1:18" x14ac:dyDescent="0.25">
      <c r="A240">
        <f>Raw_data!A240</f>
        <v>239</v>
      </c>
      <c r="B240" t="str">
        <f>Raw_data!B240</f>
        <v>C5973</v>
      </c>
      <c r="C240" t="str">
        <f>Raw_data!C240</f>
        <v>R2107</v>
      </c>
      <c r="D240" s="3">
        <f>Raw_data!D240</f>
        <v>45329.820914351854</v>
      </c>
      <c r="E240" s="3">
        <f>Raw_data!E240</f>
        <v>45329.872997685183</v>
      </c>
      <c r="F240" s="4">
        <f t="shared" si="18"/>
        <v>5.2083333328482695E-2</v>
      </c>
      <c r="G240" s="6">
        <f>Raw_data!F240</f>
        <v>1357</v>
      </c>
      <c r="H240" s="6">
        <f>Raw_data!G240</f>
        <v>20</v>
      </c>
      <c r="I240" t="str">
        <f>Raw_data!H240</f>
        <v>Digital Wallet</v>
      </c>
      <c r="J240" s="7" t="str">
        <f>IF(Raw_data!I240=0.1,"10%",Raw_data!I240)</f>
        <v>15% New User</v>
      </c>
      <c r="K240" s="6">
        <f>Raw_data!J240</f>
        <v>63</v>
      </c>
      <c r="L240" s="6">
        <f>Raw_data!K240</f>
        <v>28</v>
      </c>
      <c r="M240" s="6">
        <f>Raw_data!L240</f>
        <v>0</v>
      </c>
      <c r="N240" s="6">
        <f t="shared" si="19"/>
        <v>1266</v>
      </c>
      <c r="O240" s="6">
        <f t="shared" si="20"/>
        <v>91</v>
      </c>
      <c r="P240" s="6">
        <f t="shared" si="21"/>
        <v>1377</v>
      </c>
      <c r="Q240">
        <f t="shared" si="22"/>
        <v>1</v>
      </c>
      <c r="R240">
        <f t="shared" si="23"/>
        <v>2</v>
      </c>
    </row>
    <row r="241" spans="1:18" x14ac:dyDescent="0.25">
      <c r="A241">
        <f>Raw_data!A241</f>
        <v>240</v>
      </c>
      <c r="B241" t="str">
        <f>Raw_data!B241</f>
        <v>C5433</v>
      </c>
      <c r="C241" t="str">
        <f>Raw_data!C241</f>
        <v>R2171</v>
      </c>
      <c r="D241" s="3">
        <f>Raw_data!D241</f>
        <v>45329.737511574072</v>
      </c>
      <c r="E241" s="3">
        <f>Raw_data!E241</f>
        <v>45329.815289351849</v>
      </c>
      <c r="F241" s="4">
        <f t="shared" si="18"/>
        <v>7.7777777776645962E-2</v>
      </c>
      <c r="G241" s="6">
        <f>Raw_data!F241</f>
        <v>564</v>
      </c>
      <c r="H241" s="6">
        <f>Raw_data!G241</f>
        <v>0</v>
      </c>
      <c r="I241" t="str">
        <f>Raw_data!H241</f>
        <v>Digital Wallet</v>
      </c>
      <c r="J241" s="7" t="str">
        <f>IF(Raw_data!I241=0.1,"10%",Raw_data!I241)</f>
        <v>5% on App</v>
      </c>
      <c r="K241" s="6">
        <f>Raw_data!J241</f>
        <v>140</v>
      </c>
      <c r="L241" s="6">
        <f>Raw_data!K241</f>
        <v>33</v>
      </c>
      <c r="M241" s="6">
        <f>Raw_data!L241</f>
        <v>0</v>
      </c>
      <c r="N241" s="6">
        <f t="shared" si="19"/>
        <v>391</v>
      </c>
      <c r="O241" s="6">
        <f t="shared" si="20"/>
        <v>173</v>
      </c>
      <c r="P241" s="6">
        <f t="shared" si="21"/>
        <v>564</v>
      </c>
      <c r="Q241">
        <f t="shared" si="22"/>
        <v>1</v>
      </c>
      <c r="R241">
        <f t="shared" si="23"/>
        <v>1</v>
      </c>
    </row>
    <row r="242" spans="1:18" x14ac:dyDescent="0.25">
      <c r="A242">
        <f>Raw_data!A242</f>
        <v>241</v>
      </c>
      <c r="B242" t="str">
        <f>Raw_data!B242</f>
        <v>C3869</v>
      </c>
      <c r="C242" t="str">
        <f>Raw_data!C242</f>
        <v>R2434</v>
      </c>
      <c r="D242" s="3">
        <f>Raw_data!D242</f>
        <v>45308.422418981485</v>
      </c>
      <c r="E242" s="3">
        <f>Raw_data!E242</f>
        <v>45308.462002314816</v>
      </c>
      <c r="F242" s="4">
        <f t="shared" si="18"/>
        <v>3.9583333331393078E-2</v>
      </c>
      <c r="G242" s="6">
        <f>Raw_data!F242</f>
        <v>1874</v>
      </c>
      <c r="H242" s="6">
        <f>Raw_data!G242</f>
        <v>20</v>
      </c>
      <c r="I242" t="str">
        <f>Raw_data!H242</f>
        <v>Cash on Delivery</v>
      </c>
      <c r="J242" s="7" t="str">
        <f>IF(Raw_data!I242=0.1,"10%",Raw_data!I242)</f>
        <v>15% New User</v>
      </c>
      <c r="K242" s="6">
        <f>Raw_data!J242</f>
        <v>126</v>
      </c>
      <c r="L242" s="6">
        <f>Raw_data!K242</f>
        <v>35</v>
      </c>
      <c r="M242" s="6">
        <f>Raw_data!L242</f>
        <v>0</v>
      </c>
      <c r="N242" s="6">
        <f t="shared" si="19"/>
        <v>1713</v>
      </c>
      <c r="O242" s="6">
        <f t="shared" si="20"/>
        <v>161</v>
      </c>
      <c r="P242" s="6">
        <f t="shared" si="21"/>
        <v>1894</v>
      </c>
      <c r="Q242">
        <f t="shared" si="22"/>
        <v>1</v>
      </c>
      <c r="R242">
        <f t="shared" si="23"/>
        <v>1</v>
      </c>
    </row>
    <row r="243" spans="1:18" x14ac:dyDescent="0.25">
      <c r="A243">
        <f>Raw_data!A243</f>
        <v>242</v>
      </c>
      <c r="B243" t="str">
        <f>Raw_data!B243</f>
        <v>C1956</v>
      </c>
      <c r="C243" t="str">
        <f>Raw_data!C243</f>
        <v>R2477</v>
      </c>
      <c r="D243" s="3">
        <f>Raw_data!D243</f>
        <v>45316.414826388886</v>
      </c>
      <c r="E243" s="3">
        <f>Raw_data!E243</f>
        <v>45316.453020833331</v>
      </c>
      <c r="F243" s="4">
        <f t="shared" si="18"/>
        <v>3.8194444445252884E-2</v>
      </c>
      <c r="G243" s="6">
        <f>Raw_data!F243</f>
        <v>1346</v>
      </c>
      <c r="H243" s="6">
        <f>Raw_data!G243</f>
        <v>50</v>
      </c>
      <c r="I243" t="str">
        <f>Raw_data!H243</f>
        <v>Digital Wallet</v>
      </c>
      <c r="J243" s="7" t="str">
        <f>IF(Raw_data!I243=0.1,"10%",Raw_data!I243)</f>
        <v>15% New User</v>
      </c>
      <c r="K243" s="6">
        <f>Raw_data!J243</f>
        <v>134</v>
      </c>
      <c r="L243" s="6">
        <f>Raw_data!K243</f>
        <v>37</v>
      </c>
      <c r="M243" s="6">
        <f>Raw_data!L243</f>
        <v>100</v>
      </c>
      <c r="N243" s="6">
        <f t="shared" si="19"/>
        <v>1175</v>
      </c>
      <c r="O243" s="6">
        <f t="shared" si="20"/>
        <v>71</v>
      </c>
      <c r="P243" s="6">
        <f t="shared" si="21"/>
        <v>1396</v>
      </c>
      <c r="Q243">
        <f t="shared" si="22"/>
        <v>1</v>
      </c>
      <c r="R243">
        <f t="shared" si="23"/>
        <v>2</v>
      </c>
    </row>
    <row r="244" spans="1:18" x14ac:dyDescent="0.25">
      <c r="A244">
        <f>Raw_data!A244</f>
        <v>243</v>
      </c>
      <c r="B244" t="str">
        <f>Raw_data!B244</f>
        <v>C9352</v>
      </c>
      <c r="C244" t="str">
        <f>Raw_data!C244</f>
        <v>R2101</v>
      </c>
      <c r="D244" s="3">
        <f>Raw_data!D244</f>
        <v>45300.105740740742</v>
      </c>
      <c r="E244" s="3">
        <f>Raw_data!E244</f>
        <v>45300.132824074077</v>
      </c>
      <c r="F244" s="4">
        <f t="shared" si="18"/>
        <v>2.7083333334303461E-2</v>
      </c>
      <c r="G244" s="6">
        <f>Raw_data!F244</f>
        <v>730</v>
      </c>
      <c r="H244" s="6">
        <f>Raw_data!G244</f>
        <v>40</v>
      </c>
      <c r="I244" t="str">
        <f>Raw_data!H244</f>
        <v>Credit Card</v>
      </c>
      <c r="J244" s="7" t="str">
        <f>IF(Raw_data!I244=0.1,"10%",Raw_data!I244)</f>
        <v>10%</v>
      </c>
      <c r="K244" s="6">
        <f>Raw_data!J244</f>
        <v>158</v>
      </c>
      <c r="L244" s="6">
        <f>Raw_data!K244</f>
        <v>27</v>
      </c>
      <c r="M244" s="6">
        <f>Raw_data!L244</f>
        <v>0</v>
      </c>
      <c r="N244" s="6">
        <f t="shared" si="19"/>
        <v>545</v>
      </c>
      <c r="O244" s="6">
        <f t="shared" si="20"/>
        <v>185</v>
      </c>
      <c r="P244" s="6">
        <f t="shared" si="21"/>
        <v>770</v>
      </c>
      <c r="Q244">
        <f t="shared" si="22"/>
        <v>1</v>
      </c>
      <c r="R244">
        <f t="shared" si="23"/>
        <v>2</v>
      </c>
    </row>
    <row r="245" spans="1:18" x14ac:dyDescent="0.25">
      <c r="A245">
        <f>Raw_data!A245</f>
        <v>244</v>
      </c>
      <c r="B245" t="str">
        <f>Raw_data!B245</f>
        <v>C6699</v>
      </c>
      <c r="C245" t="str">
        <f>Raw_data!C245</f>
        <v>R2865</v>
      </c>
      <c r="D245" s="3">
        <f>Raw_data!D245</f>
        <v>45300.089768518519</v>
      </c>
      <c r="E245" s="3">
        <f>Raw_data!E245</f>
        <v>45300.142546296294</v>
      </c>
      <c r="F245" s="4">
        <f t="shared" si="18"/>
        <v>5.2777777775190771E-2</v>
      </c>
      <c r="G245" s="6">
        <f>Raw_data!F245</f>
        <v>924</v>
      </c>
      <c r="H245" s="6">
        <f>Raw_data!G245</f>
        <v>50</v>
      </c>
      <c r="I245" t="str">
        <f>Raw_data!H245</f>
        <v>Digital Wallet</v>
      </c>
      <c r="J245" s="7" t="str">
        <f>IF(Raw_data!I245=0.1,"10%",Raw_data!I245)</f>
        <v>10%</v>
      </c>
      <c r="K245" s="6">
        <f>Raw_data!J245</f>
        <v>80</v>
      </c>
      <c r="L245" s="6">
        <f>Raw_data!K245</f>
        <v>45</v>
      </c>
      <c r="M245" s="6">
        <f>Raw_data!L245</f>
        <v>50</v>
      </c>
      <c r="N245" s="6">
        <f t="shared" si="19"/>
        <v>799</v>
      </c>
      <c r="O245" s="6">
        <f t="shared" si="20"/>
        <v>75</v>
      </c>
      <c r="P245" s="6">
        <f t="shared" si="21"/>
        <v>974</v>
      </c>
      <c r="Q245">
        <f t="shared" si="22"/>
        <v>1</v>
      </c>
      <c r="R245">
        <f t="shared" si="23"/>
        <v>4</v>
      </c>
    </row>
    <row r="246" spans="1:18" x14ac:dyDescent="0.25">
      <c r="A246">
        <f>Raw_data!A246</f>
        <v>245</v>
      </c>
      <c r="B246" t="str">
        <f>Raw_data!B246</f>
        <v>C7944</v>
      </c>
      <c r="C246" t="str">
        <f>Raw_data!C246</f>
        <v>R2523</v>
      </c>
      <c r="D246" s="3">
        <f>Raw_data!D246</f>
        <v>45315.023738425924</v>
      </c>
      <c r="E246" s="3">
        <f>Raw_data!E246</f>
        <v>45315.046655092592</v>
      </c>
      <c r="F246" s="4">
        <f t="shared" si="18"/>
        <v>2.2916666668606922E-2</v>
      </c>
      <c r="G246" s="6">
        <f>Raw_data!F246</f>
        <v>1387</v>
      </c>
      <c r="H246" s="6">
        <f>Raw_data!G246</f>
        <v>40</v>
      </c>
      <c r="I246" t="str">
        <f>Raw_data!H246</f>
        <v>Cash on Delivery</v>
      </c>
      <c r="J246" s="7" t="str">
        <f>IF(Raw_data!I246=0.1,"10%",Raw_data!I246)</f>
        <v>5% on App</v>
      </c>
      <c r="K246" s="6">
        <f>Raw_data!J246</f>
        <v>171</v>
      </c>
      <c r="L246" s="6">
        <f>Raw_data!K246</f>
        <v>38</v>
      </c>
      <c r="M246" s="6">
        <f>Raw_data!L246</f>
        <v>50</v>
      </c>
      <c r="N246" s="6">
        <f t="shared" si="19"/>
        <v>1178</v>
      </c>
      <c r="O246" s="6">
        <f t="shared" si="20"/>
        <v>159</v>
      </c>
      <c r="P246" s="6">
        <f t="shared" si="21"/>
        <v>1427</v>
      </c>
      <c r="Q246">
        <f t="shared" si="22"/>
        <v>1</v>
      </c>
      <c r="R246">
        <f t="shared" si="23"/>
        <v>5</v>
      </c>
    </row>
    <row r="247" spans="1:18" x14ac:dyDescent="0.25">
      <c r="A247">
        <f>Raw_data!A247</f>
        <v>246</v>
      </c>
      <c r="B247" t="str">
        <f>Raw_data!B247</f>
        <v>C5493</v>
      </c>
      <c r="C247" t="str">
        <f>Raw_data!C247</f>
        <v>R2274</v>
      </c>
      <c r="D247" s="3">
        <f>Raw_data!D247</f>
        <v>45292.999594907407</v>
      </c>
      <c r="E247" s="3">
        <f>Raw_data!E247</f>
        <v>45293.057928240742</v>
      </c>
      <c r="F247" s="4">
        <f t="shared" si="18"/>
        <v>5.8333333334303461E-2</v>
      </c>
      <c r="G247" s="6">
        <f>Raw_data!F247</f>
        <v>1330</v>
      </c>
      <c r="H247" s="6">
        <f>Raw_data!G247</f>
        <v>40</v>
      </c>
      <c r="I247" t="str">
        <f>Raw_data!H247</f>
        <v>Digital Wallet</v>
      </c>
      <c r="J247" s="7" t="str">
        <f>IF(Raw_data!I247=0.1,"10%",Raw_data!I247)</f>
        <v>50 off Promo</v>
      </c>
      <c r="K247" s="6">
        <f>Raw_data!J247</f>
        <v>156</v>
      </c>
      <c r="L247" s="6">
        <f>Raw_data!K247</f>
        <v>26</v>
      </c>
      <c r="M247" s="6">
        <f>Raw_data!L247</f>
        <v>0</v>
      </c>
      <c r="N247" s="6">
        <f t="shared" si="19"/>
        <v>1148</v>
      </c>
      <c r="O247" s="6">
        <f t="shared" si="20"/>
        <v>182</v>
      </c>
      <c r="P247" s="6">
        <f t="shared" si="21"/>
        <v>1370</v>
      </c>
      <c r="Q247">
        <f t="shared" si="22"/>
        <v>1</v>
      </c>
      <c r="R247">
        <f t="shared" si="23"/>
        <v>1</v>
      </c>
    </row>
    <row r="248" spans="1:18" x14ac:dyDescent="0.25">
      <c r="A248">
        <f>Raw_data!A248</f>
        <v>247</v>
      </c>
      <c r="B248" t="str">
        <f>Raw_data!B248</f>
        <v>C5911</v>
      </c>
      <c r="C248" t="str">
        <f>Raw_data!C248</f>
        <v>R2612</v>
      </c>
      <c r="D248" s="3">
        <f>Raw_data!D248</f>
        <v>45316.123819444445</v>
      </c>
      <c r="E248" s="3">
        <f>Raw_data!E248</f>
        <v>45316.189791666664</v>
      </c>
      <c r="F248" s="4">
        <f t="shared" si="18"/>
        <v>6.5972222218988463E-2</v>
      </c>
      <c r="G248" s="6">
        <f>Raw_data!F248</f>
        <v>706</v>
      </c>
      <c r="H248" s="6">
        <f>Raw_data!G248</f>
        <v>50</v>
      </c>
      <c r="I248" t="str">
        <f>Raw_data!H248</f>
        <v>Credit Card</v>
      </c>
      <c r="J248" s="7" t="str">
        <f>IF(Raw_data!I248=0.1,"10%",Raw_data!I248)</f>
        <v>10%</v>
      </c>
      <c r="K248" s="6">
        <f>Raw_data!J248</f>
        <v>103</v>
      </c>
      <c r="L248" s="6">
        <f>Raw_data!K248</f>
        <v>13</v>
      </c>
      <c r="M248" s="6">
        <f>Raw_data!L248</f>
        <v>0</v>
      </c>
      <c r="N248" s="6">
        <f t="shared" si="19"/>
        <v>590</v>
      </c>
      <c r="O248" s="6">
        <f t="shared" si="20"/>
        <v>116</v>
      </c>
      <c r="P248" s="6">
        <f t="shared" si="21"/>
        <v>756</v>
      </c>
      <c r="Q248">
        <f t="shared" si="22"/>
        <v>1</v>
      </c>
      <c r="R248">
        <f t="shared" si="23"/>
        <v>1</v>
      </c>
    </row>
    <row r="249" spans="1:18" x14ac:dyDescent="0.25">
      <c r="A249">
        <f>Raw_data!A249</f>
        <v>248</v>
      </c>
      <c r="B249" t="str">
        <f>Raw_data!B249</f>
        <v>C4987</v>
      </c>
      <c r="C249" t="str">
        <f>Raw_data!C249</f>
        <v>R2043</v>
      </c>
      <c r="D249" s="3">
        <f>Raw_data!D249</f>
        <v>45300.737847222219</v>
      </c>
      <c r="E249" s="3">
        <f>Raw_data!E249</f>
        <v>45300.804513888892</v>
      </c>
      <c r="F249" s="4">
        <f t="shared" si="18"/>
        <v>6.6666666672972497E-2</v>
      </c>
      <c r="G249" s="6">
        <f>Raw_data!F249</f>
        <v>984</v>
      </c>
      <c r="H249" s="6">
        <f>Raw_data!G249</f>
        <v>50</v>
      </c>
      <c r="I249" t="str">
        <f>Raw_data!H249</f>
        <v>Cash on Delivery</v>
      </c>
      <c r="J249" s="7" t="str">
        <f>IF(Raw_data!I249=0.1,"10%",Raw_data!I249)</f>
        <v>50 off Promo</v>
      </c>
      <c r="K249" s="6">
        <f>Raw_data!J249</f>
        <v>182</v>
      </c>
      <c r="L249" s="6">
        <f>Raw_data!K249</f>
        <v>38</v>
      </c>
      <c r="M249" s="6">
        <f>Raw_data!L249</f>
        <v>0</v>
      </c>
      <c r="N249" s="6">
        <f t="shared" si="19"/>
        <v>764</v>
      </c>
      <c r="O249" s="6">
        <f t="shared" si="20"/>
        <v>220</v>
      </c>
      <c r="P249" s="6">
        <f t="shared" si="21"/>
        <v>1034</v>
      </c>
      <c r="Q249">
        <f t="shared" si="22"/>
        <v>1</v>
      </c>
      <c r="R249">
        <f t="shared" si="23"/>
        <v>1</v>
      </c>
    </row>
    <row r="250" spans="1:18" x14ac:dyDescent="0.25">
      <c r="A250">
        <f>Raw_data!A250</f>
        <v>249</v>
      </c>
      <c r="B250" t="str">
        <f>Raw_data!B250</f>
        <v>C7015</v>
      </c>
      <c r="C250" t="str">
        <f>Raw_data!C250</f>
        <v>R2954</v>
      </c>
      <c r="D250" s="3">
        <f>Raw_data!D250</f>
        <v>45314.558125000003</v>
      </c>
      <c r="E250" s="3">
        <f>Raw_data!E250</f>
        <v>45314.583124999997</v>
      </c>
      <c r="F250" s="4">
        <f t="shared" si="18"/>
        <v>2.4999999994179234E-2</v>
      </c>
      <c r="G250" s="6">
        <f>Raw_data!F250</f>
        <v>1857</v>
      </c>
      <c r="H250" s="6">
        <f>Raw_data!G250</f>
        <v>20</v>
      </c>
      <c r="I250" t="str">
        <f>Raw_data!H250</f>
        <v>Digital Wallet</v>
      </c>
      <c r="J250" s="7" t="str">
        <f>IF(Raw_data!I250=0.1,"10%",Raw_data!I250)</f>
        <v>None</v>
      </c>
      <c r="K250" s="6">
        <f>Raw_data!J250</f>
        <v>190</v>
      </c>
      <c r="L250" s="6">
        <f>Raw_data!K250</f>
        <v>13</v>
      </c>
      <c r="M250" s="6">
        <f>Raw_data!L250</f>
        <v>0</v>
      </c>
      <c r="N250" s="6">
        <f t="shared" si="19"/>
        <v>1654</v>
      </c>
      <c r="O250" s="6">
        <f t="shared" si="20"/>
        <v>203</v>
      </c>
      <c r="P250" s="6">
        <f t="shared" si="21"/>
        <v>1877</v>
      </c>
      <c r="Q250">
        <f t="shared" si="22"/>
        <v>1</v>
      </c>
      <c r="R250">
        <f t="shared" si="23"/>
        <v>3</v>
      </c>
    </row>
    <row r="251" spans="1:18" x14ac:dyDescent="0.25">
      <c r="A251">
        <f>Raw_data!A251</f>
        <v>250</v>
      </c>
      <c r="B251" t="str">
        <f>Raw_data!B251</f>
        <v>C2218</v>
      </c>
      <c r="C251" t="str">
        <f>Raw_data!C251</f>
        <v>R2816</v>
      </c>
      <c r="D251" s="3">
        <f>Raw_data!D251</f>
        <v>45294.027905092589</v>
      </c>
      <c r="E251" s="3">
        <f>Raw_data!E251</f>
        <v>45294.086238425924</v>
      </c>
      <c r="F251" s="4">
        <f t="shared" si="18"/>
        <v>5.8333333334303461E-2</v>
      </c>
      <c r="G251" s="6">
        <f>Raw_data!F251</f>
        <v>465</v>
      </c>
      <c r="H251" s="6">
        <f>Raw_data!G251</f>
        <v>50</v>
      </c>
      <c r="I251" t="str">
        <f>Raw_data!H251</f>
        <v>Cash on Delivery</v>
      </c>
      <c r="J251" s="7" t="str">
        <f>IF(Raw_data!I251=0.1,"10%",Raw_data!I251)</f>
        <v>10%</v>
      </c>
      <c r="K251" s="6">
        <f>Raw_data!J251</f>
        <v>92</v>
      </c>
      <c r="L251" s="6">
        <f>Raw_data!K251</f>
        <v>19</v>
      </c>
      <c r="M251" s="6">
        <f>Raw_data!L251</f>
        <v>100</v>
      </c>
      <c r="N251" s="6">
        <f t="shared" si="19"/>
        <v>354</v>
      </c>
      <c r="O251" s="6">
        <f t="shared" si="20"/>
        <v>11</v>
      </c>
      <c r="P251" s="6">
        <f t="shared" si="21"/>
        <v>515</v>
      </c>
      <c r="Q251">
        <f t="shared" si="22"/>
        <v>1</v>
      </c>
      <c r="R251">
        <f t="shared" si="23"/>
        <v>3</v>
      </c>
    </row>
    <row r="252" spans="1:18" x14ac:dyDescent="0.25">
      <c r="A252">
        <f>Raw_data!A252</f>
        <v>251</v>
      </c>
      <c r="B252" t="str">
        <f>Raw_data!B252</f>
        <v>C5496</v>
      </c>
      <c r="C252" t="str">
        <f>Raw_data!C252</f>
        <v>R2956</v>
      </c>
      <c r="D252" s="3">
        <f>Raw_data!D252</f>
        <v>45329.249027777776</v>
      </c>
      <c r="E252" s="3">
        <f>Raw_data!E252</f>
        <v>45329.32472222222</v>
      </c>
      <c r="F252" s="4">
        <f t="shared" si="18"/>
        <v>7.5694444443797693E-2</v>
      </c>
      <c r="G252" s="6">
        <f>Raw_data!F252</f>
        <v>375</v>
      </c>
      <c r="H252" s="6">
        <f>Raw_data!G252</f>
        <v>20</v>
      </c>
      <c r="I252" t="str">
        <f>Raw_data!H252</f>
        <v>Cash on Delivery</v>
      </c>
      <c r="J252" s="7" t="str">
        <f>IF(Raw_data!I252=0.1,"10%",Raw_data!I252)</f>
        <v>10%</v>
      </c>
      <c r="K252" s="6">
        <f>Raw_data!J252</f>
        <v>138</v>
      </c>
      <c r="L252" s="6">
        <f>Raw_data!K252</f>
        <v>34</v>
      </c>
      <c r="M252" s="6">
        <f>Raw_data!L252</f>
        <v>0</v>
      </c>
      <c r="N252" s="6">
        <f t="shared" si="19"/>
        <v>203</v>
      </c>
      <c r="O252" s="6">
        <f t="shared" si="20"/>
        <v>172</v>
      </c>
      <c r="P252" s="6">
        <f t="shared" si="21"/>
        <v>395</v>
      </c>
      <c r="Q252">
        <f t="shared" si="22"/>
        <v>1</v>
      </c>
      <c r="R252">
        <f t="shared" si="23"/>
        <v>3</v>
      </c>
    </row>
    <row r="253" spans="1:18" x14ac:dyDescent="0.25">
      <c r="A253">
        <f>Raw_data!A253</f>
        <v>252</v>
      </c>
      <c r="B253" t="str">
        <f>Raw_data!B253</f>
        <v>C5735</v>
      </c>
      <c r="C253" t="str">
        <f>Raw_data!C253</f>
        <v>R2016</v>
      </c>
      <c r="D253" s="3">
        <f>Raw_data!D253</f>
        <v>45292.736643518518</v>
      </c>
      <c r="E253" s="3">
        <f>Raw_data!E253</f>
        <v>45292.778310185182</v>
      </c>
      <c r="F253" s="4">
        <f t="shared" si="18"/>
        <v>4.1666666664241347E-2</v>
      </c>
      <c r="G253" s="6">
        <f>Raw_data!F253</f>
        <v>479</v>
      </c>
      <c r="H253" s="6">
        <f>Raw_data!G253</f>
        <v>20</v>
      </c>
      <c r="I253" t="str">
        <f>Raw_data!H253</f>
        <v>Cash on Delivery</v>
      </c>
      <c r="J253" s="7" t="str">
        <f>IF(Raw_data!I253=0.1,"10%",Raw_data!I253)</f>
        <v>5% on App</v>
      </c>
      <c r="K253" s="6">
        <f>Raw_data!J253</f>
        <v>164</v>
      </c>
      <c r="L253" s="6">
        <f>Raw_data!K253</f>
        <v>40</v>
      </c>
      <c r="M253" s="6">
        <f>Raw_data!L253</f>
        <v>0</v>
      </c>
      <c r="N253" s="6">
        <f t="shared" si="19"/>
        <v>275</v>
      </c>
      <c r="O253" s="6">
        <f t="shared" si="20"/>
        <v>204</v>
      </c>
      <c r="P253" s="6">
        <f t="shared" si="21"/>
        <v>499</v>
      </c>
      <c r="Q253">
        <f t="shared" si="22"/>
        <v>1</v>
      </c>
      <c r="R253">
        <f t="shared" si="23"/>
        <v>5</v>
      </c>
    </row>
    <row r="254" spans="1:18" x14ac:dyDescent="0.25">
      <c r="A254">
        <f>Raw_data!A254</f>
        <v>253</v>
      </c>
      <c r="B254" t="str">
        <f>Raw_data!B254</f>
        <v>C5555</v>
      </c>
      <c r="C254" t="str">
        <f>Raw_data!C254</f>
        <v>R2329</v>
      </c>
      <c r="D254" s="3">
        <f>Raw_data!D254</f>
        <v>45295.076365740744</v>
      </c>
      <c r="E254" s="3">
        <f>Raw_data!E254</f>
        <v>45295.147893518515</v>
      </c>
      <c r="F254" s="4">
        <f t="shared" si="18"/>
        <v>7.1527777770825196E-2</v>
      </c>
      <c r="G254" s="6">
        <f>Raw_data!F254</f>
        <v>1866</v>
      </c>
      <c r="H254" s="6">
        <f>Raw_data!G254</f>
        <v>20</v>
      </c>
      <c r="I254" t="str">
        <f>Raw_data!H254</f>
        <v>Digital Wallet</v>
      </c>
      <c r="J254" s="7" t="str">
        <f>IF(Raw_data!I254=0.1,"10%",Raw_data!I254)</f>
        <v>50 off Promo</v>
      </c>
      <c r="K254" s="6">
        <f>Raw_data!J254</f>
        <v>148</v>
      </c>
      <c r="L254" s="6">
        <f>Raw_data!K254</f>
        <v>12</v>
      </c>
      <c r="M254" s="6">
        <f>Raw_data!L254</f>
        <v>0</v>
      </c>
      <c r="N254" s="6">
        <f t="shared" si="19"/>
        <v>1706</v>
      </c>
      <c r="O254" s="6">
        <f t="shared" si="20"/>
        <v>160</v>
      </c>
      <c r="P254" s="6">
        <f t="shared" si="21"/>
        <v>1886</v>
      </c>
      <c r="Q254">
        <f t="shared" si="22"/>
        <v>2</v>
      </c>
      <c r="R254">
        <f t="shared" si="23"/>
        <v>3</v>
      </c>
    </row>
    <row r="255" spans="1:18" x14ac:dyDescent="0.25">
      <c r="A255">
        <f>Raw_data!A255</f>
        <v>254</v>
      </c>
      <c r="B255" t="str">
        <f>Raw_data!B255</f>
        <v>C9050</v>
      </c>
      <c r="C255" t="str">
        <f>Raw_data!C255</f>
        <v>R2568</v>
      </c>
      <c r="D255" s="3">
        <f>Raw_data!D255</f>
        <v>45309.71775462963</v>
      </c>
      <c r="E255" s="3">
        <f>Raw_data!E255</f>
        <v>45309.751087962963</v>
      </c>
      <c r="F255" s="4">
        <f t="shared" si="18"/>
        <v>3.3333333332848269E-2</v>
      </c>
      <c r="G255" s="6">
        <f>Raw_data!F255</f>
        <v>1432</v>
      </c>
      <c r="H255" s="6">
        <f>Raw_data!G255</f>
        <v>40</v>
      </c>
      <c r="I255" t="str">
        <f>Raw_data!H255</f>
        <v>Cash on Delivery</v>
      </c>
      <c r="J255" s="7" t="str">
        <f>IF(Raw_data!I255=0.1,"10%",Raw_data!I255)</f>
        <v>10%</v>
      </c>
      <c r="K255" s="6">
        <f>Raw_data!J255</f>
        <v>96</v>
      </c>
      <c r="L255" s="6">
        <f>Raw_data!K255</f>
        <v>11</v>
      </c>
      <c r="M255" s="6">
        <f>Raw_data!L255</f>
        <v>0</v>
      </c>
      <c r="N255" s="6">
        <f t="shared" si="19"/>
        <v>1325</v>
      </c>
      <c r="O255" s="6">
        <f t="shared" si="20"/>
        <v>107</v>
      </c>
      <c r="P255" s="6">
        <f t="shared" si="21"/>
        <v>1472</v>
      </c>
      <c r="Q255">
        <f t="shared" si="22"/>
        <v>1</v>
      </c>
      <c r="R255">
        <f t="shared" si="23"/>
        <v>1</v>
      </c>
    </row>
    <row r="256" spans="1:18" x14ac:dyDescent="0.25">
      <c r="A256">
        <f>Raw_data!A256</f>
        <v>255</v>
      </c>
      <c r="B256" t="str">
        <f>Raw_data!B256</f>
        <v>C4446</v>
      </c>
      <c r="C256" t="str">
        <f>Raw_data!C256</f>
        <v>R2822</v>
      </c>
      <c r="D256" s="3">
        <f>Raw_data!D256</f>
        <v>45313.455451388887</v>
      </c>
      <c r="E256" s="3">
        <f>Raw_data!E256</f>
        <v>45313.495034722226</v>
      </c>
      <c r="F256" s="4">
        <f t="shared" si="18"/>
        <v>3.9583333338669036E-2</v>
      </c>
      <c r="G256" s="6">
        <f>Raw_data!F256</f>
        <v>1754</v>
      </c>
      <c r="H256" s="6">
        <f>Raw_data!G256</f>
        <v>40</v>
      </c>
      <c r="I256" t="str">
        <f>Raw_data!H256</f>
        <v>Digital Wallet</v>
      </c>
      <c r="J256" s="7" t="str">
        <f>IF(Raw_data!I256=0.1,"10%",Raw_data!I256)</f>
        <v>10%</v>
      </c>
      <c r="K256" s="6">
        <f>Raw_data!J256</f>
        <v>120</v>
      </c>
      <c r="L256" s="6">
        <f>Raw_data!K256</f>
        <v>34</v>
      </c>
      <c r="M256" s="6">
        <f>Raw_data!L256</f>
        <v>0</v>
      </c>
      <c r="N256" s="6">
        <f t="shared" si="19"/>
        <v>1600</v>
      </c>
      <c r="O256" s="6">
        <f t="shared" si="20"/>
        <v>154</v>
      </c>
      <c r="P256" s="6">
        <f t="shared" si="21"/>
        <v>1794</v>
      </c>
      <c r="Q256">
        <f t="shared" si="22"/>
        <v>1</v>
      </c>
      <c r="R256">
        <f t="shared" si="23"/>
        <v>2</v>
      </c>
    </row>
    <row r="257" spans="1:18" x14ac:dyDescent="0.25">
      <c r="A257">
        <f>Raw_data!A257</f>
        <v>256</v>
      </c>
      <c r="B257" t="str">
        <f>Raw_data!B257</f>
        <v>C2045</v>
      </c>
      <c r="C257" t="str">
        <f>Raw_data!C257</f>
        <v>R2496</v>
      </c>
      <c r="D257" s="3">
        <f>Raw_data!D257</f>
        <v>45313.798333333332</v>
      </c>
      <c r="E257" s="3">
        <f>Raw_data!E257</f>
        <v>45313.874722222223</v>
      </c>
      <c r="F257" s="4">
        <f t="shared" si="18"/>
        <v>7.6388888890505768E-2</v>
      </c>
      <c r="G257" s="6">
        <f>Raw_data!F257</f>
        <v>1391</v>
      </c>
      <c r="H257" s="6">
        <f>Raw_data!G257</f>
        <v>50</v>
      </c>
      <c r="I257" t="str">
        <f>Raw_data!H257</f>
        <v>Credit Card</v>
      </c>
      <c r="J257" s="7" t="str">
        <f>IF(Raw_data!I257=0.1,"10%",Raw_data!I257)</f>
        <v>5% on App</v>
      </c>
      <c r="K257" s="6">
        <f>Raw_data!J257</f>
        <v>116</v>
      </c>
      <c r="L257" s="6">
        <f>Raw_data!K257</f>
        <v>15</v>
      </c>
      <c r="M257" s="6">
        <f>Raw_data!L257</f>
        <v>0</v>
      </c>
      <c r="N257" s="6">
        <f t="shared" si="19"/>
        <v>1260</v>
      </c>
      <c r="O257" s="6">
        <f t="shared" si="20"/>
        <v>131</v>
      </c>
      <c r="P257" s="6">
        <f t="shared" si="21"/>
        <v>1441</v>
      </c>
      <c r="Q257">
        <f t="shared" si="22"/>
        <v>1</v>
      </c>
      <c r="R257">
        <f t="shared" si="23"/>
        <v>2</v>
      </c>
    </row>
    <row r="258" spans="1:18" x14ac:dyDescent="0.25">
      <c r="A258">
        <f>Raw_data!A258</f>
        <v>257</v>
      </c>
      <c r="B258" t="str">
        <f>Raw_data!B258</f>
        <v>C7893</v>
      </c>
      <c r="C258" t="str">
        <f>Raw_data!C258</f>
        <v>R2814</v>
      </c>
      <c r="D258" s="3">
        <f>Raw_data!D258</f>
        <v>45324.716249999998</v>
      </c>
      <c r="E258" s="3">
        <f>Raw_data!E258</f>
        <v>45324.755833333336</v>
      </c>
      <c r="F258" s="4">
        <f t="shared" si="18"/>
        <v>3.9583333338669036E-2</v>
      </c>
      <c r="G258" s="6">
        <f>Raw_data!F258</f>
        <v>1044</v>
      </c>
      <c r="H258" s="6">
        <f>Raw_data!G258</f>
        <v>40</v>
      </c>
      <c r="I258" t="str">
        <f>Raw_data!H258</f>
        <v>Digital Wallet</v>
      </c>
      <c r="J258" s="7" t="str">
        <f>IF(Raw_data!I258=0.1,"10%",Raw_data!I258)</f>
        <v>5% on App</v>
      </c>
      <c r="K258" s="6">
        <f>Raw_data!J258</f>
        <v>111</v>
      </c>
      <c r="L258" s="6">
        <f>Raw_data!K258</f>
        <v>35</v>
      </c>
      <c r="M258" s="6">
        <f>Raw_data!L258</f>
        <v>100</v>
      </c>
      <c r="N258" s="6">
        <f t="shared" si="19"/>
        <v>898</v>
      </c>
      <c r="O258" s="6">
        <f t="shared" si="20"/>
        <v>46</v>
      </c>
      <c r="P258" s="6">
        <f t="shared" si="21"/>
        <v>1084</v>
      </c>
      <c r="Q258">
        <f t="shared" si="22"/>
        <v>1</v>
      </c>
      <c r="R258">
        <f t="shared" si="23"/>
        <v>2</v>
      </c>
    </row>
    <row r="259" spans="1:18" x14ac:dyDescent="0.25">
      <c r="A259">
        <f>Raw_data!A259</f>
        <v>258</v>
      </c>
      <c r="B259" t="str">
        <f>Raw_data!B259</f>
        <v>C2693</v>
      </c>
      <c r="C259" t="str">
        <f>Raw_data!C259</f>
        <v>R2011</v>
      </c>
      <c r="D259" s="3">
        <f>Raw_data!D259</f>
        <v>45326.966400462959</v>
      </c>
      <c r="E259" s="3">
        <f>Raw_data!E259</f>
        <v>45326.9997337963</v>
      </c>
      <c r="F259" s="4">
        <f t="shared" ref="F259:F322" si="24">E259-D259</f>
        <v>3.3333333340124227E-2</v>
      </c>
      <c r="G259" s="6">
        <f>Raw_data!F259</f>
        <v>1908</v>
      </c>
      <c r="H259" s="6">
        <f>Raw_data!G259</f>
        <v>50</v>
      </c>
      <c r="I259" t="str">
        <f>Raw_data!H259</f>
        <v>Credit Card</v>
      </c>
      <c r="J259" s="7" t="str">
        <f>IF(Raw_data!I259=0.1,"10%",Raw_data!I259)</f>
        <v>50 off Promo</v>
      </c>
      <c r="K259" s="6">
        <f>Raw_data!J259</f>
        <v>158</v>
      </c>
      <c r="L259" s="6">
        <f>Raw_data!K259</f>
        <v>17</v>
      </c>
      <c r="M259" s="6">
        <f>Raw_data!L259</f>
        <v>0</v>
      </c>
      <c r="N259" s="6">
        <f t="shared" ref="N259:N322" si="25">G259-K259-L259</f>
        <v>1733</v>
      </c>
      <c r="O259" s="6">
        <f t="shared" ref="O259:O322" si="26">K259+L259-M259</f>
        <v>175</v>
      </c>
      <c r="P259" s="6">
        <f t="shared" ref="P259:P322" si="27">G259+H259</f>
        <v>1958</v>
      </c>
      <c r="Q259">
        <f t="shared" ref="Q259:Q322" si="28">COUNTIF(B$2:B$1001,B259)</f>
        <v>2</v>
      </c>
      <c r="R259">
        <f t="shared" ref="R259:R322" si="29">COUNTIF(C$2:C$1001,C259)</f>
        <v>2</v>
      </c>
    </row>
    <row r="260" spans="1:18" x14ac:dyDescent="0.25">
      <c r="A260">
        <f>Raw_data!A260</f>
        <v>259</v>
      </c>
      <c r="B260" t="str">
        <f>Raw_data!B260</f>
        <v>C4436</v>
      </c>
      <c r="C260" t="str">
        <f>Raw_data!C260</f>
        <v>R2317</v>
      </c>
      <c r="D260" s="3">
        <f>Raw_data!D260</f>
        <v>45329.794710648152</v>
      </c>
      <c r="E260" s="3">
        <f>Raw_data!E260</f>
        <v>45329.8752662037</v>
      </c>
      <c r="F260" s="4">
        <f t="shared" si="24"/>
        <v>8.055555554892635E-2</v>
      </c>
      <c r="G260" s="6">
        <f>Raw_data!F260</f>
        <v>1187</v>
      </c>
      <c r="H260" s="6">
        <f>Raw_data!G260</f>
        <v>40</v>
      </c>
      <c r="I260" t="str">
        <f>Raw_data!H260</f>
        <v>Digital Wallet</v>
      </c>
      <c r="J260" s="7" t="str">
        <f>IF(Raw_data!I260=0.1,"10%",Raw_data!I260)</f>
        <v>None</v>
      </c>
      <c r="K260" s="6">
        <f>Raw_data!J260</f>
        <v>86</v>
      </c>
      <c r="L260" s="6">
        <f>Raw_data!K260</f>
        <v>44</v>
      </c>
      <c r="M260" s="6">
        <f>Raw_data!L260</f>
        <v>0</v>
      </c>
      <c r="N260" s="6">
        <f t="shared" si="25"/>
        <v>1057</v>
      </c>
      <c r="O260" s="6">
        <f t="shared" si="26"/>
        <v>130</v>
      </c>
      <c r="P260" s="6">
        <f t="shared" si="27"/>
        <v>1227</v>
      </c>
      <c r="Q260">
        <f t="shared" si="28"/>
        <v>1</v>
      </c>
      <c r="R260">
        <f t="shared" si="29"/>
        <v>6</v>
      </c>
    </row>
    <row r="261" spans="1:18" x14ac:dyDescent="0.25">
      <c r="A261">
        <f>Raw_data!A261</f>
        <v>260</v>
      </c>
      <c r="B261" t="str">
        <f>Raw_data!B261</f>
        <v>C9754</v>
      </c>
      <c r="C261" t="str">
        <f>Raw_data!C261</f>
        <v>R2591</v>
      </c>
      <c r="D261" s="3">
        <f>Raw_data!D261</f>
        <v>45293.801886574074</v>
      </c>
      <c r="E261" s="3">
        <f>Raw_data!E261</f>
        <v>45293.835914351854</v>
      </c>
      <c r="F261" s="4">
        <f t="shared" si="24"/>
        <v>3.4027777779556345E-2</v>
      </c>
      <c r="G261" s="6">
        <f>Raw_data!F261</f>
        <v>909</v>
      </c>
      <c r="H261" s="6">
        <f>Raw_data!G261</f>
        <v>0</v>
      </c>
      <c r="I261" t="str">
        <f>Raw_data!H261</f>
        <v>Cash on Delivery</v>
      </c>
      <c r="J261" s="7" t="str">
        <f>IF(Raw_data!I261=0.1,"10%",Raw_data!I261)</f>
        <v>None</v>
      </c>
      <c r="K261" s="6">
        <f>Raw_data!J261</f>
        <v>168</v>
      </c>
      <c r="L261" s="6">
        <f>Raw_data!K261</f>
        <v>36</v>
      </c>
      <c r="M261" s="6">
        <f>Raw_data!L261</f>
        <v>0</v>
      </c>
      <c r="N261" s="6">
        <f t="shared" si="25"/>
        <v>705</v>
      </c>
      <c r="O261" s="6">
        <f t="shared" si="26"/>
        <v>204</v>
      </c>
      <c r="P261" s="6">
        <f t="shared" si="27"/>
        <v>909</v>
      </c>
      <c r="Q261">
        <f t="shared" si="28"/>
        <v>1</v>
      </c>
      <c r="R261">
        <f t="shared" si="29"/>
        <v>2</v>
      </c>
    </row>
    <row r="262" spans="1:18" x14ac:dyDescent="0.25">
      <c r="A262">
        <f>Raw_data!A262</f>
        <v>261</v>
      </c>
      <c r="B262" t="str">
        <f>Raw_data!B262</f>
        <v>C6895</v>
      </c>
      <c r="C262" t="str">
        <f>Raw_data!C262</f>
        <v>R2215</v>
      </c>
      <c r="D262" s="3">
        <f>Raw_data!D262</f>
        <v>45326.762442129628</v>
      </c>
      <c r="E262" s="3">
        <f>Raw_data!E262</f>
        <v>45326.791608796295</v>
      </c>
      <c r="F262" s="4">
        <f t="shared" si="24"/>
        <v>2.9166666667151731E-2</v>
      </c>
      <c r="G262" s="6">
        <f>Raw_data!F262</f>
        <v>1473</v>
      </c>
      <c r="H262" s="6">
        <f>Raw_data!G262</f>
        <v>0</v>
      </c>
      <c r="I262" t="str">
        <f>Raw_data!H262</f>
        <v>Digital Wallet</v>
      </c>
      <c r="J262" s="7" t="str">
        <f>IF(Raw_data!I262=0.1,"10%",Raw_data!I262)</f>
        <v>15% New User</v>
      </c>
      <c r="K262" s="6">
        <f>Raw_data!J262</f>
        <v>135</v>
      </c>
      <c r="L262" s="6">
        <f>Raw_data!K262</f>
        <v>34</v>
      </c>
      <c r="M262" s="6">
        <f>Raw_data!L262</f>
        <v>0</v>
      </c>
      <c r="N262" s="6">
        <f t="shared" si="25"/>
        <v>1304</v>
      </c>
      <c r="O262" s="6">
        <f t="shared" si="26"/>
        <v>169</v>
      </c>
      <c r="P262" s="6">
        <f t="shared" si="27"/>
        <v>1473</v>
      </c>
      <c r="Q262">
        <f t="shared" si="28"/>
        <v>1</v>
      </c>
      <c r="R262">
        <f t="shared" si="29"/>
        <v>3</v>
      </c>
    </row>
    <row r="263" spans="1:18" x14ac:dyDescent="0.25">
      <c r="A263">
        <f>Raw_data!A263</f>
        <v>262</v>
      </c>
      <c r="B263" t="str">
        <f>Raw_data!B263</f>
        <v>C4354</v>
      </c>
      <c r="C263" t="str">
        <f>Raw_data!C263</f>
        <v>R2338</v>
      </c>
      <c r="D263" s="3">
        <f>Raw_data!D263</f>
        <v>45299.317812499998</v>
      </c>
      <c r="E263" s="3">
        <f>Raw_data!E263</f>
        <v>45299.391423611109</v>
      </c>
      <c r="F263" s="4">
        <f t="shared" si="24"/>
        <v>7.3611111110949423E-2</v>
      </c>
      <c r="G263" s="6">
        <f>Raw_data!F263</f>
        <v>1024</v>
      </c>
      <c r="H263" s="6">
        <f>Raw_data!G263</f>
        <v>50</v>
      </c>
      <c r="I263" t="str">
        <f>Raw_data!H263</f>
        <v>Cash on Delivery</v>
      </c>
      <c r="J263" s="7" t="str">
        <f>IF(Raw_data!I263=0.1,"10%",Raw_data!I263)</f>
        <v>10%</v>
      </c>
      <c r="K263" s="6">
        <f>Raw_data!J263</f>
        <v>175</v>
      </c>
      <c r="L263" s="6">
        <f>Raw_data!K263</f>
        <v>27</v>
      </c>
      <c r="M263" s="6">
        <f>Raw_data!L263</f>
        <v>0</v>
      </c>
      <c r="N263" s="6">
        <f t="shared" si="25"/>
        <v>822</v>
      </c>
      <c r="O263" s="6">
        <f t="shared" si="26"/>
        <v>202</v>
      </c>
      <c r="P263" s="6">
        <f t="shared" si="27"/>
        <v>1074</v>
      </c>
      <c r="Q263">
        <f t="shared" si="28"/>
        <v>1</v>
      </c>
      <c r="R263">
        <f t="shared" si="29"/>
        <v>1</v>
      </c>
    </row>
    <row r="264" spans="1:18" x14ac:dyDescent="0.25">
      <c r="A264">
        <f>Raw_data!A264</f>
        <v>263</v>
      </c>
      <c r="B264" t="str">
        <f>Raw_data!B264</f>
        <v>C1225</v>
      </c>
      <c r="C264" t="str">
        <f>Raw_data!C264</f>
        <v>R2775</v>
      </c>
      <c r="D264" s="3">
        <f>Raw_data!D264</f>
        <v>45298.208761574075</v>
      </c>
      <c r="E264" s="3">
        <f>Raw_data!E264</f>
        <v>45298.258761574078</v>
      </c>
      <c r="F264" s="4">
        <f t="shared" si="24"/>
        <v>5.0000000002910383E-2</v>
      </c>
      <c r="G264" s="6">
        <f>Raw_data!F264</f>
        <v>593</v>
      </c>
      <c r="H264" s="6">
        <f>Raw_data!G264</f>
        <v>40</v>
      </c>
      <c r="I264" t="str">
        <f>Raw_data!H264</f>
        <v>Credit Card</v>
      </c>
      <c r="J264" s="7" t="str">
        <f>IF(Raw_data!I264=0.1,"10%",Raw_data!I264)</f>
        <v>50 off Promo</v>
      </c>
      <c r="K264" s="6">
        <f>Raw_data!J264</f>
        <v>185</v>
      </c>
      <c r="L264" s="6">
        <f>Raw_data!K264</f>
        <v>10</v>
      </c>
      <c r="M264" s="6">
        <f>Raw_data!L264</f>
        <v>0</v>
      </c>
      <c r="N264" s="6">
        <f t="shared" si="25"/>
        <v>398</v>
      </c>
      <c r="O264" s="6">
        <f t="shared" si="26"/>
        <v>195</v>
      </c>
      <c r="P264" s="6">
        <f t="shared" si="27"/>
        <v>633</v>
      </c>
      <c r="Q264">
        <f t="shared" si="28"/>
        <v>1</v>
      </c>
      <c r="R264">
        <f t="shared" si="29"/>
        <v>1</v>
      </c>
    </row>
    <row r="265" spans="1:18" x14ac:dyDescent="0.25">
      <c r="A265">
        <f>Raw_data!A265</f>
        <v>264</v>
      </c>
      <c r="B265" t="str">
        <f>Raw_data!B265</f>
        <v>C5893</v>
      </c>
      <c r="C265" t="str">
        <f>Raw_data!C265</f>
        <v>R2990</v>
      </c>
      <c r="D265" s="3">
        <f>Raw_data!D265</f>
        <v>45308.328958333332</v>
      </c>
      <c r="E265" s="3">
        <f>Raw_data!E265</f>
        <v>45308.356736111113</v>
      </c>
      <c r="F265" s="4">
        <f t="shared" si="24"/>
        <v>2.7777777781011537E-2</v>
      </c>
      <c r="G265" s="6">
        <f>Raw_data!F265</f>
        <v>1646</v>
      </c>
      <c r="H265" s="6">
        <f>Raw_data!G265</f>
        <v>40</v>
      </c>
      <c r="I265" t="str">
        <f>Raw_data!H265</f>
        <v>Digital Wallet</v>
      </c>
      <c r="J265" s="7" t="str">
        <f>IF(Raw_data!I265=0.1,"10%",Raw_data!I265)</f>
        <v>10%</v>
      </c>
      <c r="K265" s="6">
        <f>Raw_data!J265</f>
        <v>101</v>
      </c>
      <c r="L265" s="6">
        <f>Raw_data!K265</f>
        <v>48</v>
      </c>
      <c r="M265" s="6">
        <f>Raw_data!L265</f>
        <v>150</v>
      </c>
      <c r="N265" s="6">
        <f t="shared" si="25"/>
        <v>1497</v>
      </c>
      <c r="O265" s="6">
        <f t="shared" si="26"/>
        <v>-1</v>
      </c>
      <c r="P265" s="6">
        <f t="shared" si="27"/>
        <v>1686</v>
      </c>
      <c r="Q265">
        <f t="shared" si="28"/>
        <v>1</v>
      </c>
      <c r="R265">
        <f t="shared" si="29"/>
        <v>1</v>
      </c>
    </row>
    <row r="266" spans="1:18" x14ac:dyDescent="0.25">
      <c r="A266">
        <f>Raw_data!A266</f>
        <v>265</v>
      </c>
      <c r="B266" t="str">
        <f>Raw_data!B266</f>
        <v>C8022</v>
      </c>
      <c r="C266" t="str">
        <f>Raw_data!C266</f>
        <v>R2660</v>
      </c>
      <c r="D266" s="3">
        <f>Raw_data!D266</f>
        <v>45307.855428240742</v>
      </c>
      <c r="E266" s="3">
        <f>Raw_data!E266</f>
        <v>45307.908900462964</v>
      </c>
      <c r="F266" s="4">
        <f t="shared" si="24"/>
        <v>5.3472222221898846E-2</v>
      </c>
      <c r="G266" s="6">
        <f>Raw_data!F266</f>
        <v>1221</v>
      </c>
      <c r="H266" s="6">
        <f>Raw_data!G266</f>
        <v>20</v>
      </c>
      <c r="I266" t="str">
        <f>Raw_data!H266</f>
        <v>Cash on Delivery</v>
      </c>
      <c r="J266" s="7" t="str">
        <f>IF(Raw_data!I266=0.1,"10%",Raw_data!I266)</f>
        <v>50 off Promo</v>
      </c>
      <c r="K266" s="6">
        <f>Raw_data!J266</f>
        <v>140</v>
      </c>
      <c r="L266" s="6">
        <f>Raw_data!K266</f>
        <v>12</v>
      </c>
      <c r="M266" s="6">
        <f>Raw_data!L266</f>
        <v>100</v>
      </c>
      <c r="N266" s="6">
        <f t="shared" si="25"/>
        <v>1069</v>
      </c>
      <c r="O266" s="6">
        <f t="shared" si="26"/>
        <v>52</v>
      </c>
      <c r="P266" s="6">
        <f t="shared" si="27"/>
        <v>1241</v>
      </c>
      <c r="Q266">
        <f t="shared" si="28"/>
        <v>1</v>
      </c>
      <c r="R266">
        <f t="shared" si="29"/>
        <v>1</v>
      </c>
    </row>
    <row r="267" spans="1:18" x14ac:dyDescent="0.25">
      <c r="A267">
        <f>Raw_data!A267</f>
        <v>266</v>
      </c>
      <c r="B267" t="str">
        <f>Raw_data!B267</f>
        <v>C6600</v>
      </c>
      <c r="C267" t="str">
        <f>Raw_data!C267</f>
        <v>R2080</v>
      </c>
      <c r="D267" s="3">
        <f>Raw_data!D267</f>
        <v>45312.970370370371</v>
      </c>
      <c r="E267" s="3">
        <f>Raw_data!E267</f>
        <v>45313.000925925924</v>
      </c>
      <c r="F267" s="4">
        <f t="shared" si="24"/>
        <v>3.0555555553291924E-2</v>
      </c>
      <c r="G267" s="6">
        <f>Raw_data!F267</f>
        <v>1194</v>
      </c>
      <c r="H267" s="6">
        <f>Raw_data!G267</f>
        <v>30</v>
      </c>
      <c r="I267" t="str">
        <f>Raw_data!H267</f>
        <v>Credit Card</v>
      </c>
      <c r="J267" s="7" t="str">
        <f>IF(Raw_data!I267=0.1,"10%",Raw_data!I267)</f>
        <v>50 off Promo</v>
      </c>
      <c r="K267" s="6">
        <f>Raw_data!J267</f>
        <v>82</v>
      </c>
      <c r="L267" s="6">
        <f>Raw_data!K267</f>
        <v>13</v>
      </c>
      <c r="M267" s="6">
        <f>Raw_data!L267</f>
        <v>0</v>
      </c>
      <c r="N267" s="6">
        <f t="shared" si="25"/>
        <v>1099</v>
      </c>
      <c r="O267" s="6">
        <f t="shared" si="26"/>
        <v>95</v>
      </c>
      <c r="P267" s="6">
        <f t="shared" si="27"/>
        <v>1224</v>
      </c>
      <c r="Q267">
        <f t="shared" si="28"/>
        <v>1</v>
      </c>
      <c r="R267">
        <f t="shared" si="29"/>
        <v>1</v>
      </c>
    </row>
    <row r="268" spans="1:18" x14ac:dyDescent="0.25">
      <c r="A268">
        <f>Raw_data!A268</f>
        <v>267</v>
      </c>
      <c r="B268" t="str">
        <f>Raw_data!B268</f>
        <v>C8996</v>
      </c>
      <c r="C268" t="str">
        <f>Raw_data!C268</f>
        <v>R2726</v>
      </c>
      <c r="D268" s="3">
        <f>Raw_data!D268</f>
        <v>45315.006423611114</v>
      </c>
      <c r="E268" s="3">
        <f>Raw_data!E268</f>
        <v>45315.038368055553</v>
      </c>
      <c r="F268" s="4">
        <f t="shared" si="24"/>
        <v>3.1944444439432118E-2</v>
      </c>
      <c r="G268" s="6">
        <f>Raw_data!F268</f>
        <v>463</v>
      </c>
      <c r="H268" s="6">
        <f>Raw_data!G268</f>
        <v>50</v>
      </c>
      <c r="I268" t="str">
        <f>Raw_data!H268</f>
        <v>Credit Card</v>
      </c>
      <c r="J268" s="7" t="str">
        <f>IF(Raw_data!I268=0.1,"10%",Raw_data!I268)</f>
        <v>50 off Promo</v>
      </c>
      <c r="K268" s="6">
        <f>Raw_data!J268</f>
        <v>130</v>
      </c>
      <c r="L268" s="6">
        <f>Raw_data!K268</f>
        <v>50</v>
      </c>
      <c r="M268" s="6">
        <f>Raw_data!L268</f>
        <v>0</v>
      </c>
      <c r="N268" s="6">
        <f t="shared" si="25"/>
        <v>283</v>
      </c>
      <c r="O268" s="6">
        <f t="shared" si="26"/>
        <v>180</v>
      </c>
      <c r="P268" s="6">
        <f t="shared" si="27"/>
        <v>513</v>
      </c>
      <c r="Q268">
        <f t="shared" si="28"/>
        <v>1</v>
      </c>
      <c r="R268">
        <f t="shared" si="29"/>
        <v>5</v>
      </c>
    </row>
    <row r="269" spans="1:18" x14ac:dyDescent="0.25">
      <c r="A269">
        <f>Raw_data!A269</f>
        <v>268</v>
      </c>
      <c r="B269" t="str">
        <f>Raw_data!B269</f>
        <v>C8683</v>
      </c>
      <c r="C269" t="str">
        <f>Raw_data!C269</f>
        <v>R2484</v>
      </c>
      <c r="D269" s="3">
        <f>Raw_data!D269</f>
        <v>45314.060636574075</v>
      </c>
      <c r="E269" s="3">
        <f>Raw_data!E269</f>
        <v>45314.118275462963</v>
      </c>
      <c r="F269" s="4">
        <f t="shared" si="24"/>
        <v>5.7638888887595385E-2</v>
      </c>
      <c r="G269" s="6">
        <f>Raw_data!F269</f>
        <v>669</v>
      </c>
      <c r="H269" s="6">
        <f>Raw_data!G269</f>
        <v>30</v>
      </c>
      <c r="I269" t="str">
        <f>Raw_data!H269</f>
        <v>Digital Wallet</v>
      </c>
      <c r="J269" s="7" t="str">
        <f>IF(Raw_data!I269=0.1,"10%",Raw_data!I269)</f>
        <v>10%</v>
      </c>
      <c r="K269" s="6">
        <f>Raw_data!J269</f>
        <v>91</v>
      </c>
      <c r="L269" s="6">
        <f>Raw_data!K269</f>
        <v>46</v>
      </c>
      <c r="M269" s="6">
        <f>Raw_data!L269</f>
        <v>0</v>
      </c>
      <c r="N269" s="6">
        <f t="shared" si="25"/>
        <v>532</v>
      </c>
      <c r="O269" s="6">
        <f t="shared" si="26"/>
        <v>137</v>
      </c>
      <c r="P269" s="6">
        <f t="shared" si="27"/>
        <v>699</v>
      </c>
      <c r="Q269">
        <f t="shared" si="28"/>
        <v>1</v>
      </c>
      <c r="R269">
        <f t="shared" si="29"/>
        <v>1</v>
      </c>
    </row>
    <row r="270" spans="1:18" x14ac:dyDescent="0.25">
      <c r="A270">
        <f>Raw_data!A270</f>
        <v>269</v>
      </c>
      <c r="B270" t="str">
        <f>Raw_data!B270</f>
        <v>C5642</v>
      </c>
      <c r="C270" t="str">
        <f>Raw_data!C270</f>
        <v>R2373</v>
      </c>
      <c r="D270" s="3">
        <f>Raw_data!D270</f>
        <v>45298.561990740738</v>
      </c>
      <c r="E270" s="3">
        <f>Raw_data!E270</f>
        <v>45298.616851851853</v>
      </c>
      <c r="F270" s="4">
        <f t="shared" si="24"/>
        <v>5.4861111115314998E-2</v>
      </c>
      <c r="G270" s="6">
        <f>Raw_data!F270</f>
        <v>1925</v>
      </c>
      <c r="H270" s="6">
        <f>Raw_data!G270</f>
        <v>30</v>
      </c>
      <c r="I270" t="str">
        <f>Raw_data!H270</f>
        <v>Credit Card</v>
      </c>
      <c r="J270" s="7" t="str">
        <f>IF(Raw_data!I270=0.1,"10%",Raw_data!I270)</f>
        <v>5% on App</v>
      </c>
      <c r="K270" s="6">
        <f>Raw_data!J270</f>
        <v>161</v>
      </c>
      <c r="L270" s="6">
        <f>Raw_data!K270</f>
        <v>24</v>
      </c>
      <c r="M270" s="6">
        <f>Raw_data!L270</f>
        <v>0</v>
      </c>
      <c r="N270" s="6">
        <f t="shared" si="25"/>
        <v>1740</v>
      </c>
      <c r="O270" s="6">
        <f t="shared" si="26"/>
        <v>185</v>
      </c>
      <c r="P270" s="6">
        <f t="shared" si="27"/>
        <v>1955</v>
      </c>
      <c r="Q270">
        <f t="shared" si="28"/>
        <v>1</v>
      </c>
      <c r="R270">
        <f t="shared" si="29"/>
        <v>1</v>
      </c>
    </row>
    <row r="271" spans="1:18" x14ac:dyDescent="0.25">
      <c r="A271">
        <f>Raw_data!A271</f>
        <v>270</v>
      </c>
      <c r="B271" t="str">
        <f>Raw_data!B271</f>
        <v>C8679</v>
      </c>
      <c r="C271" t="str">
        <f>Raw_data!C271</f>
        <v>R2975</v>
      </c>
      <c r="D271" s="3">
        <f>Raw_data!D271</f>
        <v>45308.845659722225</v>
      </c>
      <c r="E271" s="3">
        <f>Raw_data!E271</f>
        <v>45308.885243055556</v>
      </c>
      <c r="F271" s="4">
        <f t="shared" si="24"/>
        <v>3.9583333331393078E-2</v>
      </c>
      <c r="G271" s="6">
        <f>Raw_data!F271</f>
        <v>862</v>
      </c>
      <c r="H271" s="6">
        <f>Raw_data!G271</f>
        <v>50</v>
      </c>
      <c r="I271" t="str">
        <f>Raw_data!H271</f>
        <v>Cash on Delivery</v>
      </c>
      <c r="J271" s="7" t="str">
        <f>IF(Raw_data!I271=0.1,"10%",Raw_data!I271)</f>
        <v>10%</v>
      </c>
      <c r="K271" s="6">
        <f>Raw_data!J271</f>
        <v>175</v>
      </c>
      <c r="L271" s="6">
        <f>Raw_data!K271</f>
        <v>17</v>
      </c>
      <c r="M271" s="6">
        <f>Raw_data!L271</f>
        <v>0</v>
      </c>
      <c r="N271" s="6">
        <f t="shared" si="25"/>
        <v>670</v>
      </c>
      <c r="O271" s="6">
        <f t="shared" si="26"/>
        <v>192</v>
      </c>
      <c r="P271" s="6">
        <f t="shared" si="27"/>
        <v>912</v>
      </c>
      <c r="Q271">
        <f t="shared" si="28"/>
        <v>1</v>
      </c>
      <c r="R271">
        <f t="shared" si="29"/>
        <v>2</v>
      </c>
    </row>
    <row r="272" spans="1:18" x14ac:dyDescent="0.25">
      <c r="A272">
        <f>Raw_data!A272</f>
        <v>271</v>
      </c>
      <c r="B272" t="str">
        <f>Raw_data!B272</f>
        <v>C9208</v>
      </c>
      <c r="C272" t="str">
        <f>Raw_data!C272</f>
        <v>R2709</v>
      </c>
      <c r="D272" s="3">
        <f>Raw_data!D272</f>
        <v>45303.506597222222</v>
      </c>
      <c r="E272" s="3">
        <f>Raw_data!E272</f>
        <v>45303.584374999999</v>
      </c>
      <c r="F272" s="4">
        <f t="shared" si="24"/>
        <v>7.7777777776645962E-2</v>
      </c>
      <c r="G272" s="6">
        <f>Raw_data!F272</f>
        <v>375</v>
      </c>
      <c r="H272" s="6">
        <f>Raw_data!G272</f>
        <v>40</v>
      </c>
      <c r="I272" t="str">
        <f>Raw_data!H272</f>
        <v>Credit Card</v>
      </c>
      <c r="J272" s="7" t="str">
        <f>IF(Raw_data!I272=0.1,"10%",Raw_data!I272)</f>
        <v>50 off Promo</v>
      </c>
      <c r="K272" s="6">
        <f>Raw_data!J272</f>
        <v>185</v>
      </c>
      <c r="L272" s="6">
        <f>Raw_data!K272</f>
        <v>47</v>
      </c>
      <c r="M272" s="6">
        <f>Raw_data!L272</f>
        <v>0</v>
      </c>
      <c r="N272" s="6">
        <f t="shared" si="25"/>
        <v>143</v>
      </c>
      <c r="O272" s="6">
        <f t="shared" si="26"/>
        <v>232</v>
      </c>
      <c r="P272" s="6">
        <f t="shared" si="27"/>
        <v>415</v>
      </c>
      <c r="Q272">
        <f t="shared" si="28"/>
        <v>1</v>
      </c>
      <c r="R272">
        <f t="shared" si="29"/>
        <v>2</v>
      </c>
    </row>
    <row r="273" spans="1:18" x14ac:dyDescent="0.25">
      <c r="A273">
        <f>Raw_data!A273</f>
        <v>272</v>
      </c>
      <c r="B273" t="str">
        <f>Raw_data!B273</f>
        <v>C8339</v>
      </c>
      <c r="C273" t="str">
        <f>Raw_data!C273</f>
        <v>R2199</v>
      </c>
      <c r="D273" s="3">
        <f>Raw_data!D273</f>
        <v>45323.361620370371</v>
      </c>
      <c r="E273" s="3">
        <f>Raw_data!E273</f>
        <v>45323.38453703704</v>
      </c>
      <c r="F273" s="4">
        <f t="shared" si="24"/>
        <v>2.2916666668606922E-2</v>
      </c>
      <c r="G273" s="6">
        <f>Raw_data!F273</f>
        <v>149</v>
      </c>
      <c r="H273" s="6">
        <f>Raw_data!G273</f>
        <v>50</v>
      </c>
      <c r="I273" t="str">
        <f>Raw_data!H273</f>
        <v>Credit Card</v>
      </c>
      <c r="J273" s="7" t="str">
        <f>IF(Raw_data!I273=0.1,"10%",Raw_data!I273)</f>
        <v>15% New User</v>
      </c>
      <c r="K273" s="6">
        <f>Raw_data!J273</f>
        <v>200</v>
      </c>
      <c r="L273" s="6">
        <f>Raw_data!K273</f>
        <v>28</v>
      </c>
      <c r="M273" s="6">
        <f>Raw_data!L273</f>
        <v>0</v>
      </c>
      <c r="N273" s="6">
        <f t="shared" si="25"/>
        <v>-79</v>
      </c>
      <c r="O273" s="6">
        <f t="shared" si="26"/>
        <v>228</v>
      </c>
      <c r="P273" s="6">
        <f t="shared" si="27"/>
        <v>199</v>
      </c>
      <c r="Q273">
        <f t="shared" si="28"/>
        <v>1</v>
      </c>
      <c r="R273">
        <f t="shared" si="29"/>
        <v>1</v>
      </c>
    </row>
    <row r="274" spans="1:18" x14ac:dyDescent="0.25">
      <c r="A274">
        <f>Raw_data!A274</f>
        <v>273</v>
      </c>
      <c r="B274" t="str">
        <f>Raw_data!B274</f>
        <v>C3205</v>
      </c>
      <c r="C274" t="str">
        <f>Raw_data!C274</f>
        <v>R2536</v>
      </c>
      <c r="D274" s="3">
        <f>Raw_data!D274</f>
        <v>45294.451736111114</v>
      </c>
      <c r="E274" s="3">
        <f>Raw_data!E274</f>
        <v>45294.48715277778</v>
      </c>
      <c r="F274" s="4">
        <f t="shared" si="24"/>
        <v>3.5416666665696539E-2</v>
      </c>
      <c r="G274" s="6">
        <f>Raw_data!F274</f>
        <v>1481</v>
      </c>
      <c r="H274" s="6">
        <f>Raw_data!G274</f>
        <v>30</v>
      </c>
      <c r="I274" t="str">
        <f>Raw_data!H274</f>
        <v>Cash on Delivery</v>
      </c>
      <c r="J274" s="7" t="str">
        <f>IF(Raw_data!I274=0.1,"10%",Raw_data!I274)</f>
        <v>None</v>
      </c>
      <c r="K274" s="6">
        <f>Raw_data!J274</f>
        <v>155</v>
      </c>
      <c r="L274" s="6">
        <f>Raw_data!K274</f>
        <v>35</v>
      </c>
      <c r="M274" s="6">
        <f>Raw_data!L274</f>
        <v>0</v>
      </c>
      <c r="N274" s="6">
        <f t="shared" si="25"/>
        <v>1291</v>
      </c>
      <c r="O274" s="6">
        <f t="shared" si="26"/>
        <v>190</v>
      </c>
      <c r="P274" s="6">
        <f t="shared" si="27"/>
        <v>1511</v>
      </c>
      <c r="Q274">
        <f t="shared" si="28"/>
        <v>1</v>
      </c>
      <c r="R274">
        <f t="shared" si="29"/>
        <v>3</v>
      </c>
    </row>
    <row r="275" spans="1:18" x14ac:dyDescent="0.25">
      <c r="A275">
        <f>Raw_data!A275</f>
        <v>274</v>
      </c>
      <c r="B275" t="str">
        <f>Raw_data!B275</f>
        <v>C2069</v>
      </c>
      <c r="C275" t="str">
        <f>Raw_data!C275</f>
        <v>R2465</v>
      </c>
      <c r="D275" s="3">
        <f>Raw_data!D275</f>
        <v>45306.410613425927</v>
      </c>
      <c r="E275" s="3">
        <f>Raw_data!E275</f>
        <v>45306.490474537037</v>
      </c>
      <c r="F275" s="4">
        <f t="shared" si="24"/>
        <v>7.9861111109494232E-2</v>
      </c>
      <c r="G275" s="6">
        <f>Raw_data!F275</f>
        <v>827</v>
      </c>
      <c r="H275" s="6">
        <f>Raw_data!G275</f>
        <v>40</v>
      </c>
      <c r="I275" t="str">
        <f>Raw_data!H275</f>
        <v>Credit Card</v>
      </c>
      <c r="J275" s="7" t="str">
        <f>IF(Raw_data!I275=0.1,"10%",Raw_data!I275)</f>
        <v>50 off Promo</v>
      </c>
      <c r="K275" s="6">
        <f>Raw_data!J275</f>
        <v>174</v>
      </c>
      <c r="L275" s="6">
        <f>Raw_data!K275</f>
        <v>48</v>
      </c>
      <c r="M275" s="6">
        <f>Raw_data!L275</f>
        <v>100</v>
      </c>
      <c r="N275" s="6">
        <f t="shared" si="25"/>
        <v>605</v>
      </c>
      <c r="O275" s="6">
        <f t="shared" si="26"/>
        <v>122</v>
      </c>
      <c r="P275" s="6">
        <f t="shared" si="27"/>
        <v>867</v>
      </c>
      <c r="Q275">
        <f t="shared" si="28"/>
        <v>1</v>
      </c>
      <c r="R275">
        <f t="shared" si="29"/>
        <v>1</v>
      </c>
    </row>
    <row r="276" spans="1:18" x14ac:dyDescent="0.25">
      <c r="A276">
        <f>Raw_data!A276</f>
        <v>275</v>
      </c>
      <c r="B276" t="str">
        <f>Raw_data!B276</f>
        <v>C4444</v>
      </c>
      <c r="C276" t="str">
        <f>Raw_data!C276</f>
        <v>R2088</v>
      </c>
      <c r="D276" s="3">
        <f>Raw_data!D276</f>
        <v>45318.183935185189</v>
      </c>
      <c r="E276" s="3">
        <f>Raw_data!E276</f>
        <v>45318.231157407405</v>
      </c>
      <c r="F276" s="4">
        <f t="shared" si="24"/>
        <v>4.722222221607808E-2</v>
      </c>
      <c r="G276" s="6">
        <f>Raw_data!F276</f>
        <v>1005</v>
      </c>
      <c r="H276" s="6">
        <f>Raw_data!G276</f>
        <v>0</v>
      </c>
      <c r="I276" t="str">
        <f>Raw_data!H276</f>
        <v>Credit Card</v>
      </c>
      <c r="J276" s="7" t="str">
        <f>IF(Raw_data!I276=0.1,"10%",Raw_data!I276)</f>
        <v>15% New User</v>
      </c>
      <c r="K276" s="6">
        <f>Raw_data!J276</f>
        <v>162</v>
      </c>
      <c r="L276" s="6">
        <f>Raw_data!K276</f>
        <v>19</v>
      </c>
      <c r="M276" s="6">
        <f>Raw_data!L276</f>
        <v>0</v>
      </c>
      <c r="N276" s="6">
        <f t="shared" si="25"/>
        <v>824</v>
      </c>
      <c r="O276" s="6">
        <f t="shared" si="26"/>
        <v>181</v>
      </c>
      <c r="P276" s="6">
        <f t="shared" si="27"/>
        <v>1005</v>
      </c>
      <c r="Q276">
        <f t="shared" si="28"/>
        <v>1</v>
      </c>
      <c r="R276">
        <f t="shared" si="29"/>
        <v>2</v>
      </c>
    </row>
    <row r="277" spans="1:18" x14ac:dyDescent="0.25">
      <c r="A277">
        <f>Raw_data!A277</f>
        <v>276</v>
      </c>
      <c r="B277" t="str">
        <f>Raw_data!B277</f>
        <v>C2060</v>
      </c>
      <c r="C277" t="str">
        <f>Raw_data!C277</f>
        <v>R2267</v>
      </c>
      <c r="D277" s="3">
        <f>Raw_data!D277</f>
        <v>45312.749131944445</v>
      </c>
      <c r="E277" s="3">
        <f>Raw_data!E277</f>
        <v>45312.792881944442</v>
      </c>
      <c r="F277" s="4">
        <f t="shared" si="24"/>
        <v>4.3749999997089617E-2</v>
      </c>
      <c r="G277" s="6">
        <f>Raw_data!F277</f>
        <v>1027</v>
      </c>
      <c r="H277" s="6">
        <f>Raw_data!G277</f>
        <v>50</v>
      </c>
      <c r="I277" t="str">
        <f>Raw_data!H277</f>
        <v>Credit Card</v>
      </c>
      <c r="J277" s="7" t="str">
        <f>IF(Raw_data!I277=0.1,"10%",Raw_data!I277)</f>
        <v>5% on App</v>
      </c>
      <c r="K277" s="6">
        <f>Raw_data!J277</f>
        <v>113</v>
      </c>
      <c r="L277" s="6">
        <f>Raw_data!K277</f>
        <v>47</v>
      </c>
      <c r="M277" s="6">
        <f>Raw_data!L277</f>
        <v>100</v>
      </c>
      <c r="N277" s="6">
        <f t="shared" si="25"/>
        <v>867</v>
      </c>
      <c r="O277" s="6">
        <f t="shared" si="26"/>
        <v>60</v>
      </c>
      <c r="P277" s="6">
        <f t="shared" si="27"/>
        <v>1077</v>
      </c>
      <c r="Q277">
        <f t="shared" si="28"/>
        <v>1</v>
      </c>
      <c r="R277">
        <f t="shared" si="29"/>
        <v>3</v>
      </c>
    </row>
    <row r="278" spans="1:18" x14ac:dyDescent="0.25">
      <c r="A278">
        <f>Raw_data!A278</f>
        <v>277</v>
      </c>
      <c r="B278" t="str">
        <f>Raw_data!B278</f>
        <v>C3327</v>
      </c>
      <c r="C278" t="str">
        <f>Raw_data!C278</f>
        <v>R2654</v>
      </c>
      <c r="D278" s="3">
        <f>Raw_data!D278</f>
        <v>45318.878611111111</v>
      </c>
      <c r="E278" s="3">
        <f>Raw_data!E278</f>
        <v>45318.929305555554</v>
      </c>
      <c r="F278" s="4">
        <f t="shared" si="24"/>
        <v>5.0694444442342501E-2</v>
      </c>
      <c r="G278" s="6">
        <f>Raw_data!F278</f>
        <v>663</v>
      </c>
      <c r="H278" s="6">
        <f>Raw_data!G278</f>
        <v>50</v>
      </c>
      <c r="I278" t="str">
        <f>Raw_data!H278</f>
        <v>Credit Card</v>
      </c>
      <c r="J278" s="7" t="str">
        <f>IF(Raw_data!I278=0.1,"10%",Raw_data!I278)</f>
        <v>50 off Promo</v>
      </c>
      <c r="K278" s="6">
        <f>Raw_data!J278</f>
        <v>172</v>
      </c>
      <c r="L278" s="6">
        <f>Raw_data!K278</f>
        <v>23</v>
      </c>
      <c r="M278" s="6">
        <f>Raw_data!L278</f>
        <v>0</v>
      </c>
      <c r="N278" s="6">
        <f t="shared" si="25"/>
        <v>468</v>
      </c>
      <c r="O278" s="6">
        <f t="shared" si="26"/>
        <v>195</v>
      </c>
      <c r="P278" s="6">
        <f t="shared" si="27"/>
        <v>713</v>
      </c>
      <c r="Q278">
        <f t="shared" si="28"/>
        <v>2</v>
      </c>
      <c r="R278">
        <f t="shared" si="29"/>
        <v>1</v>
      </c>
    </row>
    <row r="279" spans="1:18" x14ac:dyDescent="0.25">
      <c r="A279">
        <f>Raw_data!A279</f>
        <v>278</v>
      </c>
      <c r="B279" t="str">
        <f>Raw_data!B279</f>
        <v>C4420</v>
      </c>
      <c r="C279" t="str">
        <f>Raw_data!C279</f>
        <v>R2570</v>
      </c>
      <c r="D279" s="3">
        <f>Raw_data!D279</f>
        <v>45298.500833333332</v>
      </c>
      <c r="E279" s="3">
        <f>Raw_data!E279</f>
        <v>45298.550138888888</v>
      </c>
      <c r="F279" s="4">
        <f t="shared" si="24"/>
        <v>4.9305555556202307E-2</v>
      </c>
      <c r="G279" s="6">
        <f>Raw_data!F279</f>
        <v>882</v>
      </c>
      <c r="H279" s="6">
        <f>Raw_data!G279</f>
        <v>40</v>
      </c>
      <c r="I279" t="str">
        <f>Raw_data!H279</f>
        <v>Cash on Delivery</v>
      </c>
      <c r="J279" s="7" t="str">
        <f>IF(Raw_data!I279=0.1,"10%",Raw_data!I279)</f>
        <v>15% New User</v>
      </c>
      <c r="K279" s="6">
        <f>Raw_data!J279</f>
        <v>163</v>
      </c>
      <c r="L279" s="6">
        <f>Raw_data!K279</f>
        <v>50</v>
      </c>
      <c r="M279" s="6">
        <f>Raw_data!L279</f>
        <v>150</v>
      </c>
      <c r="N279" s="6">
        <f t="shared" si="25"/>
        <v>669</v>
      </c>
      <c r="O279" s="6">
        <f t="shared" si="26"/>
        <v>63</v>
      </c>
      <c r="P279" s="6">
        <f t="shared" si="27"/>
        <v>922</v>
      </c>
      <c r="Q279">
        <f t="shared" si="28"/>
        <v>1</v>
      </c>
      <c r="R279">
        <f t="shared" si="29"/>
        <v>4</v>
      </c>
    </row>
    <row r="280" spans="1:18" x14ac:dyDescent="0.25">
      <c r="A280">
        <f>Raw_data!A280</f>
        <v>279</v>
      </c>
      <c r="B280" t="str">
        <f>Raw_data!B280</f>
        <v>C1301</v>
      </c>
      <c r="C280" t="str">
        <f>Raw_data!C280</f>
        <v>R2921</v>
      </c>
      <c r="D280" s="3">
        <f>Raw_data!D280</f>
        <v>45298.041643518518</v>
      </c>
      <c r="E280" s="3">
        <f>Raw_data!E280</f>
        <v>45298.089560185188</v>
      </c>
      <c r="F280" s="4">
        <f t="shared" si="24"/>
        <v>4.7916666670062114E-2</v>
      </c>
      <c r="G280" s="6">
        <f>Raw_data!F280</f>
        <v>584</v>
      </c>
      <c r="H280" s="6">
        <f>Raw_data!G280</f>
        <v>0</v>
      </c>
      <c r="I280" t="str">
        <f>Raw_data!H280</f>
        <v>Credit Card</v>
      </c>
      <c r="J280" s="7" t="str">
        <f>IF(Raw_data!I280=0.1,"10%",Raw_data!I280)</f>
        <v>50 off Promo</v>
      </c>
      <c r="K280" s="6">
        <f>Raw_data!J280</f>
        <v>69</v>
      </c>
      <c r="L280" s="6">
        <f>Raw_data!K280</f>
        <v>28</v>
      </c>
      <c r="M280" s="6">
        <f>Raw_data!L280</f>
        <v>0</v>
      </c>
      <c r="N280" s="6">
        <f t="shared" si="25"/>
        <v>487</v>
      </c>
      <c r="O280" s="6">
        <f t="shared" si="26"/>
        <v>97</v>
      </c>
      <c r="P280" s="6">
        <f t="shared" si="27"/>
        <v>584</v>
      </c>
      <c r="Q280">
        <f t="shared" si="28"/>
        <v>1</v>
      </c>
      <c r="R280">
        <f t="shared" si="29"/>
        <v>2</v>
      </c>
    </row>
    <row r="281" spans="1:18" x14ac:dyDescent="0.25">
      <c r="A281">
        <f>Raw_data!A281</f>
        <v>280</v>
      </c>
      <c r="B281" t="str">
        <f>Raw_data!B281</f>
        <v>C1606</v>
      </c>
      <c r="C281" t="str">
        <f>Raw_data!C281</f>
        <v>R2488</v>
      </c>
      <c r="D281" s="3">
        <f>Raw_data!D281</f>
        <v>45323.288993055554</v>
      </c>
      <c r="E281" s="3">
        <f>Raw_data!E281</f>
        <v>45323.317465277774</v>
      </c>
      <c r="F281" s="4">
        <f t="shared" si="24"/>
        <v>2.8472222220443655E-2</v>
      </c>
      <c r="G281" s="6">
        <f>Raw_data!F281</f>
        <v>1207</v>
      </c>
      <c r="H281" s="6">
        <f>Raw_data!G281</f>
        <v>0</v>
      </c>
      <c r="I281" t="str">
        <f>Raw_data!H281</f>
        <v>Cash on Delivery</v>
      </c>
      <c r="J281" s="7" t="str">
        <f>IF(Raw_data!I281=0.1,"10%",Raw_data!I281)</f>
        <v>10%</v>
      </c>
      <c r="K281" s="6">
        <f>Raw_data!J281</f>
        <v>65</v>
      </c>
      <c r="L281" s="6">
        <f>Raw_data!K281</f>
        <v>39</v>
      </c>
      <c r="M281" s="6">
        <f>Raw_data!L281</f>
        <v>0</v>
      </c>
      <c r="N281" s="6">
        <f t="shared" si="25"/>
        <v>1103</v>
      </c>
      <c r="O281" s="6">
        <f t="shared" si="26"/>
        <v>104</v>
      </c>
      <c r="P281" s="6">
        <f t="shared" si="27"/>
        <v>1207</v>
      </c>
      <c r="Q281">
        <f t="shared" si="28"/>
        <v>1</v>
      </c>
      <c r="R281">
        <f t="shared" si="29"/>
        <v>2</v>
      </c>
    </row>
    <row r="282" spans="1:18" x14ac:dyDescent="0.25">
      <c r="A282">
        <f>Raw_data!A282</f>
        <v>281</v>
      </c>
      <c r="B282" t="str">
        <f>Raw_data!B282</f>
        <v>C4170</v>
      </c>
      <c r="C282" t="str">
        <f>Raw_data!C282</f>
        <v>R2876</v>
      </c>
      <c r="D282" s="3">
        <f>Raw_data!D282</f>
        <v>45312.925833333335</v>
      </c>
      <c r="E282" s="3">
        <f>Raw_data!E282</f>
        <v>45312.94736111111</v>
      </c>
      <c r="F282" s="4">
        <f t="shared" si="24"/>
        <v>2.1527777775190771E-2</v>
      </c>
      <c r="G282" s="6">
        <f>Raw_data!F282</f>
        <v>1928</v>
      </c>
      <c r="H282" s="6">
        <f>Raw_data!G282</f>
        <v>40</v>
      </c>
      <c r="I282" t="str">
        <f>Raw_data!H282</f>
        <v>Credit Card</v>
      </c>
      <c r="J282" s="7" t="str">
        <f>IF(Raw_data!I282=0.1,"10%",Raw_data!I282)</f>
        <v>15% New User</v>
      </c>
      <c r="K282" s="6">
        <f>Raw_data!J282</f>
        <v>194</v>
      </c>
      <c r="L282" s="6">
        <f>Raw_data!K282</f>
        <v>14</v>
      </c>
      <c r="M282" s="6">
        <f>Raw_data!L282</f>
        <v>0</v>
      </c>
      <c r="N282" s="6">
        <f t="shared" si="25"/>
        <v>1720</v>
      </c>
      <c r="O282" s="6">
        <f t="shared" si="26"/>
        <v>208</v>
      </c>
      <c r="P282" s="6">
        <f t="shared" si="27"/>
        <v>1968</v>
      </c>
      <c r="Q282">
        <f t="shared" si="28"/>
        <v>2</v>
      </c>
      <c r="R282">
        <f t="shared" si="29"/>
        <v>1</v>
      </c>
    </row>
    <row r="283" spans="1:18" x14ac:dyDescent="0.25">
      <c r="A283">
        <f>Raw_data!A283</f>
        <v>282</v>
      </c>
      <c r="B283" t="str">
        <f>Raw_data!B283</f>
        <v>C1699</v>
      </c>
      <c r="C283" t="str">
        <f>Raw_data!C283</f>
        <v>R2537</v>
      </c>
      <c r="D283" s="3">
        <f>Raw_data!D283</f>
        <v>45292.872546296298</v>
      </c>
      <c r="E283" s="3">
        <f>Raw_data!E283</f>
        <v>45292.912129629629</v>
      </c>
      <c r="F283" s="4">
        <f t="shared" si="24"/>
        <v>3.9583333331393078E-2</v>
      </c>
      <c r="G283" s="6">
        <f>Raw_data!F283</f>
        <v>1761</v>
      </c>
      <c r="H283" s="6">
        <f>Raw_data!G283</f>
        <v>20</v>
      </c>
      <c r="I283" t="str">
        <f>Raw_data!H283</f>
        <v>Credit Card</v>
      </c>
      <c r="J283" s="7" t="str">
        <f>IF(Raw_data!I283=0.1,"10%",Raw_data!I283)</f>
        <v>10%</v>
      </c>
      <c r="K283" s="6">
        <f>Raw_data!J283</f>
        <v>68</v>
      </c>
      <c r="L283" s="6">
        <f>Raw_data!K283</f>
        <v>40</v>
      </c>
      <c r="M283" s="6">
        <f>Raw_data!L283</f>
        <v>150</v>
      </c>
      <c r="N283" s="6">
        <f t="shared" si="25"/>
        <v>1653</v>
      </c>
      <c r="O283" s="6">
        <f t="shared" si="26"/>
        <v>-42</v>
      </c>
      <c r="P283" s="6">
        <f t="shared" si="27"/>
        <v>1781</v>
      </c>
      <c r="Q283">
        <f t="shared" si="28"/>
        <v>1</v>
      </c>
      <c r="R283">
        <f t="shared" si="29"/>
        <v>2</v>
      </c>
    </row>
    <row r="284" spans="1:18" x14ac:dyDescent="0.25">
      <c r="A284">
        <f>Raw_data!A284</f>
        <v>283</v>
      </c>
      <c r="B284" t="str">
        <f>Raw_data!B284</f>
        <v>C6088</v>
      </c>
      <c r="C284" t="str">
        <f>Raw_data!C284</f>
        <v>R2046</v>
      </c>
      <c r="D284" s="3">
        <f>Raw_data!D284</f>
        <v>45322.70417824074</v>
      </c>
      <c r="E284" s="3">
        <f>Raw_data!E284</f>
        <v>45322.775706018518</v>
      </c>
      <c r="F284" s="4">
        <f t="shared" si="24"/>
        <v>7.1527777778101154E-2</v>
      </c>
      <c r="G284" s="6">
        <f>Raw_data!F284</f>
        <v>1931</v>
      </c>
      <c r="H284" s="6">
        <f>Raw_data!G284</f>
        <v>50</v>
      </c>
      <c r="I284" t="str">
        <f>Raw_data!H284</f>
        <v>Credit Card</v>
      </c>
      <c r="J284" s="7" t="str">
        <f>IF(Raw_data!I284=0.1,"10%",Raw_data!I284)</f>
        <v>10%</v>
      </c>
      <c r="K284" s="6">
        <f>Raw_data!J284</f>
        <v>169</v>
      </c>
      <c r="L284" s="6">
        <f>Raw_data!K284</f>
        <v>16</v>
      </c>
      <c r="M284" s="6">
        <f>Raw_data!L284</f>
        <v>100</v>
      </c>
      <c r="N284" s="6">
        <f t="shared" si="25"/>
        <v>1746</v>
      </c>
      <c r="O284" s="6">
        <f t="shared" si="26"/>
        <v>85</v>
      </c>
      <c r="P284" s="6">
        <f t="shared" si="27"/>
        <v>1981</v>
      </c>
      <c r="Q284">
        <f t="shared" si="28"/>
        <v>1</v>
      </c>
      <c r="R284">
        <f t="shared" si="29"/>
        <v>2</v>
      </c>
    </row>
    <row r="285" spans="1:18" x14ac:dyDescent="0.25">
      <c r="A285">
        <f>Raw_data!A285</f>
        <v>284</v>
      </c>
      <c r="B285" t="str">
        <f>Raw_data!B285</f>
        <v>C1190</v>
      </c>
      <c r="C285" t="str">
        <f>Raw_data!C285</f>
        <v>R2287</v>
      </c>
      <c r="D285" s="3">
        <f>Raw_data!D285</f>
        <v>45322.276377314818</v>
      </c>
      <c r="E285" s="3">
        <f>Raw_data!E285</f>
        <v>45322.356238425928</v>
      </c>
      <c r="F285" s="4">
        <f t="shared" si="24"/>
        <v>7.9861111109494232E-2</v>
      </c>
      <c r="G285" s="6">
        <f>Raw_data!F285</f>
        <v>683</v>
      </c>
      <c r="H285" s="6">
        <f>Raw_data!G285</f>
        <v>50</v>
      </c>
      <c r="I285" t="str">
        <f>Raw_data!H285</f>
        <v>Credit Card</v>
      </c>
      <c r="J285" s="7" t="str">
        <f>IF(Raw_data!I285=0.1,"10%",Raw_data!I285)</f>
        <v>15% New User</v>
      </c>
      <c r="K285" s="6">
        <f>Raw_data!J285</f>
        <v>185</v>
      </c>
      <c r="L285" s="6">
        <f>Raw_data!K285</f>
        <v>28</v>
      </c>
      <c r="M285" s="6">
        <f>Raw_data!L285</f>
        <v>150</v>
      </c>
      <c r="N285" s="6">
        <f t="shared" si="25"/>
        <v>470</v>
      </c>
      <c r="O285" s="6">
        <f t="shared" si="26"/>
        <v>63</v>
      </c>
      <c r="P285" s="6">
        <f t="shared" si="27"/>
        <v>733</v>
      </c>
      <c r="Q285">
        <f t="shared" si="28"/>
        <v>1</v>
      </c>
      <c r="R285">
        <f t="shared" si="29"/>
        <v>3</v>
      </c>
    </row>
    <row r="286" spans="1:18" x14ac:dyDescent="0.25">
      <c r="A286">
        <f>Raw_data!A286</f>
        <v>285</v>
      </c>
      <c r="B286" t="str">
        <f>Raw_data!B286</f>
        <v>C1980</v>
      </c>
      <c r="C286" t="str">
        <f>Raw_data!C286</f>
        <v>R2777</v>
      </c>
      <c r="D286" s="3">
        <f>Raw_data!D286</f>
        <v>45312.552858796298</v>
      </c>
      <c r="E286" s="3">
        <f>Raw_data!E286</f>
        <v>45312.629247685189</v>
      </c>
      <c r="F286" s="4">
        <f t="shared" si="24"/>
        <v>7.6388888890505768E-2</v>
      </c>
      <c r="G286" s="6">
        <f>Raw_data!F286</f>
        <v>1419</v>
      </c>
      <c r="H286" s="6">
        <f>Raw_data!G286</f>
        <v>30</v>
      </c>
      <c r="I286" t="str">
        <f>Raw_data!H286</f>
        <v>Cash on Delivery</v>
      </c>
      <c r="J286" s="7" t="str">
        <f>IF(Raw_data!I286=0.1,"10%",Raw_data!I286)</f>
        <v>None</v>
      </c>
      <c r="K286" s="6">
        <f>Raw_data!J286</f>
        <v>87</v>
      </c>
      <c r="L286" s="6">
        <f>Raw_data!K286</f>
        <v>40</v>
      </c>
      <c r="M286" s="6">
        <f>Raw_data!L286</f>
        <v>0</v>
      </c>
      <c r="N286" s="6">
        <f t="shared" si="25"/>
        <v>1292</v>
      </c>
      <c r="O286" s="6">
        <f t="shared" si="26"/>
        <v>127</v>
      </c>
      <c r="P286" s="6">
        <f t="shared" si="27"/>
        <v>1449</v>
      </c>
      <c r="Q286">
        <f t="shared" si="28"/>
        <v>1</v>
      </c>
      <c r="R286">
        <f t="shared" si="29"/>
        <v>2</v>
      </c>
    </row>
    <row r="287" spans="1:18" x14ac:dyDescent="0.25">
      <c r="A287">
        <f>Raw_data!A287</f>
        <v>286</v>
      </c>
      <c r="B287" t="str">
        <f>Raw_data!B287</f>
        <v>C3975</v>
      </c>
      <c r="C287" t="str">
        <f>Raw_data!C287</f>
        <v>R2015</v>
      </c>
      <c r="D287" s="3">
        <f>Raw_data!D287</f>
        <v>45318.964733796296</v>
      </c>
      <c r="E287" s="3">
        <f>Raw_data!E287</f>
        <v>45319.047372685185</v>
      </c>
      <c r="F287" s="4">
        <f t="shared" si="24"/>
        <v>8.2638888889050577E-2</v>
      </c>
      <c r="G287" s="6">
        <f>Raw_data!F287</f>
        <v>335</v>
      </c>
      <c r="H287" s="6">
        <f>Raw_data!G287</f>
        <v>40</v>
      </c>
      <c r="I287" t="str">
        <f>Raw_data!H287</f>
        <v>Cash on Delivery</v>
      </c>
      <c r="J287" s="7" t="str">
        <f>IF(Raw_data!I287=0.1,"10%",Raw_data!I287)</f>
        <v>15% New User</v>
      </c>
      <c r="K287" s="6">
        <f>Raw_data!J287</f>
        <v>142</v>
      </c>
      <c r="L287" s="6">
        <f>Raw_data!K287</f>
        <v>48</v>
      </c>
      <c r="M287" s="6">
        <f>Raw_data!L287</f>
        <v>0</v>
      </c>
      <c r="N287" s="6">
        <f t="shared" si="25"/>
        <v>145</v>
      </c>
      <c r="O287" s="6">
        <f t="shared" si="26"/>
        <v>190</v>
      </c>
      <c r="P287" s="6">
        <f t="shared" si="27"/>
        <v>375</v>
      </c>
      <c r="Q287">
        <f t="shared" si="28"/>
        <v>1</v>
      </c>
      <c r="R287">
        <f t="shared" si="29"/>
        <v>2</v>
      </c>
    </row>
    <row r="288" spans="1:18" x14ac:dyDescent="0.25">
      <c r="A288">
        <f>Raw_data!A288</f>
        <v>287</v>
      </c>
      <c r="B288" t="str">
        <f>Raw_data!B288</f>
        <v>C7102</v>
      </c>
      <c r="C288" t="str">
        <f>Raw_data!C288</f>
        <v>R2710</v>
      </c>
      <c r="D288" s="3">
        <f>Raw_data!D288</f>
        <v>45329.888449074075</v>
      </c>
      <c r="E288" s="3">
        <f>Raw_data!E288</f>
        <v>45329.95511574074</v>
      </c>
      <c r="F288" s="4">
        <f t="shared" si="24"/>
        <v>6.6666666665696539E-2</v>
      </c>
      <c r="G288" s="6">
        <f>Raw_data!F288</f>
        <v>155</v>
      </c>
      <c r="H288" s="6">
        <f>Raw_data!G288</f>
        <v>30</v>
      </c>
      <c r="I288" t="str">
        <f>Raw_data!H288</f>
        <v>Cash on Delivery</v>
      </c>
      <c r="J288" s="7" t="str">
        <f>IF(Raw_data!I288=0.1,"10%",Raw_data!I288)</f>
        <v>None</v>
      </c>
      <c r="K288" s="6">
        <f>Raw_data!J288</f>
        <v>154</v>
      </c>
      <c r="L288" s="6">
        <f>Raw_data!K288</f>
        <v>33</v>
      </c>
      <c r="M288" s="6">
        <f>Raw_data!L288</f>
        <v>50</v>
      </c>
      <c r="N288" s="6">
        <f t="shared" si="25"/>
        <v>-32</v>
      </c>
      <c r="O288" s="6">
        <f t="shared" si="26"/>
        <v>137</v>
      </c>
      <c r="P288" s="6">
        <f t="shared" si="27"/>
        <v>185</v>
      </c>
      <c r="Q288">
        <f t="shared" si="28"/>
        <v>1</v>
      </c>
      <c r="R288">
        <f t="shared" si="29"/>
        <v>2</v>
      </c>
    </row>
    <row r="289" spans="1:18" x14ac:dyDescent="0.25">
      <c r="A289">
        <f>Raw_data!A289</f>
        <v>288</v>
      </c>
      <c r="B289" t="str">
        <f>Raw_data!B289</f>
        <v>C2184</v>
      </c>
      <c r="C289" t="str">
        <f>Raw_data!C289</f>
        <v>R2400</v>
      </c>
      <c r="D289" s="3">
        <f>Raw_data!D289</f>
        <v>45304.530787037038</v>
      </c>
      <c r="E289" s="3">
        <f>Raw_data!E289</f>
        <v>45304.600231481483</v>
      </c>
      <c r="F289" s="4">
        <f t="shared" si="24"/>
        <v>6.9444444445252884E-2</v>
      </c>
      <c r="G289" s="6">
        <f>Raw_data!F289</f>
        <v>459</v>
      </c>
      <c r="H289" s="6">
        <f>Raw_data!G289</f>
        <v>30</v>
      </c>
      <c r="I289" t="str">
        <f>Raw_data!H289</f>
        <v>Digital Wallet</v>
      </c>
      <c r="J289" s="7" t="str">
        <f>IF(Raw_data!I289=0.1,"10%",Raw_data!I289)</f>
        <v>50 off Promo</v>
      </c>
      <c r="K289" s="6">
        <f>Raw_data!J289</f>
        <v>149</v>
      </c>
      <c r="L289" s="6">
        <f>Raw_data!K289</f>
        <v>43</v>
      </c>
      <c r="M289" s="6">
        <f>Raw_data!L289</f>
        <v>50</v>
      </c>
      <c r="N289" s="6">
        <f t="shared" si="25"/>
        <v>267</v>
      </c>
      <c r="O289" s="6">
        <f t="shared" si="26"/>
        <v>142</v>
      </c>
      <c r="P289" s="6">
        <f t="shared" si="27"/>
        <v>489</v>
      </c>
      <c r="Q289">
        <f t="shared" si="28"/>
        <v>2</v>
      </c>
      <c r="R289">
        <f t="shared" si="29"/>
        <v>4</v>
      </c>
    </row>
    <row r="290" spans="1:18" x14ac:dyDescent="0.25">
      <c r="A290">
        <f>Raw_data!A290</f>
        <v>289</v>
      </c>
      <c r="B290" t="str">
        <f>Raw_data!B290</f>
        <v>C4327</v>
      </c>
      <c r="C290" t="str">
        <f>Raw_data!C290</f>
        <v>R2918</v>
      </c>
      <c r="D290" s="3">
        <f>Raw_data!D290</f>
        <v>45307.046701388892</v>
      </c>
      <c r="E290" s="3">
        <f>Raw_data!E290</f>
        <v>45307.116840277777</v>
      </c>
      <c r="F290" s="4">
        <f t="shared" si="24"/>
        <v>7.0138888884685002E-2</v>
      </c>
      <c r="G290" s="6">
        <f>Raw_data!F290</f>
        <v>209</v>
      </c>
      <c r="H290" s="6">
        <f>Raw_data!G290</f>
        <v>0</v>
      </c>
      <c r="I290" t="str">
        <f>Raw_data!H290</f>
        <v>Credit Card</v>
      </c>
      <c r="J290" s="7" t="str">
        <f>IF(Raw_data!I290=0.1,"10%",Raw_data!I290)</f>
        <v>50 off Promo</v>
      </c>
      <c r="K290" s="6">
        <f>Raw_data!J290</f>
        <v>139</v>
      </c>
      <c r="L290" s="6">
        <f>Raw_data!K290</f>
        <v>32</v>
      </c>
      <c r="M290" s="6">
        <f>Raw_data!L290</f>
        <v>0</v>
      </c>
      <c r="N290" s="6">
        <f t="shared" si="25"/>
        <v>38</v>
      </c>
      <c r="O290" s="6">
        <f t="shared" si="26"/>
        <v>171</v>
      </c>
      <c r="P290" s="6">
        <f t="shared" si="27"/>
        <v>209</v>
      </c>
      <c r="Q290">
        <f t="shared" si="28"/>
        <v>1</v>
      </c>
      <c r="R290">
        <f t="shared" si="29"/>
        <v>1</v>
      </c>
    </row>
    <row r="291" spans="1:18" x14ac:dyDescent="0.25">
      <c r="A291">
        <f>Raw_data!A291</f>
        <v>290</v>
      </c>
      <c r="B291" t="str">
        <f>Raw_data!B291</f>
        <v>C4394</v>
      </c>
      <c r="C291" t="str">
        <f>Raw_data!C291</f>
        <v>R2793</v>
      </c>
      <c r="D291" s="3">
        <f>Raw_data!D291</f>
        <v>45311.485011574077</v>
      </c>
      <c r="E291" s="3">
        <f>Raw_data!E291</f>
        <v>45311.563483796293</v>
      </c>
      <c r="F291" s="4">
        <f t="shared" si="24"/>
        <v>7.847222221607808E-2</v>
      </c>
      <c r="G291" s="6">
        <f>Raw_data!F291</f>
        <v>291</v>
      </c>
      <c r="H291" s="6">
        <f>Raw_data!G291</f>
        <v>50</v>
      </c>
      <c r="I291" t="str">
        <f>Raw_data!H291</f>
        <v>Credit Card</v>
      </c>
      <c r="J291" s="7" t="str">
        <f>IF(Raw_data!I291=0.1,"10%",Raw_data!I291)</f>
        <v>15% New User</v>
      </c>
      <c r="K291" s="6">
        <f>Raw_data!J291</f>
        <v>93</v>
      </c>
      <c r="L291" s="6">
        <f>Raw_data!K291</f>
        <v>49</v>
      </c>
      <c r="M291" s="6">
        <f>Raw_data!L291</f>
        <v>50</v>
      </c>
      <c r="N291" s="6">
        <f t="shared" si="25"/>
        <v>149</v>
      </c>
      <c r="O291" s="6">
        <f t="shared" si="26"/>
        <v>92</v>
      </c>
      <c r="P291" s="6">
        <f t="shared" si="27"/>
        <v>341</v>
      </c>
      <c r="Q291">
        <f t="shared" si="28"/>
        <v>1</v>
      </c>
      <c r="R291">
        <f t="shared" si="29"/>
        <v>3</v>
      </c>
    </row>
    <row r="292" spans="1:18" x14ac:dyDescent="0.25">
      <c r="A292">
        <f>Raw_data!A292</f>
        <v>291</v>
      </c>
      <c r="B292" t="str">
        <f>Raw_data!B292</f>
        <v>C9319</v>
      </c>
      <c r="C292" t="str">
        <f>Raw_data!C292</f>
        <v>R2980</v>
      </c>
      <c r="D292" s="3">
        <f>Raw_data!D292</f>
        <v>45317.489155092589</v>
      </c>
      <c r="E292" s="3">
        <f>Raw_data!E292</f>
        <v>45317.562071759261</v>
      </c>
      <c r="F292" s="4">
        <f t="shared" si="24"/>
        <v>7.2916666671517305E-2</v>
      </c>
      <c r="G292" s="6">
        <f>Raw_data!F292</f>
        <v>1003</v>
      </c>
      <c r="H292" s="6">
        <f>Raw_data!G292</f>
        <v>30</v>
      </c>
      <c r="I292" t="str">
        <f>Raw_data!H292</f>
        <v>Cash on Delivery</v>
      </c>
      <c r="J292" s="7" t="str">
        <f>IF(Raw_data!I292=0.1,"10%",Raw_data!I292)</f>
        <v>50 off Promo</v>
      </c>
      <c r="K292" s="6">
        <f>Raw_data!J292</f>
        <v>125</v>
      </c>
      <c r="L292" s="6">
        <f>Raw_data!K292</f>
        <v>15</v>
      </c>
      <c r="M292" s="6">
        <f>Raw_data!L292</f>
        <v>100</v>
      </c>
      <c r="N292" s="6">
        <f t="shared" si="25"/>
        <v>863</v>
      </c>
      <c r="O292" s="6">
        <f t="shared" si="26"/>
        <v>40</v>
      </c>
      <c r="P292" s="6">
        <f t="shared" si="27"/>
        <v>1033</v>
      </c>
      <c r="Q292">
        <f t="shared" si="28"/>
        <v>1</v>
      </c>
      <c r="R292">
        <f t="shared" si="29"/>
        <v>3</v>
      </c>
    </row>
    <row r="293" spans="1:18" x14ac:dyDescent="0.25">
      <c r="A293">
        <f>Raw_data!A293</f>
        <v>292</v>
      </c>
      <c r="B293" t="str">
        <f>Raw_data!B293</f>
        <v>C2816</v>
      </c>
      <c r="C293" t="str">
        <f>Raw_data!C293</f>
        <v>R2085</v>
      </c>
      <c r="D293" s="3">
        <f>Raw_data!D293</f>
        <v>45309.333541666667</v>
      </c>
      <c r="E293" s="3">
        <f>Raw_data!E293</f>
        <v>45309.409930555557</v>
      </c>
      <c r="F293" s="4">
        <f t="shared" si="24"/>
        <v>7.6388888890505768E-2</v>
      </c>
      <c r="G293" s="6">
        <f>Raw_data!F293</f>
        <v>1216</v>
      </c>
      <c r="H293" s="6">
        <f>Raw_data!G293</f>
        <v>0</v>
      </c>
      <c r="I293" t="str">
        <f>Raw_data!H293</f>
        <v>Digital Wallet</v>
      </c>
      <c r="J293" s="7" t="str">
        <f>IF(Raw_data!I293=0.1,"10%",Raw_data!I293)</f>
        <v>5% on App</v>
      </c>
      <c r="K293" s="6">
        <f>Raw_data!J293</f>
        <v>194</v>
      </c>
      <c r="L293" s="6">
        <f>Raw_data!K293</f>
        <v>47</v>
      </c>
      <c r="M293" s="6">
        <f>Raw_data!L293</f>
        <v>0</v>
      </c>
      <c r="N293" s="6">
        <f t="shared" si="25"/>
        <v>975</v>
      </c>
      <c r="O293" s="6">
        <f t="shared" si="26"/>
        <v>241</v>
      </c>
      <c r="P293" s="6">
        <f t="shared" si="27"/>
        <v>1216</v>
      </c>
      <c r="Q293">
        <f t="shared" si="28"/>
        <v>1</v>
      </c>
      <c r="R293">
        <f t="shared" si="29"/>
        <v>2</v>
      </c>
    </row>
    <row r="294" spans="1:18" x14ac:dyDescent="0.25">
      <c r="A294">
        <f>Raw_data!A294</f>
        <v>293</v>
      </c>
      <c r="B294" t="str">
        <f>Raw_data!B294</f>
        <v>C6854</v>
      </c>
      <c r="C294" t="str">
        <f>Raw_data!C294</f>
        <v>R2249</v>
      </c>
      <c r="D294" s="3">
        <f>Raw_data!D294</f>
        <v>45321.24559027778</v>
      </c>
      <c r="E294" s="3">
        <f>Raw_data!E294</f>
        <v>45321.272673611114</v>
      </c>
      <c r="F294" s="4">
        <f t="shared" si="24"/>
        <v>2.7083333334303461E-2</v>
      </c>
      <c r="G294" s="6">
        <f>Raw_data!F294</f>
        <v>961</v>
      </c>
      <c r="H294" s="6">
        <f>Raw_data!G294</f>
        <v>40</v>
      </c>
      <c r="I294" t="str">
        <f>Raw_data!H294</f>
        <v>Credit Card</v>
      </c>
      <c r="J294" s="7" t="str">
        <f>IF(Raw_data!I294=0.1,"10%",Raw_data!I294)</f>
        <v>10%</v>
      </c>
      <c r="K294" s="6">
        <f>Raw_data!J294</f>
        <v>128</v>
      </c>
      <c r="L294" s="6">
        <f>Raw_data!K294</f>
        <v>50</v>
      </c>
      <c r="M294" s="6">
        <f>Raw_data!L294</f>
        <v>0</v>
      </c>
      <c r="N294" s="6">
        <f t="shared" si="25"/>
        <v>783</v>
      </c>
      <c r="O294" s="6">
        <f t="shared" si="26"/>
        <v>178</v>
      </c>
      <c r="P294" s="6">
        <f t="shared" si="27"/>
        <v>1001</v>
      </c>
      <c r="Q294">
        <f t="shared" si="28"/>
        <v>1</v>
      </c>
      <c r="R294">
        <f t="shared" si="29"/>
        <v>2</v>
      </c>
    </row>
    <row r="295" spans="1:18" x14ac:dyDescent="0.25">
      <c r="A295">
        <f>Raw_data!A295</f>
        <v>294</v>
      </c>
      <c r="B295" t="str">
        <f>Raw_data!B295</f>
        <v>C7709</v>
      </c>
      <c r="C295" t="str">
        <f>Raw_data!C295</f>
        <v>R2390</v>
      </c>
      <c r="D295" s="3">
        <f>Raw_data!D295</f>
        <v>45318.158958333333</v>
      </c>
      <c r="E295" s="3">
        <f>Raw_data!E295</f>
        <v>45318.238819444443</v>
      </c>
      <c r="F295" s="4">
        <f t="shared" si="24"/>
        <v>7.9861111109494232E-2</v>
      </c>
      <c r="G295" s="6">
        <f>Raw_data!F295</f>
        <v>667</v>
      </c>
      <c r="H295" s="6">
        <f>Raw_data!G295</f>
        <v>30</v>
      </c>
      <c r="I295" t="str">
        <f>Raw_data!H295</f>
        <v>Cash on Delivery</v>
      </c>
      <c r="J295" s="7" t="str">
        <f>IF(Raw_data!I295=0.1,"10%",Raw_data!I295)</f>
        <v>10%</v>
      </c>
      <c r="K295" s="6">
        <f>Raw_data!J295</f>
        <v>122</v>
      </c>
      <c r="L295" s="6">
        <f>Raw_data!K295</f>
        <v>45</v>
      </c>
      <c r="M295" s="6">
        <f>Raw_data!L295</f>
        <v>0</v>
      </c>
      <c r="N295" s="6">
        <f t="shared" si="25"/>
        <v>500</v>
      </c>
      <c r="O295" s="6">
        <f t="shared" si="26"/>
        <v>167</v>
      </c>
      <c r="P295" s="6">
        <f t="shared" si="27"/>
        <v>697</v>
      </c>
      <c r="Q295">
        <f t="shared" si="28"/>
        <v>1</v>
      </c>
      <c r="R295">
        <f t="shared" si="29"/>
        <v>2</v>
      </c>
    </row>
    <row r="296" spans="1:18" x14ac:dyDescent="0.25">
      <c r="A296">
        <f>Raw_data!A296</f>
        <v>295</v>
      </c>
      <c r="B296" t="str">
        <f>Raw_data!B296</f>
        <v>C1569</v>
      </c>
      <c r="C296" t="str">
        <f>Raw_data!C296</f>
        <v>R2781</v>
      </c>
      <c r="D296" s="3">
        <f>Raw_data!D296</f>
        <v>45319.723807870374</v>
      </c>
      <c r="E296" s="3">
        <f>Raw_data!E296</f>
        <v>45319.783530092594</v>
      </c>
      <c r="F296" s="4">
        <f t="shared" si="24"/>
        <v>5.9722222220443655E-2</v>
      </c>
      <c r="G296" s="6">
        <f>Raw_data!F296</f>
        <v>1183</v>
      </c>
      <c r="H296" s="6">
        <f>Raw_data!G296</f>
        <v>50</v>
      </c>
      <c r="I296" t="str">
        <f>Raw_data!H296</f>
        <v>Credit Card</v>
      </c>
      <c r="J296" s="7" t="str">
        <f>IF(Raw_data!I296=0.1,"10%",Raw_data!I296)</f>
        <v>None</v>
      </c>
      <c r="K296" s="6">
        <f>Raw_data!J296</f>
        <v>189</v>
      </c>
      <c r="L296" s="6">
        <f>Raw_data!K296</f>
        <v>36</v>
      </c>
      <c r="M296" s="6">
        <f>Raw_data!L296</f>
        <v>150</v>
      </c>
      <c r="N296" s="6">
        <f t="shared" si="25"/>
        <v>958</v>
      </c>
      <c r="O296" s="6">
        <f t="shared" si="26"/>
        <v>75</v>
      </c>
      <c r="P296" s="6">
        <f t="shared" si="27"/>
        <v>1233</v>
      </c>
      <c r="Q296">
        <f t="shared" si="28"/>
        <v>1</v>
      </c>
      <c r="R296">
        <f t="shared" si="29"/>
        <v>1</v>
      </c>
    </row>
    <row r="297" spans="1:18" x14ac:dyDescent="0.25">
      <c r="A297">
        <f>Raw_data!A297</f>
        <v>296</v>
      </c>
      <c r="B297" t="str">
        <f>Raw_data!B297</f>
        <v>C6442</v>
      </c>
      <c r="C297" t="str">
        <f>Raw_data!C297</f>
        <v>R2334</v>
      </c>
      <c r="D297" s="3">
        <f>Raw_data!D297</f>
        <v>45294.712800925925</v>
      </c>
      <c r="E297" s="3">
        <f>Raw_data!E297</f>
        <v>45294.792662037034</v>
      </c>
      <c r="F297" s="4">
        <f t="shared" si="24"/>
        <v>7.9861111109494232E-2</v>
      </c>
      <c r="G297" s="6">
        <f>Raw_data!F297</f>
        <v>749</v>
      </c>
      <c r="H297" s="6">
        <f>Raw_data!G297</f>
        <v>30</v>
      </c>
      <c r="I297" t="str">
        <f>Raw_data!H297</f>
        <v>Credit Card</v>
      </c>
      <c r="J297" s="7" t="str">
        <f>IF(Raw_data!I297=0.1,"10%",Raw_data!I297)</f>
        <v>50 off Promo</v>
      </c>
      <c r="K297" s="6">
        <f>Raw_data!J297</f>
        <v>145</v>
      </c>
      <c r="L297" s="6">
        <f>Raw_data!K297</f>
        <v>20</v>
      </c>
      <c r="M297" s="6">
        <f>Raw_data!L297</f>
        <v>150</v>
      </c>
      <c r="N297" s="6">
        <f t="shared" si="25"/>
        <v>584</v>
      </c>
      <c r="O297" s="6">
        <f t="shared" si="26"/>
        <v>15</v>
      </c>
      <c r="P297" s="6">
        <f t="shared" si="27"/>
        <v>779</v>
      </c>
      <c r="Q297">
        <f t="shared" si="28"/>
        <v>1</v>
      </c>
      <c r="R297">
        <f t="shared" si="29"/>
        <v>3</v>
      </c>
    </row>
    <row r="298" spans="1:18" x14ac:dyDescent="0.25">
      <c r="A298">
        <f>Raw_data!A298</f>
        <v>297</v>
      </c>
      <c r="B298" t="str">
        <f>Raw_data!B298</f>
        <v>C2895</v>
      </c>
      <c r="C298" t="str">
        <f>Raw_data!C298</f>
        <v>R2628</v>
      </c>
      <c r="D298" s="3">
        <f>Raw_data!D298</f>
        <v>45306.411215277774</v>
      </c>
      <c r="E298" s="3">
        <f>Raw_data!E298</f>
        <v>45306.457048611112</v>
      </c>
      <c r="F298" s="4">
        <f t="shared" si="24"/>
        <v>4.5833333337213844E-2</v>
      </c>
      <c r="G298" s="6">
        <f>Raw_data!F298</f>
        <v>138</v>
      </c>
      <c r="H298" s="6">
        <f>Raw_data!G298</f>
        <v>40</v>
      </c>
      <c r="I298" t="str">
        <f>Raw_data!H298</f>
        <v>Cash on Delivery</v>
      </c>
      <c r="J298" s="7" t="str">
        <f>IF(Raw_data!I298=0.1,"10%",Raw_data!I298)</f>
        <v>None</v>
      </c>
      <c r="K298" s="6">
        <f>Raw_data!J298</f>
        <v>138</v>
      </c>
      <c r="L298" s="6">
        <f>Raw_data!K298</f>
        <v>14</v>
      </c>
      <c r="M298" s="6">
        <f>Raw_data!L298</f>
        <v>0</v>
      </c>
      <c r="N298" s="6">
        <f t="shared" si="25"/>
        <v>-14</v>
      </c>
      <c r="O298" s="6">
        <f t="shared" si="26"/>
        <v>152</v>
      </c>
      <c r="P298" s="6">
        <f t="shared" si="27"/>
        <v>178</v>
      </c>
      <c r="Q298">
        <f t="shared" si="28"/>
        <v>1</v>
      </c>
      <c r="R298">
        <f t="shared" si="29"/>
        <v>2</v>
      </c>
    </row>
    <row r="299" spans="1:18" x14ac:dyDescent="0.25">
      <c r="A299">
        <f>Raw_data!A299</f>
        <v>298</v>
      </c>
      <c r="B299" t="str">
        <f>Raw_data!B299</f>
        <v>C3733</v>
      </c>
      <c r="C299" t="str">
        <f>Raw_data!C299</f>
        <v>R2518</v>
      </c>
      <c r="D299" s="3">
        <f>Raw_data!D299</f>
        <v>45321.617407407408</v>
      </c>
      <c r="E299" s="3">
        <f>Raw_data!E299</f>
        <v>45321.691018518519</v>
      </c>
      <c r="F299" s="4">
        <f t="shared" si="24"/>
        <v>7.3611111110949423E-2</v>
      </c>
      <c r="G299" s="6">
        <f>Raw_data!F299</f>
        <v>1663</v>
      </c>
      <c r="H299" s="6">
        <f>Raw_data!G299</f>
        <v>30</v>
      </c>
      <c r="I299" t="str">
        <f>Raw_data!H299</f>
        <v>Cash on Delivery</v>
      </c>
      <c r="J299" s="7" t="str">
        <f>IF(Raw_data!I299=0.1,"10%",Raw_data!I299)</f>
        <v>10%</v>
      </c>
      <c r="K299" s="6">
        <f>Raw_data!J299</f>
        <v>152</v>
      </c>
      <c r="L299" s="6">
        <f>Raw_data!K299</f>
        <v>26</v>
      </c>
      <c r="M299" s="6">
        <f>Raw_data!L299</f>
        <v>0</v>
      </c>
      <c r="N299" s="6">
        <f t="shared" si="25"/>
        <v>1485</v>
      </c>
      <c r="O299" s="6">
        <f t="shared" si="26"/>
        <v>178</v>
      </c>
      <c r="P299" s="6">
        <f t="shared" si="27"/>
        <v>1693</v>
      </c>
      <c r="Q299">
        <f t="shared" si="28"/>
        <v>1</v>
      </c>
      <c r="R299">
        <f t="shared" si="29"/>
        <v>1</v>
      </c>
    </row>
    <row r="300" spans="1:18" x14ac:dyDescent="0.25">
      <c r="A300">
        <f>Raw_data!A300</f>
        <v>299</v>
      </c>
      <c r="B300" t="str">
        <f>Raw_data!B300</f>
        <v>C4863</v>
      </c>
      <c r="C300" t="str">
        <f>Raw_data!C300</f>
        <v>R2136</v>
      </c>
      <c r="D300" s="3">
        <f>Raw_data!D300</f>
        <v>45297.800625000003</v>
      </c>
      <c r="E300" s="3">
        <f>Raw_data!E300</f>
        <v>45297.865208333336</v>
      </c>
      <c r="F300" s="4">
        <f t="shared" si="24"/>
        <v>6.4583333332848269E-2</v>
      </c>
      <c r="G300" s="6">
        <f>Raw_data!F300</f>
        <v>1172</v>
      </c>
      <c r="H300" s="6">
        <f>Raw_data!G300</f>
        <v>50</v>
      </c>
      <c r="I300" t="str">
        <f>Raw_data!H300</f>
        <v>Credit Card</v>
      </c>
      <c r="J300" s="7" t="str">
        <f>IF(Raw_data!I300=0.1,"10%",Raw_data!I300)</f>
        <v>10%</v>
      </c>
      <c r="K300" s="6">
        <f>Raw_data!J300</f>
        <v>195</v>
      </c>
      <c r="L300" s="6">
        <f>Raw_data!K300</f>
        <v>16</v>
      </c>
      <c r="M300" s="6">
        <f>Raw_data!L300</f>
        <v>100</v>
      </c>
      <c r="N300" s="6">
        <f t="shared" si="25"/>
        <v>961</v>
      </c>
      <c r="O300" s="6">
        <f t="shared" si="26"/>
        <v>111</v>
      </c>
      <c r="P300" s="6">
        <f t="shared" si="27"/>
        <v>1222</v>
      </c>
      <c r="Q300">
        <f t="shared" si="28"/>
        <v>1</v>
      </c>
      <c r="R300">
        <f t="shared" si="29"/>
        <v>1</v>
      </c>
    </row>
    <row r="301" spans="1:18" x14ac:dyDescent="0.25">
      <c r="A301">
        <f>Raw_data!A301</f>
        <v>300</v>
      </c>
      <c r="B301" t="str">
        <f>Raw_data!B301</f>
        <v>C8455</v>
      </c>
      <c r="C301" t="str">
        <f>Raw_data!C301</f>
        <v>R2882</v>
      </c>
      <c r="D301" s="3">
        <f>Raw_data!D301</f>
        <v>45325.353900462964</v>
      </c>
      <c r="E301" s="3">
        <f>Raw_data!E301</f>
        <v>45325.428900462961</v>
      </c>
      <c r="F301" s="4">
        <f t="shared" si="24"/>
        <v>7.4999999997089617E-2</v>
      </c>
      <c r="G301" s="6">
        <f>Raw_data!F301</f>
        <v>1543</v>
      </c>
      <c r="H301" s="6">
        <f>Raw_data!G301</f>
        <v>0</v>
      </c>
      <c r="I301" t="str">
        <f>Raw_data!H301</f>
        <v>Credit Card</v>
      </c>
      <c r="J301" s="7" t="str">
        <f>IF(Raw_data!I301=0.1,"10%",Raw_data!I301)</f>
        <v>50 off Promo</v>
      </c>
      <c r="K301" s="6">
        <f>Raw_data!J301</f>
        <v>55</v>
      </c>
      <c r="L301" s="6">
        <f>Raw_data!K301</f>
        <v>36</v>
      </c>
      <c r="M301" s="6">
        <f>Raw_data!L301</f>
        <v>0</v>
      </c>
      <c r="N301" s="6">
        <f t="shared" si="25"/>
        <v>1452</v>
      </c>
      <c r="O301" s="6">
        <f t="shared" si="26"/>
        <v>91</v>
      </c>
      <c r="P301" s="6">
        <f t="shared" si="27"/>
        <v>1543</v>
      </c>
      <c r="Q301">
        <f t="shared" si="28"/>
        <v>1</v>
      </c>
      <c r="R301">
        <f t="shared" si="29"/>
        <v>1</v>
      </c>
    </row>
    <row r="302" spans="1:18" x14ac:dyDescent="0.25">
      <c r="A302">
        <f>Raw_data!A302</f>
        <v>301</v>
      </c>
      <c r="B302" t="str">
        <f>Raw_data!B302</f>
        <v>C5014</v>
      </c>
      <c r="C302" t="str">
        <f>Raw_data!C302</f>
        <v>R2687</v>
      </c>
      <c r="D302" s="3">
        <f>Raw_data!D302</f>
        <v>45323.817083333335</v>
      </c>
      <c r="E302" s="3">
        <f>Raw_data!E302</f>
        <v>45323.896944444445</v>
      </c>
      <c r="F302" s="4">
        <f t="shared" si="24"/>
        <v>7.9861111109494232E-2</v>
      </c>
      <c r="G302" s="6">
        <f>Raw_data!F302</f>
        <v>736</v>
      </c>
      <c r="H302" s="6">
        <f>Raw_data!G302</f>
        <v>50</v>
      </c>
      <c r="I302" t="str">
        <f>Raw_data!H302</f>
        <v>Cash on Delivery</v>
      </c>
      <c r="J302" s="7" t="str">
        <f>IF(Raw_data!I302=0.1,"10%",Raw_data!I302)</f>
        <v>5% on App</v>
      </c>
      <c r="K302" s="6">
        <f>Raw_data!J302</f>
        <v>171</v>
      </c>
      <c r="L302" s="6">
        <f>Raw_data!K302</f>
        <v>24</v>
      </c>
      <c r="M302" s="6">
        <f>Raw_data!L302</f>
        <v>0</v>
      </c>
      <c r="N302" s="6">
        <f t="shared" si="25"/>
        <v>541</v>
      </c>
      <c r="O302" s="6">
        <f t="shared" si="26"/>
        <v>195</v>
      </c>
      <c r="P302" s="6">
        <f t="shared" si="27"/>
        <v>786</v>
      </c>
      <c r="Q302">
        <f t="shared" si="28"/>
        <v>1</v>
      </c>
      <c r="R302">
        <f t="shared" si="29"/>
        <v>2</v>
      </c>
    </row>
    <row r="303" spans="1:18" x14ac:dyDescent="0.25">
      <c r="A303">
        <f>Raw_data!A303</f>
        <v>302</v>
      </c>
      <c r="B303" t="str">
        <f>Raw_data!B303</f>
        <v>C2686</v>
      </c>
      <c r="C303" t="str">
        <f>Raw_data!C303</f>
        <v>R2839</v>
      </c>
      <c r="D303" s="3">
        <f>Raw_data!D303</f>
        <v>45294.259791666664</v>
      </c>
      <c r="E303" s="3">
        <f>Raw_data!E303</f>
        <v>45294.307708333334</v>
      </c>
      <c r="F303" s="4">
        <f t="shared" si="24"/>
        <v>4.7916666670062114E-2</v>
      </c>
      <c r="G303" s="6">
        <f>Raw_data!F303</f>
        <v>1136</v>
      </c>
      <c r="H303" s="6">
        <f>Raw_data!G303</f>
        <v>0</v>
      </c>
      <c r="I303" t="str">
        <f>Raw_data!H303</f>
        <v>Credit Card</v>
      </c>
      <c r="J303" s="7" t="str">
        <f>IF(Raw_data!I303=0.1,"10%",Raw_data!I303)</f>
        <v>5% on App</v>
      </c>
      <c r="K303" s="6">
        <f>Raw_data!J303</f>
        <v>165</v>
      </c>
      <c r="L303" s="6">
        <f>Raw_data!K303</f>
        <v>22</v>
      </c>
      <c r="M303" s="6">
        <f>Raw_data!L303</f>
        <v>0</v>
      </c>
      <c r="N303" s="6">
        <f t="shared" si="25"/>
        <v>949</v>
      </c>
      <c r="O303" s="6">
        <f t="shared" si="26"/>
        <v>187</v>
      </c>
      <c r="P303" s="6">
        <f t="shared" si="27"/>
        <v>1136</v>
      </c>
      <c r="Q303">
        <f t="shared" si="28"/>
        <v>1</v>
      </c>
      <c r="R303">
        <f t="shared" si="29"/>
        <v>2</v>
      </c>
    </row>
    <row r="304" spans="1:18" x14ac:dyDescent="0.25">
      <c r="A304">
        <f>Raw_data!A304</f>
        <v>303</v>
      </c>
      <c r="B304" t="str">
        <f>Raw_data!B304</f>
        <v>C4009</v>
      </c>
      <c r="C304" t="str">
        <f>Raw_data!C304</f>
        <v>R2497</v>
      </c>
      <c r="D304" s="3">
        <f>Raw_data!D304</f>
        <v>45319.122615740744</v>
      </c>
      <c r="E304" s="3">
        <f>Raw_data!E304</f>
        <v>45319.184421296297</v>
      </c>
      <c r="F304" s="4">
        <f t="shared" si="24"/>
        <v>6.1805555553291924E-2</v>
      </c>
      <c r="G304" s="6">
        <f>Raw_data!F304</f>
        <v>135</v>
      </c>
      <c r="H304" s="6">
        <f>Raw_data!G304</f>
        <v>20</v>
      </c>
      <c r="I304" t="str">
        <f>Raw_data!H304</f>
        <v>Credit Card</v>
      </c>
      <c r="J304" s="7" t="str">
        <f>IF(Raw_data!I304=0.1,"10%",Raw_data!I304)</f>
        <v>50 off Promo</v>
      </c>
      <c r="K304" s="6">
        <f>Raw_data!J304</f>
        <v>111</v>
      </c>
      <c r="L304" s="6">
        <f>Raw_data!K304</f>
        <v>20</v>
      </c>
      <c r="M304" s="6">
        <f>Raw_data!L304</f>
        <v>50</v>
      </c>
      <c r="N304" s="6">
        <f t="shared" si="25"/>
        <v>4</v>
      </c>
      <c r="O304" s="6">
        <f t="shared" si="26"/>
        <v>81</v>
      </c>
      <c r="P304" s="6">
        <f t="shared" si="27"/>
        <v>155</v>
      </c>
      <c r="Q304">
        <f t="shared" si="28"/>
        <v>1</v>
      </c>
      <c r="R304">
        <f t="shared" si="29"/>
        <v>2</v>
      </c>
    </row>
    <row r="305" spans="1:18" x14ac:dyDescent="0.25">
      <c r="A305">
        <f>Raw_data!A305</f>
        <v>304</v>
      </c>
      <c r="B305" t="str">
        <f>Raw_data!B305</f>
        <v>C8806</v>
      </c>
      <c r="C305" t="str">
        <f>Raw_data!C305</f>
        <v>R2826</v>
      </c>
      <c r="D305" s="3">
        <f>Raw_data!D305</f>
        <v>45297.915312500001</v>
      </c>
      <c r="E305" s="3">
        <f>Raw_data!E305</f>
        <v>45297.968784722223</v>
      </c>
      <c r="F305" s="4">
        <f t="shared" si="24"/>
        <v>5.3472222221898846E-2</v>
      </c>
      <c r="G305" s="6">
        <f>Raw_data!F305</f>
        <v>200</v>
      </c>
      <c r="H305" s="6">
        <f>Raw_data!G305</f>
        <v>50</v>
      </c>
      <c r="I305" t="str">
        <f>Raw_data!H305</f>
        <v>Cash on Delivery</v>
      </c>
      <c r="J305" s="7" t="str">
        <f>IF(Raw_data!I305=0.1,"10%",Raw_data!I305)</f>
        <v>50 off Promo</v>
      </c>
      <c r="K305" s="6">
        <f>Raw_data!J305</f>
        <v>193</v>
      </c>
      <c r="L305" s="6">
        <f>Raw_data!K305</f>
        <v>35</v>
      </c>
      <c r="M305" s="6">
        <f>Raw_data!L305</f>
        <v>0</v>
      </c>
      <c r="N305" s="6">
        <f t="shared" si="25"/>
        <v>-28</v>
      </c>
      <c r="O305" s="6">
        <f t="shared" si="26"/>
        <v>228</v>
      </c>
      <c r="P305" s="6">
        <f t="shared" si="27"/>
        <v>250</v>
      </c>
      <c r="Q305">
        <f t="shared" si="28"/>
        <v>1</v>
      </c>
      <c r="R305">
        <f t="shared" si="29"/>
        <v>1</v>
      </c>
    </row>
    <row r="306" spans="1:18" x14ac:dyDescent="0.25">
      <c r="A306">
        <f>Raw_data!A306</f>
        <v>305</v>
      </c>
      <c r="B306" t="str">
        <f>Raw_data!B306</f>
        <v>C1154</v>
      </c>
      <c r="C306" t="str">
        <f>Raw_data!C306</f>
        <v>R2726</v>
      </c>
      <c r="D306" s="3">
        <f>Raw_data!D306</f>
        <v>45316.476678240739</v>
      </c>
      <c r="E306" s="3">
        <f>Raw_data!E306</f>
        <v>45316.510011574072</v>
      </c>
      <c r="F306" s="4">
        <f t="shared" si="24"/>
        <v>3.3333333332848269E-2</v>
      </c>
      <c r="G306" s="6">
        <f>Raw_data!F306</f>
        <v>1917</v>
      </c>
      <c r="H306" s="6">
        <f>Raw_data!G306</f>
        <v>50</v>
      </c>
      <c r="I306" t="str">
        <f>Raw_data!H306</f>
        <v>Credit Card</v>
      </c>
      <c r="J306" s="7" t="str">
        <f>IF(Raw_data!I306=0.1,"10%",Raw_data!I306)</f>
        <v>None</v>
      </c>
      <c r="K306" s="6">
        <f>Raw_data!J306</f>
        <v>185</v>
      </c>
      <c r="L306" s="6">
        <f>Raw_data!K306</f>
        <v>31</v>
      </c>
      <c r="M306" s="6">
        <f>Raw_data!L306</f>
        <v>0</v>
      </c>
      <c r="N306" s="6">
        <f t="shared" si="25"/>
        <v>1701</v>
      </c>
      <c r="O306" s="6">
        <f t="shared" si="26"/>
        <v>216</v>
      </c>
      <c r="P306" s="6">
        <f t="shared" si="27"/>
        <v>1967</v>
      </c>
      <c r="Q306">
        <f t="shared" si="28"/>
        <v>1</v>
      </c>
      <c r="R306">
        <f t="shared" si="29"/>
        <v>5</v>
      </c>
    </row>
    <row r="307" spans="1:18" x14ac:dyDescent="0.25">
      <c r="A307">
        <f>Raw_data!A307</f>
        <v>306</v>
      </c>
      <c r="B307" t="str">
        <f>Raw_data!B307</f>
        <v>C2409</v>
      </c>
      <c r="C307" t="str">
        <f>Raw_data!C307</f>
        <v>R2476</v>
      </c>
      <c r="D307" s="3">
        <f>Raw_data!D307</f>
        <v>45303.717407407406</v>
      </c>
      <c r="E307" s="3">
        <f>Raw_data!E307</f>
        <v>45303.787546296298</v>
      </c>
      <c r="F307" s="4">
        <f t="shared" si="24"/>
        <v>7.013888889196096E-2</v>
      </c>
      <c r="G307" s="6">
        <f>Raw_data!F307</f>
        <v>1209</v>
      </c>
      <c r="H307" s="6">
        <f>Raw_data!G307</f>
        <v>40</v>
      </c>
      <c r="I307" t="str">
        <f>Raw_data!H307</f>
        <v>Credit Card</v>
      </c>
      <c r="J307" s="7" t="str">
        <f>IF(Raw_data!I307=0.1,"10%",Raw_data!I307)</f>
        <v>50 off Promo</v>
      </c>
      <c r="K307" s="6">
        <f>Raw_data!J307</f>
        <v>138</v>
      </c>
      <c r="L307" s="6">
        <f>Raw_data!K307</f>
        <v>37</v>
      </c>
      <c r="M307" s="6">
        <f>Raw_data!L307</f>
        <v>150</v>
      </c>
      <c r="N307" s="6">
        <f t="shared" si="25"/>
        <v>1034</v>
      </c>
      <c r="O307" s="6">
        <f t="shared" si="26"/>
        <v>25</v>
      </c>
      <c r="P307" s="6">
        <f t="shared" si="27"/>
        <v>1249</v>
      </c>
      <c r="Q307">
        <f t="shared" si="28"/>
        <v>1</v>
      </c>
      <c r="R307">
        <f t="shared" si="29"/>
        <v>2</v>
      </c>
    </row>
    <row r="308" spans="1:18" x14ac:dyDescent="0.25">
      <c r="A308">
        <f>Raw_data!A308</f>
        <v>307</v>
      </c>
      <c r="B308" t="str">
        <f>Raw_data!B308</f>
        <v>C1784</v>
      </c>
      <c r="C308" t="str">
        <f>Raw_data!C308</f>
        <v>R2593</v>
      </c>
      <c r="D308" s="3">
        <f>Raw_data!D308</f>
        <v>45302.034305555557</v>
      </c>
      <c r="E308" s="3">
        <f>Raw_data!E308</f>
        <v>45302.077361111114</v>
      </c>
      <c r="F308" s="4">
        <f t="shared" si="24"/>
        <v>4.3055555557657499E-2</v>
      </c>
      <c r="G308" s="6">
        <f>Raw_data!F308</f>
        <v>1639</v>
      </c>
      <c r="H308" s="6">
        <f>Raw_data!G308</f>
        <v>30</v>
      </c>
      <c r="I308" t="str">
        <f>Raw_data!H308</f>
        <v>Digital Wallet</v>
      </c>
      <c r="J308" s="7" t="str">
        <f>IF(Raw_data!I308=0.1,"10%",Raw_data!I308)</f>
        <v>5% on App</v>
      </c>
      <c r="K308" s="6">
        <f>Raw_data!J308</f>
        <v>145</v>
      </c>
      <c r="L308" s="6">
        <f>Raw_data!K308</f>
        <v>33</v>
      </c>
      <c r="M308" s="6">
        <f>Raw_data!L308</f>
        <v>0</v>
      </c>
      <c r="N308" s="6">
        <f t="shared" si="25"/>
        <v>1461</v>
      </c>
      <c r="O308" s="6">
        <f t="shared" si="26"/>
        <v>178</v>
      </c>
      <c r="P308" s="6">
        <f t="shared" si="27"/>
        <v>1669</v>
      </c>
      <c r="Q308">
        <f t="shared" si="28"/>
        <v>1</v>
      </c>
      <c r="R308">
        <f t="shared" si="29"/>
        <v>2</v>
      </c>
    </row>
    <row r="309" spans="1:18" x14ac:dyDescent="0.25">
      <c r="A309">
        <f>Raw_data!A309</f>
        <v>308</v>
      </c>
      <c r="B309" t="str">
        <f>Raw_data!B309</f>
        <v>C9096</v>
      </c>
      <c r="C309" t="str">
        <f>Raw_data!C309</f>
        <v>R2222</v>
      </c>
      <c r="D309" s="3">
        <f>Raw_data!D309</f>
        <v>45292.568333333336</v>
      </c>
      <c r="E309" s="3">
        <f>Raw_data!E309</f>
        <v>45292.619027777779</v>
      </c>
      <c r="F309" s="4">
        <f t="shared" si="24"/>
        <v>5.0694444442342501E-2</v>
      </c>
      <c r="G309" s="6">
        <f>Raw_data!F309</f>
        <v>1346</v>
      </c>
      <c r="H309" s="6">
        <f>Raw_data!G309</f>
        <v>0</v>
      </c>
      <c r="I309" t="str">
        <f>Raw_data!H309</f>
        <v>Cash on Delivery</v>
      </c>
      <c r="J309" s="7" t="str">
        <f>IF(Raw_data!I309=0.1,"10%",Raw_data!I309)</f>
        <v>50 off Promo</v>
      </c>
      <c r="K309" s="6">
        <f>Raw_data!J309</f>
        <v>175</v>
      </c>
      <c r="L309" s="6">
        <f>Raw_data!K309</f>
        <v>38</v>
      </c>
      <c r="M309" s="6">
        <f>Raw_data!L309</f>
        <v>0</v>
      </c>
      <c r="N309" s="6">
        <f t="shared" si="25"/>
        <v>1133</v>
      </c>
      <c r="O309" s="6">
        <f t="shared" si="26"/>
        <v>213</v>
      </c>
      <c r="P309" s="6">
        <f t="shared" si="27"/>
        <v>1346</v>
      </c>
      <c r="Q309">
        <f t="shared" si="28"/>
        <v>1</v>
      </c>
      <c r="R309">
        <f t="shared" si="29"/>
        <v>3</v>
      </c>
    </row>
    <row r="310" spans="1:18" x14ac:dyDescent="0.25">
      <c r="A310">
        <f>Raw_data!A310</f>
        <v>309</v>
      </c>
      <c r="B310" t="str">
        <f>Raw_data!B310</f>
        <v>C8560</v>
      </c>
      <c r="C310" t="str">
        <f>Raw_data!C310</f>
        <v>R2989</v>
      </c>
      <c r="D310" s="3">
        <f>Raw_data!D310</f>
        <v>45327.373576388891</v>
      </c>
      <c r="E310" s="3">
        <f>Raw_data!E310</f>
        <v>45327.419409722221</v>
      </c>
      <c r="F310" s="4">
        <f t="shared" si="24"/>
        <v>4.5833333329937886E-2</v>
      </c>
      <c r="G310" s="6">
        <f>Raw_data!F310</f>
        <v>1461</v>
      </c>
      <c r="H310" s="6">
        <f>Raw_data!G310</f>
        <v>0</v>
      </c>
      <c r="I310" t="str">
        <f>Raw_data!H310</f>
        <v>Digital Wallet</v>
      </c>
      <c r="J310" s="7" t="str">
        <f>IF(Raw_data!I310=0.1,"10%",Raw_data!I310)</f>
        <v>None</v>
      </c>
      <c r="K310" s="6">
        <f>Raw_data!J310</f>
        <v>139</v>
      </c>
      <c r="L310" s="6">
        <f>Raw_data!K310</f>
        <v>18</v>
      </c>
      <c r="M310" s="6">
        <f>Raw_data!L310</f>
        <v>50</v>
      </c>
      <c r="N310" s="6">
        <f t="shared" si="25"/>
        <v>1304</v>
      </c>
      <c r="O310" s="6">
        <f t="shared" si="26"/>
        <v>107</v>
      </c>
      <c r="P310" s="6">
        <f t="shared" si="27"/>
        <v>1461</v>
      </c>
      <c r="Q310">
        <f t="shared" si="28"/>
        <v>2</v>
      </c>
      <c r="R310">
        <f t="shared" si="29"/>
        <v>3</v>
      </c>
    </row>
    <row r="311" spans="1:18" x14ac:dyDescent="0.25">
      <c r="A311">
        <f>Raw_data!A311</f>
        <v>310</v>
      </c>
      <c r="B311" t="str">
        <f>Raw_data!B311</f>
        <v>C8343</v>
      </c>
      <c r="C311" t="str">
        <f>Raw_data!C311</f>
        <v>R2371</v>
      </c>
      <c r="D311" s="3">
        <f>Raw_data!D311</f>
        <v>45301.996099537035</v>
      </c>
      <c r="E311" s="3">
        <f>Raw_data!E311</f>
        <v>45302.078043981484</v>
      </c>
      <c r="F311" s="4">
        <f t="shared" si="24"/>
        <v>8.1944444449618459E-2</v>
      </c>
      <c r="G311" s="6">
        <f>Raw_data!F311</f>
        <v>265</v>
      </c>
      <c r="H311" s="6">
        <f>Raw_data!G311</f>
        <v>40</v>
      </c>
      <c r="I311" t="str">
        <f>Raw_data!H311</f>
        <v>Digital Wallet</v>
      </c>
      <c r="J311" s="7" t="str">
        <f>IF(Raw_data!I311=0.1,"10%",Raw_data!I311)</f>
        <v>None</v>
      </c>
      <c r="K311" s="6">
        <f>Raw_data!J311</f>
        <v>135</v>
      </c>
      <c r="L311" s="6">
        <f>Raw_data!K311</f>
        <v>13</v>
      </c>
      <c r="M311" s="6">
        <f>Raw_data!L311</f>
        <v>0</v>
      </c>
      <c r="N311" s="6">
        <f t="shared" si="25"/>
        <v>117</v>
      </c>
      <c r="O311" s="6">
        <f t="shared" si="26"/>
        <v>148</v>
      </c>
      <c r="P311" s="6">
        <f t="shared" si="27"/>
        <v>305</v>
      </c>
      <c r="Q311">
        <f t="shared" si="28"/>
        <v>1</v>
      </c>
      <c r="R311">
        <f t="shared" si="29"/>
        <v>1</v>
      </c>
    </row>
    <row r="312" spans="1:18" x14ac:dyDescent="0.25">
      <c r="A312">
        <f>Raw_data!A312</f>
        <v>311</v>
      </c>
      <c r="B312" t="str">
        <f>Raw_data!B312</f>
        <v>C8206</v>
      </c>
      <c r="C312" t="str">
        <f>Raw_data!C312</f>
        <v>R2934</v>
      </c>
      <c r="D312" s="3">
        <f>Raw_data!D312</f>
        <v>45329.200416666667</v>
      </c>
      <c r="E312" s="3">
        <f>Raw_data!E312</f>
        <v>45329.245555555557</v>
      </c>
      <c r="F312" s="4">
        <f t="shared" si="24"/>
        <v>4.5138888890505768E-2</v>
      </c>
      <c r="G312" s="6">
        <f>Raw_data!F312</f>
        <v>482</v>
      </c>
      <c r="H312" s="6">
        <f>Raw_data!G312</f>
        <v>40</v>
      </c>
      <c r="I312" t="str">
        <f>Raw_data!H312</f>
        <v>Digital Wallet</v>
      </c>
      <c r="J312" s="7" t="str">
        <f>IF(Raw_data!I312=0.1,"10%",Raw_data!I312)</f>
        <v>None</v>
      </c>
      <c r="K312" s="6">
        <f>Raw_data!J312</f>
        <v>187</v>
      </c>
      <c r="L312" s="6">
        <f>Raw_data!K312</f>
        <v>27</v>
      </c>
      <c r="M312" s="6">
        <f>Raw_data!L312</f>
        <v>0</v>
      </c>
      <c r="N312" s="6">
        <f t="shared" si="25"/>
        <v>268</v>
      </c>
      <c r="O312" s="6">
        <f t="shared" si="26"/>
        <v>214</v>
      </c>
      <c r="P312" s="6">
        <f t="shared" si="27"/>
        <v>522</v>
      </c>
      <c r="Q312">
        <f t="shared" si="28"/>
        <v>1</v>
      </c>
      <c r="R312">
        <f t="shared" si="29"/>
        <v>1</v>
      </c>
    </row>
    <row r="313" spans="1:18" x14ac:dyDescent="0.25">
      <c r="A313">
        <f>Raw_data!A313</f>
        <v>312</v>
      </c>
      <c r="B313" t="str">
        <f>Raw_data!B313</f>
        <v>C6596</v>
      </c>
      <c r="C313" t="str">
        <f>Raw_data!C313</f>
        <v>R2994</v>
      </c>
      <c r="D313" s="3">
        <f>Raw_data!D313</f>
        <v>45310.389791666668</v>
      </c>
      <c r="E313" s="3">
        <f>Raw_data!E313</f>
        <v>45310.466180555559</v>
      </c>
      <c r="F313" s="4">
        <f t="shared" si="24"/>
        <v>7.6388888890505768E-2</v>
      </c>
      <c r="G313" s="6">
        <f>Raw_data!F313</f>
        <v>1979</v>
      </c>
      <c r="H313" s="6">
        <f>Raw_data!G313</f>
        <v>30</v>
      </c>
      <c r="I313" t="str">
        <f>Raw_data!H313</f>
        <v>Credit Card</v>
      </c>
      <c r="J313" s="7" t="str">
        <f>IF(Raw_data!I313=0.1,"10%",Raw_data!I313)</f>
        <v>None</v>
      </c>
      <c r="K313" s="6">
        <f>Raw_data!J313</f>
        <v>170</v>
      </c>
      <c r="L313" s="6">
        <f>Raw_data!K313</f>
        <v>25</v>
      </c>
      <c r="M313" s="6">
        <f>Raw_data!L313</f>
        <v>0</v>
      </c>
      <c r="N313" s="6">
        <f t="shared" si="25"/>
        <v>1784</v>
      </c>
      <c r="O313" s="6">
        <f t="shared" si="26"/>
        <v>195</v>
      </c>
      <c r="P313" s="6">
        <f t="shared" si="27"/>
        <v>2009</v>
      </c>
      <c r="Q313">
        <f t="shared" si="28"/>
        <v>1</v>
      </c>
      <c r="R313">
        <f t="shared" si="29"/>
        <v>2</v>
      </c>
    </row>
    <row r="314" spans="1:18" x14ac:dyDescent="0.25">
      <c r="A314">
        <f>Raw_data!A314</f>
        <v>313</v>
      </c>
      <c r="B314" t="str">
        <f>Raw_data!B314</f>
        <v>C6801</v>
      </c>
      <c r="C314" t="str">
        <f>Raw_data!C314</f>
        <v>R2401</v>
      </c>
      <c r="D314" s="3">
        <f>Raw_data!D314</f>
        <v>45329.480393518519</v>
      </c>
      <c r="E314" s="3">
        <f>Raw_data!E314</f>
        <v>45329.561643518522</v>
      </c>
      <c r="F314" s="4">
        <f t="shared" si="24"/>
        <v>8.1250000002910383E-2</v>
      </c>
      <c r="G314" s="6">
        <f>Raw_data!F314</f>
        <v>1499</v>
      </c>
      <c r="H314" s="6">
        <f>Raw_data!G314</f>
        <v>30</v>
      </c>
      <c r="I314" t="str">
        <f>Raw_data!H314</f>
        <v>Credit Card</v>
      </c>
      <c r="J314" s="7" t="str">
        <f>IF(Raw_data!I314=0.1,"10%",Raw_data!I314)</f>
        <v>15% New User</v>
      </c>
      <c r="K314" s="6">
        <f>Raw_data!J314</f>
        <v>125</v>
      </c>
      <c r="L314" s="6">
        <f>Raw_data!K314</f>
        <v>42</v>
      </c>
      <c r="M314" s="6">
        <f>Raw_data!L314</f>
        <v>0</v>
      </c>
      <c r="N314" s="6">
        <f t="shared" si="25"/>
        <v>1332</v>
      </c>
      <c r="O314" s="6">
        <f t="shared" si="26"/>
        <v>167</v>
      </c>
      <c r="P314" s="6">
        <f t="shared" si="27"/>
        <v>1529</v>
      </c>
      <c r="Q314">
        <f t="shared" si="28"/>
        <v>1</v>
      </c>
      <c r="R314">
        <f t="shared" si="29"/>
        <v>1</v>
      </c>
    </row>
    <row r="315" spans="1:18" x14ac:dyDescent="0.25">
      <c r="A315">
        <f>Raw_data!A315</f>
        <v>314</v>
      </c>
      <c r="B315" t="str">
        <f>Raw_data!B315</f>
        <v>C3806</v>
      </c>
      <c r="C315" t="str">
        <f>Raw_data!C315</f>
        <v>R2442</v>
      </c>
      <c r="D315" s="3">
        <f>Raw_data!D315</f>
        <v>45324.248460648145</v>
      </c>
      <c r="E315" s="3">
        <f>Raw_data!E315</f>
        <v>45324.283182870371</v>
      </c>
      <c r="F315" s="4">
        <f t="shared" si="24"/>
        <v>3.4722222226264421E-2</v>
      </c>
      <c r="G315" s="6">
        <f>Raw_data!F315</f>
        <v>1594</v>
      </c>
      <c r="H315" s="6">
        <f>Raw_data!G315</f>
        <v>50</v>
      </c>
      <c r="I315" t="str">
        <f>Raw_data!H315</f>
        <v>Digital Wallet</v>
      </c>
      <c r="J315" s="7" t="str">
        <f>IF(Raw_data!I315=0.1,"10%",Raw_data!I315)</f>
        <v>50 off Promo</v>
      </c>
      <c r="K315" s="6">
        <f>Raw_data!J315</f>
        <v>141</v>
      </c>
      <c r="L315" s="6">
        <f>Raw_data!K315</f>
        <v>38</v>
      </c>
      <c r="M315" s="6">
        <f>Raw_data!L315</f>
        <v>0</v>
      </c>
      <c r="N315" s="6">
        <f t="shared" si="25"/>
        <v>1415</v>
      </c>
      <c r="O315" s="6">
        <f t="shared" si="26"/>
        <v>179</v>
      </c>
      <c r="P315" s="6">
        <f t="shared" si="27"/>
        <v>1644</v>
      </c>
      <c r="Q315">
        <f t="shared" si="28"/>
        <v>1</v>
      </c>
      <c r="R315">
        <f t="shared" si="29"/>
        <v>2</v>
      </c>
    </row>
    <row r="316" spans="1:18" x14ac:dyDescent="0.25">
      <c r="A316">
        <f>Raw_data!A316</f>
        <v>315</v>
      </c>
      <c r="B316" t="str">
        <f>Raw_data!B316</f>
        <v>C1537</v>
      </c>
      <c r="C316" t="str">
        <f>Raw_data!C316</f>
        <v>R2489</v>
      </c>
      <c r="D316" s="3">
        <f>Raw_data!D316</f>
        <v>45298.535624999997</v>
      </c>
      <c r="E316" s="3">
        <f>Raw_data!E316</f>
        <v>45298.557152777779</v>
      </c>
      <c r="F316" s="4">
        <f t="shared" si="24"/>
        <v>2.1527777782466728E-2</v>
      </c>
      <c r="G316" s="6">
        <f>Raw_data!F316</f>
        <v>889</v>
      </c>
      <c r="H316" s="6">
        <f>Raw_data!G316</f>
        <v>20</v>
      </c>
      <c r="I316" t="str">
        <f>Raw_data!H316</f>
        <v>Digital Wallet</v>
      </c>
      <c r="J316" s="7" t="str">
        <f>IF(Raw_data!I316=0.1,"10%",Raw_data!I316)</f>
        <v>10%</v>
      </c>
      <c r="K316" s="6">
        <f>Raw_data!J316</f>
        <v>119</v>
      </c>
      <c r="L316" s="6">
        <f>Raw_data!K316</f>
        <v>48</v>
      </c>
      <c r="M316" s="6">
        <f>Raw_data!L316</f>
        <v>0</v>
      </c>
      <c r="N316" s="6">
        <f t="shared" si="25"/>
        <v>722</v>
      </c>
      <c r="O316" s="6">
        <f t="shared" si="26"/>
        <v>167</v>
      </c>
      <c r="P316" s="6">
        <f t="shared" si="27"/>
        <v>909</v>
      </c>
      <c r="Q316">
        <f t="shared" si="28"/>
        <v>1</v>
      </c>
      <c r="R316">
        <f t="shared" si="29"/>
        <v>2</v>
      </c>
    </row>
    <row r="317" spans="1:18" x14ac:dyDescent="0.25">
      <c r="A317">
        <f>Raw_data!A317</f>
        <v>316</v>
      </c>
      <c r="B317" t="str">
        <f>Raw_data!B317</f>
        <v>C6986</v>
      </c>
      <c r="C317" t="str">
        <f>Raw_data!C317</f>
        <v>R2614</v>
      </c>
      <c r="D317" s="3">
        <f>Raw_data!D317</f>
        <v>45305.197152777779</v>
      </c>
      <c r="E317" s="3">
        <f>Raw_data!E317</f>
        <v>45305.238819444443</v>
      </c>
      <c r="F317" s="4">
        <f t="shared" si="24"/>
        <v>4.1666666664241347E-2</v>
      </c>
      <c r="G317" s="6">
        <f>Raw_data!F317</f>
        <v>1765</v>
      </c>
      <c r="H317" s="6">
        <f>Raw_data!G317</f>
        <v>30</v>
      </c>
      <c r="I317" t="str">
        <f>Raw_data!H317</f>
        <v>Digital Wallet</v>
      </c>
      <c r="J317" s="7" t="str">
        <f>IF(Raw_data!I317=0.1,"10%",Raw_data!I317)</f>
        <v>50 off Promo</v>
      </c>
      <c r="K317" s="6">
        <f>Raw_data!J317</f>
        <v>197</v>
      </c>
      <c r="L317" s="6">
        <f>Raw_data!K317</f>
        <v>19</v>
      </c>
      <c r="M317" s="6">
        <f>Raw_data!L317</f>
        <v>50</v>
      </c>
      <c r="N317" s="6">
        <f t="shared" si="25"/>
        <v>1549</v>
      </c>
      <c r="O317" s="6">
        <f t="shared" si="26"/>
        <v>166</v>
      </c>
      <c r="P317" s="6">
        <f t="shared" si="27"/>
        <v>1795</v>
      </c>
      <c r="Q317">
        <f t="shared" si="28"/>
        <v>1</v>
      </c>
      <c r="R317">
        <f t="shared" si="29"/>
        <v>1</v>
      </c>
    </row>
    <row r="318" spans="1:18" x14ac:dyDescent="0.25">
      <c r="A318">
        <f>Raw_data!A318</f>
        <v>317</v>
      </c>
      <c r="B318" t="str">
        <f>Raw_data!B318</f>
        <v>C2841</v>
      </c>
      <c r="C318" t="str">
        <f>Raw_data!C318</f>
        <v>R2272</v>
      </c>
      <c r="D318" s="3">
        <f>Raw_data!D318</f>
        <v>45316.943807870368</v>
      </c>
      <c r="E318" s="3">
        <f>Raw_data!E318</f>
        <v>45316.984780092593</v>
      </c>
      <c r="F318" s="4">
        <f t="shared" si="24"/>
        <v>4.0972222224809229E-2</v>
      </c>
      <c r="G318" s="6">
        <f>Raw_data!F318</f>
        <v>130</v>
      </c>
      <c r="H318" s="6">
        <f>Raw_data!G318</f>
        <v>40</v>
      </c>
      <c r="I318" t="str">
        <f>Raw_data!H318</f>
        <v>Credit Card</v>
      </c>
      <c r="J318" s="7" t="str">
        <f>IF(Raw_data!I318=0.1,"10%",Raw_data!I318)</f>
        <v>15% New User</v>
      </c>
      <c r="K318" s="6">
        <f>Raw_data!J318</f>
        <v>182</v>
      </c>
      <c r="L318" s="6">
        <f>Raw_data!K318</f>
        <v>18</v>
      </c>
      <c r="M318" s="6">
        <f>Raw_data!L318</f>
        <v>0</v>
      </c>
      <c r="N318" s="6">
        <f t="shared" si="25"/>
        <v>-70</v>
      </c>
      <c r="O318" s="6">
        <f t="shared" si="26"/>
        <v>200</v>
      </c>
      <c r="P318" s="6">
        <f t="shared" si="27"/>
        <v>170</v>
      </c>
      <c r="Q318">
        <f t="shared" si="28"/>
        <v>1</v>
      </c>
      <c r="R318">
        <f t="shared" si="29"/>
        <v>2</v>
      </c>
    </row>
    <row r="319" spans="1:18" x14ac:dyDescent="0.25">
      <c r="A319">
        <f>Raw_data!A319</f>
        <v>318</v>
      </c>
      <c r="B319" t="str">
        <f>Raw_data!B319</f>
        <v>C9716</v>
      </c>
      <c r="C319" t="str">
        <f>Raw_data!C319</f>
        <v>R2525</v>
      </c>
      <c r="D319" s="3">
        <f>Raw_data!D319</f>
        <v>45294.381574074076</v>
      </c>
      <c r="E319" s="3">
        <f>Raw_data!E319</f>
        <v>45294.45449074074</v>
      </c>
      <c r="F319" s="4">
        <f t="shared" si="24"/>
        <v>7.2916666664241347E-2</v>
      </c>
      <c r="G319" s="6">
        <f>Raw_data!F319</f>
        <v>1498</v>
      </c>
      <c r="H319" s="6">
        <f>Raw_data!G319</f>
        <v>30</v>
      </c>
      <c r="I319" t="str">
        <f>Raw_data!H319</f>
        <v>Digital Wallet</v>
      </c>
      <c r="J319" s="7" t="str">
        <f>IF(Raw_data!I319=0.1,"10%",Raw_data!I319)</f>
        <v>None</v>
      </c>
      <c r="K319" s="6">
        <f>Raw_data!J319</f>
        <v>72</v>
      </c>
      <c r="L319" s="6">
        <f>Raw_data!K319</f>
        <v>40</v>
      </c>
      <c r="M319" s="6">
        <f>Raw_data!L319</f>
        <v>0</v>
      </c>
      <c r="N319" s="6">
        <f t="shared" si="25"/>
        <v>1386</v>
      </c>
      <c r="O319" s="6">
        <f t="shared" si="26"/>
        <v>112</v>
      </c>
      <c r="P319" s="6">
        <f t="shared" si="27"/>
        <v>1528</v>
      </c>
      <c r="Q319">
        <f t="shared" si="28"/>
        <v>1</v>
      </c>
      <c r="R319">
        <f t="shared" si="29"/>
        <v>3</v>
      </c>
    </row>
    <row r="320" spans="1:18" x14ac:dyDescent="0.25">
      <c r="A320">
        <f>Raw_data!A320</f>
        <v>319</v>
      </c>
      <c r="B320" t="str">
        <f>Raw_data!B320</f>
        <v>C7971</v>
      </c>
      <c r="C320" t="str">
        <f>Raw_data!C320</f>
        <v>R2158</v>
      </c>
      <c r="D320" s="3">
        <f>Raw_data!D320</f>
        <v>45305.968298611115</v>
      </c>
      <c r="E320" s="3">
        <f>Raw_data!E320</f>
        <v>45306.018993055557</v>
      </c>
      <c r="F320" s="4">
        <f t="shared" si="24"/>
        <v>5.0694444442342501E-2</v>
      </c>
      <c r="G320" s="6">
        <f>Raw_data!F320</f>
        <v>110</v>
      </c>
      <c r="H320" s="6">
        <f>Raw_data!G320</f>
        <v>0</v>
      </c>
      <c r="I320" t="str">
        <f>Raw_data!H320</f>
        <v>Digital Wallet</v>
      </c>
      <c r="J320" s="7" t="str">
        <f>IF(Raw_data!I320=0.1,"10%",Raw_data!I320)</f>
        <v>15% New User</v>
      </c>
      <c r="K320" s="6">
        <f>Raw_data!J320</f>
        <v>186</v>
      </c>
      <c r="L320" s="6">
        <f>Raw_data!K320</f>
        <v>37</v>
      </c>
      <c r="M320" s="6">
        <f>Raw_data!L320</f>
        <v>50</v>
      </c>
      <c r="N320" s="6">
        <f t="shared" si="25"/>
        <v>-113</v>
      </c>
      <c r="O320" s="6">
        <f t="shared" si="26"/>
        <v>173</v>
      </c>
      <c r="P320" s="6">
        <f t="shared" si="27"/>
        <v>110</v>
      </c>
      <c r="Q320">
        <f t="shared" si="28"/>
        <v>1</v>
      </c>
      <c r="R320">
        <f t="shared" si="29"/>
        <v>2</v>
      </c>
    </row>
    <row r="321" spans="1:18" x14ac:dyDescent="0.25">
      <c r="A321">
        <f>Raw_data!A321</f>
        <v>320</v>
      </c>
      <c r="B321" t="str">
        <f>Raw_data!B321</f>
        <v>C6625</v>
      </c>
      <c r="C321" t="str">
        <f>Raw_data!C321</f>
        <v>R2151</v>
      </c>
      <c r="D321" s="3">
        <f>Raw_data!D321</f>
        <v>45300.925324074073</v>
      </c>
      <c r="E321" s="3">
        <f>Raw_data!E321</f>
        <v>45300.953796296293</v>
      </c>
      <c r="F321" s="4">
        <f t="shared" si="24"/>
        <v>2.8472222220443655E-2</v>
      </c>
      <c r="G321" s="6">
        <f>Raw_data!F321</f>
        <v>1425</v>
      </c>
      <c r="H321" s="6">
        <f>Raw_data!G321</f>
        <v>20</v>
      </c>
      <c r="I321" t="str">
        <f>Raw_data!H321</f>
        <v>Cash on Delivery</v>
      </c>
      <c r="J321" s="7" t="str">
        <f>IF(Raw_data!I321=0.1,"10%",Raw_data!I321)</f>
        <v>5% on App</v>
      </c>
      <c r="K321" s="6">
        <f>Raw_data!J321</f>
        <v>107</v>
      </c>
      <c r="L321" s="6">
        <f>Raw_data!K321</f>
        <v>12</v>
      </c>
      <c r="M321" s="6">
        <f>Raw_data!L321</f>
        <v>0</v>
      </c>
      <c r="N321" s="6">
        <f t="shared" si="25"/>
        <v>1306</v>
      </c>
      <c r="O321" s="6">
        <f t="shared" si="26"/>
        <v>119</v>
      </c>
      <c r="P321" s="6">
        <f t="shared" si="27"/>
        <v>1445</v>
      </c>
      <c r="Q321">
        <f t="shared" si="28"/>
        <v>1</v>
      </c>
      <c r="R321">
        <f t="shared" si="29"/>
        <v>2</v>
      </c>
    </row>
    <row r="322" spans="1:18" x14ac:dyDescent="0.25">
      <c r="A322">
        <f>Raw_data!A322</f>
        <v>321</v>
      </c>
      <c r="B322" t="str">
        <f>Raw_data!B322</f>
        <v>C3950</v>
      </c>
      <c r="C322" t="str">
        <f>Raw_data!C322</f>
        <v>R2994</v>
      </c>
      <c r="D322" s="3">
        <f>Raw_data!D322</f>
        <v>45328.106620370374</v>
      </c>
      <c r="E322" s="3">
        <f>Raw_data!E322</f>
        <v>45328.162175925929</v>
      </c>
      <c r="F322" s="4">
        <f t="shared" si="24"/>
        <v>5.5555555554747116E-2</v>
      </c>
      <c r="G322" s="6">
        <f>Raw_data!F322</f>
        <v>195</v>
      </c>
      <c r="H322" s="6">
        <f>Raw_data!G322</f>
        <v>50</v>
      </c>
      <c r="I322" t="str">
        <f>Raw_data!H322</f>
        <v>Cash on Delivery</v>
      </c>
      <c r="J322" s="7" t="str">
        <f>IF(Raw_data!I322=0.1,"10%",Raw_data!I322)</f>
        <v>5% on App</v>
      </c>
      <c r="K322" s="6">
        <f>Raw_data!J322</f>
        <v>95</v>
      </c>
      <c r="L322" s="6">
        <f>Raw_data!K322</f>
        <v>23</v>
      </c>
      <c r="M322" s="6">
        <f>Raw_data!L322</f>
        <v>100</v>
      </c>
      <c r="N322" s="6">
        <f t="shared" si="25"/>
        <v>77</v>
      </c>
      <c r="O322" s="6">
        <f t="shared" si="26"/>
        <v>18</v>
      </c>
      <c r="P322" s="6">
        <f t="shared" si="27"/>
        <v>245</v>
      </c>
      <c r="Q322">
        <f t="shared" si="28"/>
        <v>1</v>
      </c>
      <c r="R322">
        <f t="shared" si="29"/>
        <v>2</v>
      </c>
    </row>
    <row r="323" spans="1:18" x14ac:dyDescent="0.25">
      <c r="A323">
        <f>Raw_data!A323</f>
        <v>322</v>
      </c>
      <c r="B323" t="str">
        <f>Raw_data!B323</f>
        <v>C8992</v>
      </c>
      <c r="C323" t="str">
        <f>Raw_data!C323</f>
        <v>R2619</v>
      </c>
      <c r="D323" s="3">
        <f>Raw_data!D323</f>
        <v>45325.460706018515</v>
      </c>
      <c r="E323" s="3">
        <f>Raw_data!E323</f>
        <v>45325.514872685184</v>
      </c>
      <c r="F323" s="4">
        <f t="shared" ref="F323:F386" si="30">E323-D323</f>
        <v>5.4166666668606922E-2</v>
      </c>
      <c r="G323" s="6">
        <f>Raw_data!F323</f>
        <v>1313</v>
      </c>
      <c r="H323" s="6">
        <f>Raw_data!G323</f>
        <v>0</v>
      </c>
      <c r="I323" t="str">
        <f>Raw_data!H323</f>
        <v>Credit Card</v>
      </c>
      <c r="J323" s="7" t="str">
        <f>IF(Raw_data!I323=0.1,"10%",Raw_data!I323)</f>
        <v>50 off Promo</v>
      </c>
      <c r="K323" s="6">
        <f>Raw_data!J323</f>
        <v>71</v>
      </c>
      <c r="L323" s="6">
        <f>Raw_data!K323</f>
        <v>34</v>
      </c>
      <c r="M323" s="6">
        <f>Raw_data!L323</f>
        <v>150</v>
      </c>
      <c r="N323" s="6">
        <f t="shared" ref="N323:N386" si="31">G323-K323-L323</f>
        <v>1208</v>
      </c>
      <c r="O323" s="6">
        <f t="shared" ref="O323:O386" si="32">K323+L323-M323</f>
        <v>-45</v>
      </c>
      <c r="P323" s="6">
        <f t="shared" ref="P323:P386" si="33">G323+H323</f>
        <v>1313</v>
      </c>
      <c r="Q323">
        <f t="shared" ref="Q323:Q386" si="34">COUNTIF(B$2:B$1001,B323)</f>
        <v>1</v>
      </c>
      <c r="R323">
        <f t="shared" ref="R323:R386" si="35">COUNTIF(C$2:C$1001,C323)</f>
        <v>1</v>
      </c>
    </row>
    <row r="324" spans="1:18" x14ac:dyDescent="0.25">
      <c r="A324">
        <f>Raw_data!A324</f>
        <v>323</v>
      </c>
      <c r="B324" t="str">
        <f>Raw_data!B324</f>
        <v>C5780</v>
      </c>
      <c r="C324" t="str">
        <f>Raw_data!C324</f>
        <v>R2187</v>
      </c>
      <c r="D324" s="3">
        <f>Raw_data!D324</f>
        <v>45300.59138888889</v>
      </c>
      <c r="E324" s="3">
        <f>Raw_data!E324</f>
        <v>45300.628194444442</v>
      </c>
      <c r="F324" s="4">
        <f t="shared" si="30"/>
        <v>3.6805555551836733E-2</v>
      </c>
      <c r="G324" s="6">
        <f>Raw_data!F324</f>
        <v>552</v>
      </c>
      <c r="H324" s="6">
        <f>Raw_data!G324</f>
        <v>0</v>
      </c>
      <c r="I324" t="str">
        <f>Raw_data!H324</f>
        <v>Cash on Delivery</v>
      </c>
      <c r="J324" s="7" t="str">
        <f>IF(Raw_data!I324=0.1,"10%",Raw_data!I324)</f>
        <v>50 off Promo</v>
      </c>
      <c r="K324" s="6">
        <f>Raw_data!J324</f>
        <v>57</v>
      </c>
      <c r="L324" s="6">
        <f>Raw_data!K324</f>
        <v>24</v>
      </c>
      <c r="M324" s="6">
        <f>Raw_data!L324</f>
        <v>0</v>
      </c>
      <c r="N324" s="6">
        <f t="shared" si="31"/>
        <v>471</v>
      </c>
      <c r="O324" s="6">
        <f t="shared" si="32"/>
        <v>81</v>
      </c>
      <c r="P324" s="6">
        <f t="shared" si="33"/>
        <v>552</v>
      </c>
      <c r="Q324">
        <f t="shared" si="34"/>
        <v>2</v>
      </c>
      <c r="R324">
        <f t="shared" si="35"/>
        <v>1</v>
      </c>
    </row>
    <row r="325" spans="1:18" x14ac:dyDescent="0.25">
      <c r="A325">
        <f>Raw_data!A325</f>
        <v>324</v>
      </c>
      <c r="B325" t="str">
        <f>Raw_data!B325</f>
        <v>C3368</v>
      </c>
      <c r="C325" t="str">
        <f>Raw_data!C325</f>
        <v>R2812</v>
      </c>
      <c r="D325" s="3">
        <f>Raw_data!D325</f>
        <v>45315.902233796296</v>
      </c>
      <c r="E325" s="3">
        <f>Raw_data!E325</f>
        <v>45315.939039351855</v>
      </c>
      <c r="F325" s="4">
        <f t="shared" si="30"/>
        <v>3.680555555911269E-2</v>
      </c>
      <c r="G325" s="6">
        <f>Raw_data!F325</f>
        <v>291</v>
      </c>
      <c r="H325" s="6">
        <f>Raw_data!G325</f>
        <v>20</v>
      </c>
      <c r="I325" t="str">
        <f>Raw_data!H325</f>
        <v>Cash on Delivery</v>
      </c>
      <c r="J325" s="7" t="str">
        <f>IF(Raw_data!I325=0.1,"10%",Raw_data!I325)</f>
        <v>10%</v>
      </c>
      <c r="K325" s="6">
        <f>Raw_data!J325</f>
        <v>172</v>
      </c>
      <c r="L325" s="6">
        <f>Raw_data!K325</f>
        <v>11</v>
      </c>
      <c r="M325" s="6">
        <f>Raw_data!L325</f>
        <v>100</v>
      </c>
      <c r="N325" s="6">
        <f t="shared" si="31"/>
        <v>108</v>
      </c>
      <c r="O325" s="6">
        <f t="shared" si="32"/>
        <v>83</v>
      </c>
      <c r="P325" s="6">
        <f t="shared" si="33"/>
        <v>311</v>
      </c>
      <c r="Q325">
        <f t="shared" si="34"/>
        <v>1</v>
      </c>
      <c r="R325">
        <f t="shared" si="35"/>
        <v>1</v>
      </c>
    </row>
    <row r="326" spans="1:18" x14ac:dyDescent="0.25">
      <c r="A326">
        <f>Raw_data!A326</f>
        <v>325</v>
      </c>
      <c r="B326" t="str">
        <f>Raw_data!B326</f>
        <v>C7655</v>
      </c>
      <c r="C326" t="str">
        <f>Raw_data!C326</f>
        <v>R2097</v>
      </c>
      <c r="D326" s="3">
        <f>Raw_data!D326</f>
        <v>45298.273321759261</v>
      </c>
      <c r="E326" s="3">
        <f>Raw_data!E326</f>
        <v>45298.335127314815</v>
      </c>
      <c r="F326" s="4">
        <f t="shared" si="30"/>
        <v>6.1805555553291924E-2</v>
      </c>
      <c r="G326" s="6">
        <f>Raw_data!F326</f>
        <v>585</v>
      </c>
      <c r="H326" s="6">
        <f>Raw_data!G326</f>
        <v>50</v>
      </c>
      <c r="I326" t="str">
        <f>Raw_data!H326</f>
        <v>Cash on Delivery</v>
      </c>
      <c r="J326" s="7" t="str">
        <f>IF(Raw_data!I326=0.1,"10%",Raw_data!I326)</f>
        <v>10%</v>
      </c>
      <c r="K326" s="6">
        <f>Raw_data!J326</f>
        <v>69</v>
      </c>
      <c r="L326" s="6">
        <f>Raw_data!K326</f>
        <v>33</v>
      </c>
      <c r="M326" s="6">
        <f>Raw_data!L326</f>
        <v>0</v>
      </c>
      <c r="N326" s="6">
        <f t="shared" si="31"/>
        <v>483</v>
      </c>
      <c r="O326" s="6">
        <f t="shared" si="32"/>
        <v>102</v>
      </c>
      <c r="P326" s="6">
        <f t="shared" si="33"/>
        <v>635</v>
      </c>
      <c r="Q326">
        <f t="shared" si="34"/>
        <v>1</v>
      </c>
      <c r="R326">
        <f t="shared" si="35"/>
        <v>2</v>
      </c>
    </row>
    <row r="327" spans="1:18" x14ac:dyDescent="0.25">
      <c r="A327">
        <f>Raw_data!A327</f>
        <v>326</v>
      </c>
      <c r="B327" t="str">
        <f>Raw_data!B327</f>
        <v>C9173</v>
      </c>
      <c r="C327" t="str">
        <f>Raw_data!C327</f>
        <v>R2130</v>
      </c>
      <c r="D327" s="3">
        <f>Raw_data!D327</f>
        <v>45326.675949074073</v>
      </c>
      <c r="E327" s="3">
        <f>Raw_data!E327</f>
        <v>45326.703726851854</v>
      </c>
      <c r="F327" s="4">
        <f t="shared" si="30"/>
        <v>2.7777777781011537E-2</v>
      </c>
      <c r="G327" s="6">
        <f>Raw_data!F327</f>
        <v>1389</v>
      </c>
      <c r="H327" s="6">
        <f>Raw_data!G327</f>
        <v>40</v>
      </c>
      <c r="I327" t="str">
        <f>Raw_data!H327</f>
        <v>Credit Card</v>
      </c>
      <c r="J327" s="7" t="str">
        <f>IF(Raw_data!I327=0.1,"10%",Raw_data!I327)</f>
        <v>5% on App</v>
      </c>
      <c r="K327" s="6">
        <f>Raw_data!J327</f>
        <v>127</v>
      </c>
      <c r="L327" s="6">
        <f>Raw_data!K327</f>
        <v>23</v>
      </c>
      <c r="M327" s="6">
        <f>Raw_data!L327</f>
        <v>50</v>
      </c>
      <c r="N327" s="6">
        <f t="shared" si="31"/>
        <v>1239</v>
      </c>
      <c r="O327" s="6">
        <f t="shared" si="32"/>
        <v>100</v>
      </c>
      <c r="P327" s="6">
        <f t="shared" si="33"/>
        <v>1429</v>
      </c>
      <c r="Q327">
        <f t="shared" si="34"/>
        <v>1</v>
      </c>
      <c r="R327">
        <f t="shared" si="35"/>
        <v>2</v>
      </c>
    </row>
    <row r="328" spans="1:18" x14ac:dyDescent="0.25">
      <c r="A328">
        <f>Raw_data!A328</f>
        <v>327</v>
      </c>
      <c r="B328" t="str">
        <f>Raw_data!B328</f>
        <v>C5495</v>
      </c>
      <c r="C328" t="str">
        <f>Raw_data!C328</f>
        <v>R2804</v>
      </c>
      <c r="D328" s="3">
        <f>Raw_data!D328</f>
        <v>45310.254884259259</v>
      </c>
      <c r="E328" s="3">
        <f>Raw_data!E328</f>
        <v>45310.284050925926</v>
      </c>
      <c r="F328" s="4">
        <f t="shared" si="30"/>
        <v>2.9166666667151731E-2</v>
      </c>
      <c r="G328" s="6">
        <f>Raw_data!F328</f>
        <v>1547</v>
      </c>
      <c r="H328" s="6">
        <f>Raw_data!G328</f>
        <v>50</v>
      </c>
      <c r="I328" t="str">
        <f>Raw_data!H328</f>
        <v>Cash on Delivery</v>
      </c>
      <c r="J328" s="7" t="str">
        <f>IF(Raw_data!I328=0.1,"10%",Raw_data!I328)</f>
        <v>None</v>
      </c>
      <c r="K328" s="6">
        <f>Raw_data!J328</f>
        <v>88</v>
      </c>
      <c r="L328" s="6">
        <f>Raw_data!K328</f>
        <v>16</v>
      </c>
      <c r="M328" s="6">
        <f>Raw_data!L328</f>
        <v>0</v>
      </c>
      <c r="N328" s="6">
        <f t="shared" si="31"/>
        <v>1443</v>
      </c>
      <c r="O328" s="6">
        <f t="shared" si="32"/>
        <v>104</v>
      </c>
      <c r="P328" s="6">
        <f t="shared" si="33"/>
        <v>1597</v>
      </c>
      <c r="Q328">
        <f t="shared" si="34"/>
        <v>1</v>
      </c>
      <c r="R328">
        <f t="shared" si="35"/>
        <v>5</v>
      </c>
    </row>
    <row r="329" spans="1:18" x14ac:dyDescent="0.25">
      <c r="A329">
        <f>Raw_data!A329</f>
        <v>328</v>
      </c>
      <c r="B329" t="str">
        <f>Raw_data!B329</f>
        <v>C7002</v>
      </c>
      <c r="C329" t="str">
        <f>Raw_data!C329</f>
        <v>R2170</v>
      </c>
      <c r="D329" s="3">
        <f>Raw_data!D329</f>
        <v>45294.982418981483</v>
      </c>
      <c r="E329" s="3">
        <f>Raw_data!E329</f>
        <v>45295.052557870367</v>
      </c>
      <c r="F329" s="4">
        <f t="shared" si="30"/>
        <v>7.0138888884685002E-2</v>
      </c>
      <c r="G329" s="6">
        <f>Raw_data!F329</f>
        <v>1251</v>
      </c>
      <c r="H329" s="6">
        <f>Raw_data!G329</f>
        <v>30</v>
      </c>
      <c r="I329" t="str">
        <f>Raw_data!H329</f>
        <v>Credit Card</v>
      </c>
      <c r="J329" s="7" t="str">
        <f>IF(Raw_data!I329=0.1,"10%",Raw_data!I329)</f>
        <v>15% New User</v>
      </c>
      <c r="K329" s="6">
        <f>Raw_data!J329</f>
        <v>86</v>
      </c>
      <c r="L329" s="6">
        <f>Raw_data!K329</f>
        <v>45</v>
      </c>
      <c r="M329" s="6">
        <f>Raw_data!L329</f>
        <v>0</v>
      </c>
      <c r="N329" s="6">
        <f t="shared" si="31"/>
        <v>1120</v>
      </c>
      <c r="O329" s="6">
        <f t="shared" si="32"/>
        <v>131</v>
      </c>
      <c r="P329" s="6">
        <f t="shared" si="33"/>
        <v>1281</v>
      </c>
      <c r="Q329">
        <f t="shared" si="34"/>
        <v>1</v>
      </c>
      <c r="R329">
        <f t="shared" si="35"/>
        <v>1</v>
      </c>
    </row>
    <row r="330" spans="1:18" x14ac:dyDescent="0.25">
      <c r="A330">
        <f>Raw_data!A330</f>
        <v>329</v>
      </c>
      <c r="B330" t="str">
        <f>Raw_data!B330</f>
        <v>C7614</v>
      </c>
      <c r="C330" t="str">
        <f>Raw_data!C330</f>
        <v>R2935</v>
      </c>
      <c r="D330" s="3">
        <f>Raw_data!D330</f>
        <v>45293.088171296295</v>
      </c>
      <c r="E330" s="3">
        <f>Raw_data!E330</f>
        <v>45293.159699074073</v>
      </c>
      <c r="F330" s="4">
        <f t="shared" si="30"/>
        <v>7.1527777778101154E-2</v>
      </c>
      <c r="G330" s="6">
        <f>Raw_data!F330</f>
        <v>337</v>
      </c>
      <c r="H330" s="6">
        <f>Raw_data!G330</f>
        <v>0</v>
      </c>
      <c r="I330" t="str">
        <f>Raw_data!H330</f>
        <v>Digital Wallet</v>
      </c>
      <c r="J330" s="7" t="str">
        <f>IF(Raw_data!I330=0.1,"10%",Raw_data!I330)</f>
        <v>10%</v>
      </c>
      <c r="K330" s="6">
        <f>Raw_data!J330</f>
        <v>124</v>
      </c>
      <c r="L330" s="6">
        <f>Raw_data!K330</f>
        <v>33</v>
      </c>
      <c r="M330" s="6">
        <f>Raw_data!L330</f>
        <v>0</v>
      </c>
      <c r="N330" s="6">
        <f t="shared" si="31"/>
        <v>180</v>
      </c>
      <c r="O330" s="6">
        <f t="shared" si="32"/>
        <v>157</v>
      </c>
      <c r="P330" s="6">
        <f t="shared" si="33"/>
        <v>337</v>
      </c>
      <c r="Q330">
        <f t="shared" si="34"/>
        <v>1</v>
      </c>
      <c r="R330">
        <f t="shared" si="35"/>
        <v>2</v>
      </c>
    </row>
    <row r="331" spans="1:18" x14ac:dyDescent="0.25">
      <c r="A331">
        <f>Raw_data!A331</f>
        <v>330</v>
      </c>
      <c r="B331" t="str">
        <f>Raw_data!B331</f>
        <v>C6919</v>
      </c>
      <c r="C331" t="str">
        <f>Raw_data!C331</f>
        <v>R2985</v>
      </c>
      <c r="D331" s="3">
        <f>Raw_data!D331</f>
        <v>45308.610844907409</v>
      </c>
      <c r="E331" s="3">
        <f>Raw_data!E331</f>
        <v>45308.680983796294</v>
      </c>
      <c r="F331" s="4">
        <f t="shared" si="30"/>
        <v>7.0138888884685002E-2</v>
      </c>
      <c r="G331" s="6">
        <f>Raw_data!F331</f>
        <v>1478</v>
      </c>
      <c r="H331" s="6">
        <f>Raw_data!G331</f>
        <v>30</v>
      </c>
      <c r="I331" t="str">
        <f>Raw_data!H331</f>
        <v>Cash on Delivery</v>
      </c>
      <c r="J331" s="7" t="str">
        <f>IF(Raw_data!I331=0.1,"10%",Raw_data!I331)</f>
        <v>10%</v>
      </c>
      <c r="K331" s="6">
        <f>Raw_data!J331</f>
        <v>167</v>
      </c>
      <c r="L331" s="6">
        <f>Raw_data!K331</f>
        <v>36</v>
      </c>
      <c r="M331" s="6">
        <f>Raw_data!L331</f>
        <v>0</v>
      </c>
      <c r="N331" s="6">
        <f t="shared" si="31"/>
        <v>1275</v>
      </c>
      <c r="O331" s="6">
        <f t="shared" si="32"/>
        <v>203</v>
      </c>
      <c r="P331" s="6">
        <f t="shared" si="33"/>
        <v>1508</v>
      </c>
      <c r="Q331">
        <f t="shared" si="34"/>
        <v>1</v>
      </c>
      <c r="R331">
        <f t="shared" si="35"/>
        <v>1</v>
      </c>
    </row>
    <row r="332" spans="1:18" x14ac:dyDescent="0.25">
      <c r="A332">
        <f>Raw_data!A332</f>
        <v>331</v>
      </c>
      <c r="B332" t="str">
        <f>Raw_data!B332</f>
        <v>C1853</v>
      </c>
      <c r="C332" t="str">
        <f>Raw_data!C332</f>
        <v>R2182</v>
      </c>
      <c r="D332" s="3">
        <f>Raw_data!D332</f>
        <v>45315.127280092594</v>
      </c>
      <c r="E332" s="3">
        <f>Raw_data!E332</f>
        <v>45315.191863425927</v>
      </c>
      <c r="F332" s="4">
        <f t="shared" si="30"/>
        <v>6.4583333332848269E-2</v>
      </c>
      <c r="G332" s="6">
        <f>Raw_data!F332</f>
        <v>1235</v>
      </c>
      <c r="H332" s="6">
        <f>Raw_data!G332</f>
        <v>40</v>
      </c>
      <c r="I332" t="str">
        <f>Raw_data!H332</f>
        <v>Credit Card</v>
      </c>
      <c r="J332" s="7" t="str">
        <f>IF(Raw_data!I332=0.1,"10%",Raw_data!I332)</f>
        <v>None</v>
      </c>
      <c r="K332" s="6">
        <f>Raw_data!J332</f>
        <v>153</v>
      </c>
      <c r="L332" s="6">
        <f>Raw_data!K332</f>
        <v>46</v>
      </c>
      <c r="M332" s="6">
        <f>Raw_data!L332</f>
        <v>0</v>
      </c>
      <c r="N332" s="6">
        <f t="shared" si="31"/>
        <v>1036</v>
      </c>
      <c r="O332" s="6">
        <f t="shared" si="32"/>
        <v>199</v>
      </c>
      <c r="P332" s="6">
        <f t="shared" si="33"/>
        <v>1275</v>
      </c>
      <c r="Q332">
        <f t="shared" si="34"/>
        <v>1</v>
      </c>
      <c r="R332">
        <f t="shared" si="35"/>
        <v>1</v>
      </c>
    </row>
    <row r="333" spans="1:18" x14ac:dyDescent="0.25">
      <c r="A333">
        <f>Raw_data!A333</f>
        <v>332</v>
      </c>
      <c r="B333" t="str">
        <f>Raw_data!B333</f>
        <v>C5146</v>
      </c>
      <c r="C333" t="str">
        <f>Raw_data!C333</f>
        <v>R2982</v>
      </c>
      <c r="D333" s="3">
        <f>Raw_data!D333</f>
        <v>45315.782175925924</v>
      </c>
      <c r="E333" s="3">
        <f>Raw_data!E333</f>
        <v>45315.816203703704</v>
      </c>
      <c r="F333" s="4">
        <f t="shared" si="30"/>
        <v>3.4027777779556345E-2</v>
      </c>
      <c r="G333" s="6">
        <f>Raw_data!F333</f>
        <v>1951</v>
      </c>
      <c r="H333" s="6">
        <f>Raw_data!G333</f>
        <v>30</v>
      </c>
      <c r="I333" t="str">
        <f>Raw_data!H333</f>
        <v>Cash on Delivery</v>
      </c>
      <c r="J333" s="7" t="str">
        <f>IF(Raw_data!I333=0.1,"10%",Raw_data!I333)</f>
        <v>None</v>
      </c>
      <c r="K333" s="6">
        <f>Raw_data!J333</f>
        <v>80</v>
      </c>
      <c r="L333" s="6">
        <f>Raw_data!K333</f>
        <v>47</v>
      </c>
      <c r="M333" s="6">
        <f>Raw_data!L333</f>
        <v>0</v>
      </c>
      <c r="N333" s="6">
        <f t="shared" si="31"/>
        <v>1824</v>
      </c>
      <c r="O333" s="6">
        <f t="shared" si="32"/>
        <v>127</v>
      </c>
      <c r="P333" s="6">
        <f t="shared" si="33"/>
        <v>1981</v>
      </c>
      <c r="Q333">
        <f t="shared" si="34"/>
        <v>2</v>
      </c>
      <c r="R333">
        <f t="shared" si="35"/>
        <v>3</v>
      </c>
    </row>
    <row r="334" spans="1:18" x14ac:dyDescent="0.25">
      <c r="A334">
        <f>Raw_data!A334</f>
        <v>333</v>
      </c>
      <c r="B334" t="str">
        <f>Raw_data!B334</f>
        <v>C4769</v>
      </c>
      <c r="C334" t="str">
        <f>Raw_data!C334</f>
        <v>R2363</v>
      </c>
      <c r="D334" s="3">
        <f>Raw_data!D334</f>
        <v>45294.651666666665</v>
      </c>
      <c r="E334" s="3">
        <f>Raw_data!E334</f>
        <v>45294.721805555557</v>
      </c>
      <c r="F334" s="4">
        <f t="shared" si="30"/>
        <v>7.013888889196096E-2</v>
      </c>
      <c r="G334" s="6">
        <f>Raw_data!F334</f>
        <v>1569</v>
      </c>
      <c r="H334" s="6">
        <f>Raw_data!G334</f>
        <v>50</v>
      </c>
      <c r="I334" t="str">
        <f>Raw_data!H334</f>
        <v>Digital Wallet</v>
      </c>
      <c r="J334" s="7" t="str">
        <f>IF(Raw_data!I334=0.1,"10%",Raw_data!I334)</f>
        <v>50 off Promo</v>
      </c>
      <c r="K334" s="6">
        <f>Raw_data!J334</f>
        <v>172</v>
      </c>
      <c r="L334" s="6">
        <f>Raw_data!K334</f>
        <v>39</v>
      </c>
      <c r="M334" s="6">
        <f>Raw_data!L334</f>
        <v>150</v>
      </c>
      <c r="N334" s="6">
        <f t="shared" si="31"/>
        <v>1358</v>
      </c>
      <c r="O334" s="6">
        <f t="shared" si="32"/>
        <v>61</v>
      </c>
      <c r="P334" s="6">
        <f t="shared" si="33"/>
        <v>1619</v>
      </c>
      <c r="Q334">
        <f t="shared" si="34"/>
        <v>1</v>
      </c>
      <c r="R334">
        <f t="shared" si="35"/>
        <v>3</v>
      </c>
    </row>
    <row r="335" spans="1:18" x14ac:dyDescent="0.25">
      <c r="A335">
        <f>Raw_data!A335</f>
        <v>334</v>
      </c>
      <c r="B335" t="str">
        <f>Raw_data!B335</f>
        <v>C1574</v>
      </c>
      <c r="C335" t="str">
        <f>Raw_data!C335</f>
        <v>R2038</v>
      </c>
      <c r="D335" s="3">
        <f>Raw_data!D335</f>
        <v>45301.747523148151</v>
      </c>
      <c r="E335" s="3">
        <f>Raw_data!E335</f>
        <v>45301.818356481483</v>
      </c>
      <c r="F335" s="4">
        <f t="shared" si="30"/>
        <v>7.0833333331393078E-2</v>
      </c>
      <c r="G335" s="6">
        <f>Raw_data!F335</f>
        <v>1466</v>
      </c>
      <c r="H335" s="6">
        <f>Raw_data!G335</f>
        <v>30</v>
      </c>
      <c r="I335" t="str">
        <f>Raw_data!H335</f>
        <v>Credit Card</v>
      </c>
      <c r="J335" s="7" t="str">
        <f>IF(Raw_data!I335=0.1,"10%",Raw_data!I335)</f>
        <v>15% New User</v>
      </c>
      <c r="K335" s="6">
        <f>Raw_data!J335</f>
        <v>103</v>
      </c>
      <c r="L335" s="6">
        <f>Raw_data!K335</f>
        <v>36</v>
      </c>
      <c r="M335" s="6">
        <f>Raw_data!L335</f>
        <v>0</v>
      </c>
      <c r="N335" s="6">
        <f t="shared" si="31"/>
        <v>1327</v>
      </c>
      <c r="O335" s="6">
        <f t="shared" si="32"/>
        <v>139</v>
      </c>
      <c r="P335" s="6">
        <f t="shared" si="33"/>
        <v>1496</v>
      </c>
      <c r="Q335">
        <f t="shared" si="34"/>
        <v>1</v>
      </c>
      <c r="R335">
        <f t="shared" si="35"/>
        <v>4</v>
      </c>
    </row>
    <row r="336" spans="1:18" x14ac:dyDescent="0.25">
      <c r="A336">
        <f>Raw_data!A336</f>
        <v>335</v>
      </c>
      <c r="B336" t="str">
        <f>Raw_data!B336</f>
        <v>C2148</v>
      </c>
      <c r="C336" t="str">
        <f>Raw_data!C336</f>
        <v>R2526</v>
      </c>
      <c r="D336" s="3">
        <f>Raw_data!D336</f>
        <v>45294.239699074074</v>
      </c>
      <c r="E336" s="3">
        <f>Raw_data!E336</f>
        <v>45294.30914351852</v>
      </c>
      <c r="F336" s="4">
        <f t="shared" si="30"/>
        <v>6.9444444445252884E-2</v>
      </c>
      <c r="G336" s="6">
        <f>Raw_data!F336</f>
        <v>1268</v>
      </c>
      <c r="H336" s="6">
        <f>Raw_data!G336</f>
        <v>40</v>
      </c>
      <c r="I336" t="str">
        <f>Raw_data!H336</f>
        <v>Credit Card</v>
      </c>
      <c r="J336" s="7" t="str">
        <f>IF(Raw_data!I336=0.1,"10%",Raw_data!I336)</f>
        <v>None</v>
      </c>
      <c r="K336" s="6">
        <f>Raw_data!J336</f>
        <v>83</v>
      </c>
      <c r="L336" s="6">
        <f>Raw_data!K336</f>
        <v>48</v>
      </c>
      <c r="M336" s="6">
        <f>Raw_data!L336</f>
        <v>50</v>
      </c>
      <c r="N336" s="6">
        <f t="shared" si="31"/>
        <v>1137</v>
      </c>
      <c r="O336" s="6">
        <f t="shared" si="32"/>
        <v>81</v>
      </c>
      <c r="P336" s="6">
        <f t="shared" si="33"/>
        <v>1308</v>
      </c>
      <c r="Q336">
        <f t="shared" si="34"/>
        <v>1</v>
      </c>
      <c r="R336">
        <f t="shared" si="35"/>
        <v>3</v>
      </c>
    </row>
    <row r="337" spans="1:18" x14ac:dyDescent="0.25">
      <c r="A337">
        <f>Raw_data!A337</f>
        <v>336</v>
      </c>
      <c r="B337" t="str">
        <f>Raw_data!B337</f>
        <v>C7293</v>
      </c>
      <c r="C337" t="str">
        <f>Raw_data!C337</f>
        <v>R2887</v>
      </c>
      <c r="D337" s="3">
        <f>Raw_data!D337</f>
        <v>45305.407673611109</v>
      </c>
      <c r="E337" s="3">
        <f>Raw_data!E337</f>
        <v>45305.481979166667</v>
      </c>
      <c r="F337" s="4">
        <f t="shared" si="30"/>
        <v>7.4305555557657499E-2</v>
      </c>
      <c r="G337" s="6">
        <f>Raw_data!F337</f>
        <v>1188</v>
      </c>
      <c r="H337" s="6">
        <f>Raw_data!G337</f>
        <v>40</v>
      </c>
      <c r="I337" t="str">
        <f>Raw_data!H337</f>
        <v>Credit Card</v>
      </c>
      <c r="J337" s="7" t="str">
        <f>IF(Raw_data!I337=0.1,"10%",Raw_data!I337)</f>
        <v>10%</v>
      </c>
      <c r="K337" s="6">
        <f>Raw_data!J337</f>
        <v>171</v>
      </c>
      <c r="L337" s="6">
        <f>Raw_data!K337</f>
        <v>24</v>
      </c>
      <c r="M337" s="6">
        <f>Raw_data!L337</f>
        <v>0</v>
      </c>
      <c r="N337" s="6">
        <f t="shared" si="31"/>
        <v>993</v>
      </c>
      <c r="O337" s="6">
        <f t="shared" si="32"/>
        <v>195</v>
      </c>
      <c r="P337" s="6">
        <f t="shared" si="33"/>
        <v>1228</v>
      </c>
      <c r="Q337">
        <f t="shared" si="34"/>
        <v>1</v>
      </c>
      <c r="R337">
        <f t="shared" si="35"/>
        <v>2</v>
      </c>
    </row>
    <row r="338" spans="1:18" x14ac:dyDescent="0.25">
      <c r="A338">
        <f>Raw_data!A338</f>
        <v>337</v>
      </c>
      <c r="B338" t="str">
        <f>Raw_data!B338</f>
        <v>C7457</v>
      </c>
      <c r="C338" t="str">
        <f>Raw_data!C338</f>
        <v>R2496</v>
      </c>
      <c r="D338" s="3">
        <f>Raw_data!D338</f>
        <v>45315.095497685186</v>
      </c>
      <c r="E338" s="3">
        <f>Raw_data!E338</f>
        <v>45315.135081018518</v>
      </c>
      <c r="F338" s="4">
        <f t="shared" si="30"/>
        <v>3.9583333331393078E-2</v>
      </c>
      <c r="G338" s="6">
        <f>Raw_data!F338</f>
        <v>1370</v>
      </c>
      <c r="H338" s="6">
        <f>Raw_data!G338</f>
        <v>40</v>
      </c>
      <c r="I338" t="str">
        <f>Raw_data!H338</f>
        <v>Digital Wallet</v>
      </c>
      <c r="J338" s="7" t="str">
        <f>IF(Raw_data!I338=0.1,"10%",Raw_data!I338)</f>
        <v>10%</v>
      </c>
      <c r="K338" s="6">
        <f>Raw_data!J338</f>
        <v>162</v>
      </c>
      <c r="L338" s="6">
        <f>Raw_data!K338</f>
        <v>35</v>
      </c>
      <c r="M338" s="6">
        <f>Raw_data!L338</f>
        <v>0</v>
      </c>
      <c r="N338" s="6">
        <f t="shared" si="31"/>
        <v>1173</v>
      </c>
      <c r="O338" s="6">
        <f t="shared" si="32"/>
        <v>197</v>
      </c>
      <c r="P338" s="6">
        <f t="shared" si="33"/>
        <v>1410</v>
      </c>
      <c r="Q338">
        <f t="shared" si="34"/>
        <v>1</v>
      </c>
      <c r="R338">
        <f t="shared" si="35"/>
        <v>2</v>
      </c>
    </row>
    <row r="339" spans="1:18" x14ac:dyDescent="0.25">
      <c r="A339">
        <f>Raw_data!A339</f>
        <v>338</v>
      </c>
      <c r="B339" t="str">
        <f>Raw_data!B339</f>
        <v>C8509</v>
      </c>
      <c r="C339" t="str">
        <f>Raw_data!C339</f>
        <v>R2515</v>
      </c>
      <c r="D339" s="3">
        <f>Raw_data!D339</f>
        <v>45309.283483796295</v>
      </c>
      <c r="E339" s="3">
        <f>Raw_data!E339</f>
        <v>45309.305011574077</v>
      </c>
      <c r="F339" s="4">
        <f t="shared" si="30"/>
        <v>2.1527777782466728E-2</v>
      </c>
      <c r="G339" s="6">
        <f>Raw_data!F339</f>
        <v>834</v>
      </c>
      <c r="H339" s="6">
        <f>Raw_data!G339</f>
        <v>50</v>
      </c>
      <c r="I339" t="str">
        <f>Raw_data!H339</f>
        <v>Digital Wallet</v>
      </c>
      <c r="J339" s="7" t="str">
        <f>IF(Raw_data!I339=0.1,"10%",Raw_data!I339)</f>
        <v>5% on App</v>
      </c>
      <c r="K339" s="6">
        <f>Raw_data!J339</f>
        <v>111</v>
      </c>
      <c r="L339" s="6">
        <f>Raw_data!K339</f>
        <v>10</v>
      </c>
      <c r="M339" s="6">
        <f>Raw_data!L339</f>
        <v>0</v>
      </c>
      <c r="N339" s="6">
        <f t="shared" si="31"/>
        <v>713</v>
      </c>
      <c r="O339" s="6">
        <f t="shared" si="32"/>
        <v>121</v>
      </c>
      <c r="P339" s="6">
        <f t="shared" si="33"/>
        <v>884</v>
      </c>
      <c r="Q339">
        <f t="shared" si="34"/>
        <v>1</v>
      </c>
      <c r="R339">
        <f t="shared" si="35"/>
        <v>3</v>
      </c>
    </row>
    <row r="340" spans="1:18" x14ac:dyDescent="0.25">
      <c r="A340">
        <f>Raw_data!A340</f>
        <v>339</v>
      </c>
      <c r="B340" t="str">
        <f>Raw_data!B340</f>
        <v>C5777</v>
      </c>
      <c r="C340" t="str">
        <f>Raw_data!C340</f>
        <v>R2348</v>
      </c>
      <c r="D340" s="3">
        <f>Raw_data!D340</f>
        <v>45321.529097222221</v>
      </c>
      <c r="E340" s="3">
        <f>Raw_data!E340</f>
        <v>45321.579097222224</v>
      </c>
      <c r="F340" s="4">
        <f t="shared" si="30"/>
        <v>5.0000000002910383E-2</v>
      </c>
      <c r="G340" s="6">
        <f>Raw_data!F340</f>
        <v>1090</v>
      </c>
      <c r="H340" s="6">
        <f>Raw_data!G340</f>
        <v>40</v>
      </c>
      <c r="I340" t="str">
        <f>Raw_data!H340</f>
        <v>Digital Wallet</v>
      </c>
      <c r="J340" s="7" t="str">
        <f>IF(Raw_data!I340=0.1,"10%",Raw_data!I340)</f>
        <v>None</v>
      </c>
      <c r="K340" s="6">
        <f>Raw_data!J340</f>
        <v>72</v>
      </c>
      <c r="L340" s="6">
        <f>Raw_data!K340</f>
        <v>13</v>
      </c>
      <c r="M340" s="6">
        <f>Raw_data!L340</f>
        <v>0</v>
      </c>
      <c r="N340" s="6">
        <f t="shared" si="31"/>
        <v>1005</v>
      </c>
      <c r="O340" s="6">
        <f t="shared" si="32"/>
        <v>85</v>
      </c>
      <c r="P340" s="6">
        <f t="shared" si="33"/>
        <v>1130</v>
      </c>
      <c r="Q340">
        <f t="shared" si="34"/>
        <v>2</v>
      </c>
      <c r="R340">
        <f t="shared" si="35"/>
        <v>4</v>
      </c>
    </row>
    <row r="341" spans="1:18" x14ac:dyDescent="0.25">
      <c r="A341">
        <f>Raw_data!A341</f>
        <v>340</v>
      </c>
      <c r="B341" t="str">
        <f>Raw_data!B341</f>
        <v>C4854</v>
      </c>
      <c r="C341" t="str">
        <f>Raw_data!C341</f>
        <v>R2981</v>
      </c>
      <c r="D341" s="3">
        <f>Raw_data!D341</f>
        <v>45325.820034722223</v>
      </c>
      <c r="E341" s="3">
        <f>Raw_data!E341</f>
        <v>45325.845729166664</v>
      </c>
      <c r="F341" s="4">
        <f t="shared" si="30"/>
        <v>2.569444444088731E-2</v>
      </c>
      <c r="G341" s="6">
        <f>Raw_data!F341</f>
        <v>1613</v>
      </c>
      <c r="H341" s="6">
        <f>Raw_data!G341</f>
        <v>0</v>
      </c>
      <c r="I341" t="str">
        <f>Raw_data!H341</f>
        <v>Credit Card</v>
      </c>
      <c r="J341" s="7" t="str">
        <f>IF(Raw_data!I341=0.1,"10%",Raw_data!I341)</f>
        <v>50 off Promo</v>
      </c>
      <c r="K341" s="6">
        <f>Raw_data!J341</f>
        <v>95</v>
      </c>
      <c r="L341" s="6">
        <f>Raw_data!K341</f>
        <v>38</v>
      </c>
      <c r="M341" s="6">
        <f>Raw_data!L341</f>
        <v>0</v>
      </c>
      <c r="N341" s="6">
        <f t="shared" si="31"/>
        <v>1480</v>
      </c>
      <c r="O341" s="6">
        <f t="shared" si="32"/>
        <v>133</v>
      </c>
      <c r="P341" s="6">
        <f t="shared" si="33"/>
        <v>1613</v>
      </c>
      <c r="Q341">
        <f t="shared" si="34"/>
        <v>1</v>
      </c>
      <c r="R341">
        <f t="shared" si="35"/>
        <v>1</v>
      </c>
    </row>
    <row r="342" spans="1:18" x14ac:dyDescent="0.25">
      <c r="A342">
        <f>Raw_data!A342</f>
        <v>341</v>
      </c>
      <c r="B342" t="str">
        <f>Raw_data!B342</f>
        <v>C3491</v>
      </c>
      <c r="C342" t="str">
        <f>Raw_data!C342</f>
        <v>R2920</v>
      </c>
      <c r="D342" s="3">
        <f>Raw_data!D342</f>
        <v>45327.09584490741</v>
      </c>
      <c r="E342" s="3">
        <f>Raw_data!E342</f>
        <v>45327.125011574077</v>
      </c>
      <c r="F342" s="4">
        <f t="shared" si="30"/>
        <v>2.9166666667151731E-2</v>
      </c>
      <c r="G342" s="6">
        <f>Raw_data!F342</f>
        <v>924</v>
      </c>
      <c r="H342" s="6">
        <f>Raw_data!G342</f>
        <v>40</v>
      </c>
      <c r="I342" t="str">
        <f>Raw_data!H342</f>
        <v>Digital Wallet</v>
      </c>
      <c r="J342" s="7" t="str">
        <f>IF(Raw_data!I342=0.1,"10%",Raw_data!I342)</f>
        <v>15% New User</v>
      </c>
      <c r="K342" s="6">
        <f>Raw_data!J342</f>
        <v>105</v>
      </c>
      <c r="L342" s="6">
        <f>Raw_data!K342</f>
        <v>10</v>
      </c>
      <c r="M342" s="6">
        <f>Raw_data!L342</f>
        <v>0</v>
      </c>
      <c r="N342" s="6">
        <f t="shared" si="31"/>
        <v>809</v>
      </c>
      <c r="O342" s="6">
        <f t="shared" si="32"/>
        <v>115</v>
      </c>
      <c r="P342" s="6">
        <f t="shared" si="33"/>
        <v>964</v>
      </c>
      <c r="Q342">
        <f t="shared" si="34"/>
        <v>1</v>
      </c>
      <c r="R342">
        <f t="shared" si="35"/>
        <v>3</v>
      </c>
    </row>
    <row r="343" spans="1:18" x14ac:dyDescent="0.25">
      <c r="A343">
        <f>Raw_data!A343</f>
        <v>342</v>
      </c>
      <c r="B343" t="str">
        <f>Raw_data!B343</f>
        <v>C4124</v>
      </c>
      <c r="C343" t="str">
        <f>Raw_data!C343</f>
        <v>R2396</v>
      </c>
      <c r="D343" s="3">
        <f>Raw_data!D343</f>
        <v>45307.562650462962</v>
      </c>
      <c r="E343" s="3">
        <f>Raw_data!E343</f>
        <v>45307.641817129632</v>
      </c>
      <c r="F343" s="4">
        <f t="shared" si="30"/>
        <v>7.9166666670062114E-2</v>
      </c>
      <c r="G343" s="6">
        <f>Raw_data!F343</f>
        <v>1562</v>
      </c>
      <c r="H343" s="6">
        <f>Raw_data!G343</f>
        <v>30</v>
      </c>
      <c r="I343" t="str">
        <f>Raw_data!H343</f>
        <v>Cash on Delivery</v>
      </c>
      <c r="J343" s="7" t="str">
        <f>IF(Raw_data!I343=0.1,"10%",Raw_data!I343)</f>
        <v>50 off Promo</v>
      </c>
      <c r="K343" s="6">
        <f>Raw_data!J343</f>
        <v>184</v>
      </c>
      <c r="L343" s="6">
        <f>Raw_data!K343</f>
        <v>31</v>
      </c>
      <c r="M343" s="6">
        <f>Raw_data!L343</f>
        <v>0</v>
      </c>
      <c r="N343" s="6">
        <f t="shared" si="31"/>
        <v>1347</v>
      </c>
      <c r="O343" s="6">
        <f t="shared" si="32"/>
        <v>215</v>
      </c>
      <c r="P343" s="6">
        <f t="shared" si="33"/>
        <v>1592</v>
      </c>
      <c r="Q343">
        <f t="shared" si="34"/>
        <v>1</v>
      </c>
      <c r="R343">
        <f t="shared" si="35"/>
        <v>2</v>
      </c>
    </row>
    <row r="344" spans="1:18" x14ac:dyDescent="0.25">
      <c r="A344">
        <f>Raw_data!A344</f>
        <v>343</v>
      </c>
      <c r="B344" t="str">
        <f>Raw_data!B344</f>
        <v>C6691</v>
      </c>
      <c r="C344" t="str">
        <f>Raw_data!C344</f>
        <v>R2721</v>
      </c>
      <c r="D344" s="3">
        <f>Raw_data!D344</f>
        <v>45305.019733796296</v>
      </c>
      <c r="E344" s="3">
        <f>Raw_data!E344</f>
        <v>45305.06417824074</v>
      </c>
      <c r="F344" s="4">
        <f t="shared" si="30"/>
        <v>4.4444444443797693E-2</v>
      </c>
      <c r="G344" s="6">
        <f>Raw_data!F344</f>
        <v>205</v>
      </c>
      <c r="H344" s="6">
        <f>Raw_data!G344</f>
        <v>30</v>
      </c>
      <c r="I344" t="str">
        <f>Raw_data!H344</f>
        <v>Digital Wallet</v>
      </c>
      <c r="J344" s="7" t="str">
        <f>IF(Raw_data!I344=0.1,"10%",Raw_data!I344)</f>
        <v>10%</v>
      </c>
      <c r="K344" s="6">
        <f>Raw_data!J344</f>
        <v>167</v>
      </c>
      <c r="L344" s="6">
        <f>Raw_data!K344</f>
        <v>20</v>
      </c>
      <c r="M344" s="6">
        <f>Raw_data!L344</f>
        <v>0</v>
      </c>
      <c r="N344" s="6">
        <f t="shared" si="31"/>
        <v>18</v>
      </c>
      <c r="O344" s="6">
        <f t="shared" si="32"/>
        <v>187</v>
      </c>
      <c r="P344" s="6">
        <f t="shared" si="33"/>
        <v>235</v>
      </c>
      <c r="Q344">
        <f t="shared" si="34"/>
        <v>1</v>
      </c>
      <c r="R344">
        <f t="shared" si="35"/>
        <v>1</v>
      </c>
    </row>
    <row r="345" spans="1:18" x14ac:dyDescent="0.25">
      <c r="A345">
        <f>Raw_data!A345</f>
        <v>344</v>
      </c>
      <c r="B345" t="str">
        <f>Raw_data!B345</f>
        <v>C4051</v>
      </c>
      <c r="C345" t="str">
        <f>Raw_data!C345</f>
        <v>R2160</v>
      </c>
      <c r="D345" s="3">
        <f>Raw_data!D345</f>
        <v>45304.495173611111</v>
      </c>
      <c r="E345" s="3">
        <f>Raw_data!E345</f>
        <v>45304.531284722223</v>
      </c>
      <c r="F345" s="4">
        <f t="shared" si="30"/>
        <v>3.6111111112404615E-2</v>
      </c>
      <c r="G345" s="6">
        <f>Raw_data!F345</f>
        <v>280</v>
      </c>
      <c r="H345" s="6">
        <f>Raw_data!G345</f>
        <v>30</v>
      </c>
      <c r="I345" t="str">
        <f>Raw_data!H345</f>
        <v>Credit Card</v>
      </c>
      <c r="J345" s="7" t="str">
        <f>IF(Raw_data!I345=0.1,"10%",Raw_data!I345)</f>
        <v>50 off Promo</v>
      </c>
      <c r="K345" s="6">
        <f>Raw_data!J345</f>
        <v>180</v>
      </c>
      <c r="L345" s="6">
        <f>Raw_data!K345</f>
        <v>19</v>
      </c>
      <c r="M345" s="6">
        <f>Raw_data!L345</f>
        <v>0</v>
      </c>
      <c r="N345" s="6">
        <f t="shared" si="31"/>
        <v>81</v>
      </c>
      <c r="O345" s="6">
        <f t="shared" si="32"/>
        <v>199</v>
      </c>
      <c r="P345" s="6">
        <f t="shared" si="33"/>
        <v>310</v>
      </c>
      <c r="Q345">
        <f t="shared" si="34"/>
        <v>1</v>
      </c>
      <c r="R345">
        <f t="shared" si="35"/>
        <v>1</v>
      </c>
    </row>
    <row r="346" spans="1:18" x14ac:dyDescent="0.25">
      <c r="A346">
        <f>Raw_data!A346</f>
        <v>345</v>
      </c>
      <c r="B346" t="str">
        <f>Raw_data!B346</f>
        <v>C1004</v>
      </c>
      <c r="C346" t="str">
        <f>Raw_data!C346</f>
        <v>R2015</v>
      </c>
      <c r="D346" s="3">
        <f>Raw_data!D346</f>
        <v>45327.948587962965</v>
      </c>
      <c r="E346" s="3">
        <f>Raw_data!E346</f>
        <v>45328.000671296293</v>
      </c>
      <c r="F346" s="4">
        <f t="shared" si="30"/>
        <v>5.2083333328482695E-2</v>
      </c>
      <c r="G346" s="6">
        <f>Raw_data!F346</f>
        <v>283</v>
      </c>
      <c r="H346" s="6">
        <f>Raw_data!G346</f>
        <v>50</v>
      </c>
      <c r="I346" t="str">
        <f>Raw_data!H346</f>
        <v>Cash on Delivery</v>
      </c>
      <c r="J346" s="7" t="str">
        <f>IF(Raw_data!I346=0.1,"10%",Raw_data!I346)</f>
        <v>10%</v>
      </c>
      <c r="K346" s="6">
        <f>Raw_data!J346</f>
        <v>162</v>
      </c>
      <c r="L346" s="6">
        <f>Raw_data!K346</f>
        <v>26</v>
      </c>
      <c r="M346" s="6">
        <f>Raw_data!L346</f>
        <v>0</v>
      </c>
      <c r="N346" s="6">
        <f t="shared" si="31"/>
        <v>95</v>
      </c>
      <c r="O346" s="6">
        <f t="shared" si="32"/>
        <v>188</v>
      </c>
      <c r="P346" s="6">
        <f t="shared" si="33"/>
        <v>333</v>
      </c>
      <c r="Q346">
        <f t="shared" si="34"/>
        <v>1</v>
      </c>
      <c r="R346">
        <f t="shared" si="35"/>
        <v>2</v>
      </c>
    </row>
    <row r="347" spans="1:18" x14ac:dyDescent="0.25">
      <c r="A347">
        <f>Raw_data!A347</f>
        <v>346</v>
      </c>
      <c r="B347" t="str">
        <f>Raw_data!B347</f>
        <v>C6222</v>
      </c>
      <c r="C347" t="str">
        <f>Raw_data!C347</f>
        <v>R2492</v>
      </c>
      <c r="D347" s="3">
        <f>Raw_data!D347</f>
        <v>45300.042731481481</v>
      </c>
      <c r="E347" s="3">
        <f>Raw_data!E347</f>
        <v>45300.073287037034</v>
      </c>
      <c r="F347" s="4">
        <f t="shared" si="30"/>
        <v>3.0555555553291924E-2</v>
      </c>
      <c r="G347" s="6">
        <f>Raw_data!F347</f>
        <v>325</v>
      </c>
      <c r="H347" s="6">
        <f>Raw_data!G347</f>
        <v>30</v>
      </c>
      <c r="I347" t="str">
        <f>Raw_data!H347</f>
        <v>Digital Wallet</v>
      </c>
      <c r="J347" s="7" t="str">
        <f>IF(Raw_data!I347=0.1,"10%",Raw_data!I347)</f>
        <v>10%</v>
      </c>
      <c r="K347" s="6">
        <f>Raw_data!J347</f>
        <v>93</v>
      </c>
      <c r="L347" s="6">
        <f>Raw_data!K347</f>
        <v>45</v>
      </c>
      <c r="M347" s="6">
        <f>Raw_data!L347</f>
        <v>100</v>
      </c>
      <c r="N347" s="6">
        <f t="shared" si="31"/>
        <v>187</v>
      </c>
      <c r="O347" s="6">
        <f t="shared" si="32"/>
        <v>38</v>
      </c>
      <c r="P347" s="6">
        <f t="shared" si="33"/>
        <v>355</v>
      </c>
      <c r="Q347">
        <f t="shared" si="34"/>
        <v>1</v>
      </c>
      <c r="R347">
        <f t="shared" si="35"/>
        <v>2</v>
      </c>
    </row>
    <row r="348" spans="1:18" x14ac:dyDescent="0.25">
      <c r="A348">
        <f>Raw_data!A348</f>
        <v>347</v>
      </c>
      <c r="B348" t="str">
        <f>Raw_data!B348</f>
        <v>C6315</v>
      </c>
      <c r="C348" t="str">
        <f>Raw_data!C348</f>
        <v>R2425</v>
      </c>
      <c r="D348" s="3">
        <f>Raw_data!D348</f>
        <v>45307.798298611109</v>
      </c>
      <c r="E348" s="3">
        <f>Raw_data!E348</f>
        <v>45307.819826388892</v>
      </c>
      <c r="F348" s="4">
        <f t="shared" si="30"/>
        <v>2.1527777782466728E-2</v>
      </c>
      <c r="G348" s="6">
        <f>Raw_data!F348</f>
        <v>876</v>
      </c>
      <c r="H348" s="6">
        <f>Raw_data!G348</f>
        <v>50</v>
      </c>
      <c r="I348" t="str">
        <f>Raw_data!H348</f>
        <v>Cash on Delivery</v>
      </c>
      <c r="J348" s="7" t="str">
        <f>IF(Raw_data!I348=0.1,"10%",Raw_data!I348)</f>
        <v>10%</v>
      </c>
      <c r="K348" s="6">
        <f>Raw_data!J348</f>
        <v>177</v>
      </c>
      <c r="L348" s="6">
        <f>Raw_data!K348</f>
        <v>35</v>
      </c>
      <c r="M348" s="6">
        <f>Raw_data!L348</f>
        <v>0</v>
      </c>
      <c r="N348" s="6">
        <f t="shared" si="31"/>
        <v>664</v>
      </c>
      <c r="O348" s="6">
        <f t="shared" si="32"/>
        <v>212</v>
      </c>
      <c r="P348" s="6">
        <f t="shared" si="33"/>
        <v>926</v>
      </c>
      <c r="Q348">
        <f t="shared" si="34"/>
        <v>1</v>
      </c>
      <c r="R348">
        <f t="shared" si="35"/>
        <v>2</v>
      </c>
    </row>
    <row r="349" spans="1:18" x14ac:dyDescent="0.25">
      <c r="A349">
        <f>Raw_data!A349</f>
        <v>348</v>
      </c>
      <c r="B349" t="str">
        <f>Raw_data!B349</f>
        <v>C5869</v>
      </c>
      <c r="C349" t="str">
        <f>Raw_data!C349</f>
        <v>R2107</v>
      </c>
      <c r="D349" s="3">
        <f>Raw_data!D349</f>
        <v>45304.278923611113</v>
      </c>
      <c r="E349" s="3">
        <f>Raw_data!E349</f>
        <v>45304.341423611113</v>
      </c>
      <c r="F349" s="4">
        <f t="shared" si="30"/>
        <v>6.25E-2</v>
      </c>
      <c r="G349" s="6">
        <f>Raw_data!F349</f>
        <v>889</v>
      </c>
      <c r="H349" s="6">
        <f>Raw_data!G349</f>
        <v>50</v>
      </c>
      <c r="I349" t="str">
        <f>Raw_data!H349</f>
        <v>Cash on Delivery</v>
      </c>
      <c r="J349" s="7" t="str">
        <f>IF(Raw_data!I349=0.1,"10%",Raw_data!I349)</f>
        <v>10%</v>
      </c>
      <c r="K349" s="6">
        <f>Raw_data!J349</f>
        <v>157</v>
      </c>
      <c r="L349" s="6">
        <f>Raw_data!K349</f>
        <v>30</v>
      </c>
      <c r="M349" s="6">
        <f>Raw_data!L349</f>
        <v>100</v>
      </c>
      <c r="N349" s="6">
        <f t="shared" si="31"/>
        <v>702</v>
      </c>
      <c r="O349" s="6">
        <f t="shared" si="32"/>
        <v>87</v>
      </c>
      <c r="P349" s="6">
        <f t="shared" si="33"/>
        <v>939</v>
      </c>
      <c r="Q349">
        <f t="shared" si="34"/>
        <v>1</v>
      </c>
      <c r="R349">
        <f t="shared" si="35"/>
        <v>2</v>
      </c>
    </row>
    <row r="350" spans="1:18" x14ac:dyDescent="0.25">
      <c r="A350">
        <f>Raw_data!A350</f>
        <v>349</v>
      </c>
      <c r="B350" t="str">
        <f>Raw_data!B350</f>
        <v>C1876</v>
      </c>
      <c r="C350" t="str">
        <f>Raw_data!C350</f>
        <v>R2893</v>
      </c>
      <c r="D350" s="3">
        <f>Raw_data!D350</f>
        <v>45326.663414351853</v>
      </c>
      <c r="E350" s="3">
        <f>Raw_data!E350</f>
        <v>45326.736331018517</v>
      </c>
      <c r="F350" s="4">
        <f t="shared" si="30"/>
        <v>7.2916666664241347E-2</v>
      </c>
      <c r="G350" s="6">
        <f>Raw_data!F350</f>
        <v>1212</v>
      </c>
      <c r="H350" s="6">
        <f>Raw_data!G350</f>
        <v>40</v>
      </c>
      <c r="I350" t="str">
        <f>Raw_data!H350</f>
        <v>Credit Card</v>
      </c>
      <c r="J350" s="7" t="str">
        <f>IF(Raw_data!I350=0.1,"10%",Raw_data!I350)</f>
        <v>10%</v>
      </c>
      <c r="K350" s="6">
        <f>Raw_data!J350</f>
        <v>66</v>
      </c>
      <c r="L350" s="6">
        <f>Raw_data!K350</f>
        <v>22</v>
      </c>
      <c r="M350" s="6">
        <f>Raw_data!L350</f>
        <v>100</v>
      </c>
      <c r="N350" s="6">
        <f t="shared" si="31"/>
        <v>1124</v>
      </c>
      <c r="O350" s="6">
        <f t="shared" si="32"/>
        <v>-12</v>
      </c>
      <c r="P350" s="6">
        <f t="shared" si="33"/>
        <v>1252</v>
      </c>
      <c r="Q350">
        <f t="shared" si="34"/>
        <v>2</v>
      </c>
      <c r="R350">
        <f t="shared" si="35"/>
        <v>2</v>
      </c>
    </row>
    <row r="351" spans="1:18" x14ac:dyDescent="0.25">
      <c r="A351">
        <f>Raw_data!A351</f>
        <v>350</v>
      </c>
      <c r="B351" t="str">
        <f>Raw_data!B351</f>
        <v>C8027</v>
      </c>
      <c r="C351" t="str">
        <f>Raw_data!C351</f>
        <v>R2449</v>
      </c>
      <c r="D351" s="3">
        <f>Raw_data!D351</f>
        <v>45329.709305555552</v>
      </c>
      <c r="E351" s="3">
        <f>Raw_data!E351</f>
        <v>45329.773888888885</v>
      </c>
      <c r="F351" s="4">
        <f t="shared" si="30"/>
        <v>6.4583333332848269E-2</v>
      </c>
      <c r="G351" s="6">
        <f>Raw_data!F351</f>
        <v>787</v>
      </c>
      <c r="H351" s="6">
        <f>Raw_data!G351</f>
        <v>0</v>
      </c>
      <c r="I351" t="str">
        <f>Raw_data!H351</f>
        <v>Cash on Delivery</v>
      </c>
      <c r="J351" s="7" t="str">
        <f>IF(Raw_data!I351=0.1,"10%",Raw_data!I351)</f>
        <v>5% on App</v>
      </c>
      <c r="K351" s="6">
        <f>Raw_data!J351</f>
        <v>108</v>
      </c>
      <c r="L351" s="6">
        <f>Raw_data!K351</f>
        <v>18</v>
      </c>
      <c r="M351" s="6">
        <f>Raw_data!L351</f>
        <v>0</v>
      </c>
      <c r="N351" s="6">
        <f t="shared" si="31"/>
        <v>661</v>
      </c>
      <c r="O351" s="6">
        <f t="shared" si="32"/>
        <v>126</v>
      </c>
      <c r="P351" s="6">
        <f t="shared" si="33"/>
        <v>787</v>
      </c>
      <c r="Q351">
        <f t="shared" si="34"/>
        <v>1</v>
      </c>
      <c r="R351">
        <f t="shared" si="35"/>
        <v>2</v>
      </c>
    </row>
    <row r="352" spans="1:18" x14ac:dyDescent="0.25">
      <c r="A352">
        <f>Raw_data!A352</f>
        <v>351</v>
      </c>
      <c r="B352" t="str">
        <f>Raw_data!B352</f>
        <v>C5142</v>
      </c>
      <c r="C352" t="str">
        <f>Raw_data!C352</f>
        <v>R2310</v>
      </c>
      <c r="D352" s="3">
        <f>Raw_data!D352</f>
        <v>45323.624814814815</v>
      </c>
      <c r="E352" s="3">
        <f>Raw_data!E352</f>
        <v>45323.681064814817</v>
      </c>
      <c r="F352" s="4">
        <f t="shared" si="30"/>
        <v>5.6250000001455192E-2</v>
      </c>
      <c r="G352" s="6">
        <f>Raw_data!F352</f>
        <v>629</v>
      </c>
      <c r="H352" s="6">
        <f>Raw_data!G352</f>
        <v>40</v>
      </c>
      <c r="I352" t="str">
        <f>Raw_data!H352</f>
        <v>Cash on Delivery</v>
      </c>
      <c r="J352" s="7" t="str">
        <f>IF(Raw_data!I352=0.1,"10%",Raw_data!I352)</f>
        <v>50 off Promo</v>
      </c>
      <c r="K352" s="6">
        <f>Raw_data!J352</f>
        <v>187</v>
      </c>
      <c r="L352" s="6">
        <f>Raw_data!K352</f>
        <v>20</v>
      </c>
      <c r="M352" s="6">
        <f>Raw_data!L352</f>
        <v>0</v>
      </c>
      <c r="N352" s="6">
        <f t="shared" si="31"/>
        <v>422</v>
      </c>
      <c r="O352" s="6">
        <f t="shared" si="32"/>
        <v>207</v>
      </c>
      <c r="P352" s="6">
        <f t="shared" si="33"/>
        <v>669</v>
      </c>
      <c r="Q352">
        <f t="shared" si="34"/>
        <v>1</v>
      </c>
      <c r="R352">
        <f t="shared" si="35"/>
        <v>1</v>
      </c>
    </row>
    <row r="353" spans="1:18" x14ac:dyDescent="0.25">
      <c r="A353">
        <f>Raw_data!A353</f>
        <v>352</v>
      </c>
      <c r="B353" t="str">
        <f>Raw_data!B353</f>
        <v>C7966</v>
      </c>
      <c r="C353" t="str">
        <f>Raw_data!C353</f>
        <v>R2738</v>
      </c>
      <c r="D353" s="3">
        <f>Raw_data!D353</f>
        <v>45294.366331018522</v>
      </c>
      <c r="E353" s="3">
        <f>Raw_data!E353</f>
        <v>45294.411469907405</v>
      </c>
      <c r="F353" s="4">
        <f t="shared" si="30"/>
        <v>4.5138888883229811E-2</v>
      </c>
      <c r="G353" s="6">
        <f>Raw_data!F353</f>
        <v>1494</v>
      </c>
      <c r="H353" s="6">
        <f>Raw_data!G353</f>
        <v>40</v>
      </c>
      <c r="I353" t="str">
        <f>Raw_data!H353</f>
        <v>Credit Card</v>
      </c>
      <c r="J353" s="7" t="str">
        <f>IF(Raw_data!I353=0.1,"10%",Raw_data!I353)</f>
        <v>5% on App</v>
      </c>
      <c r="K353" s="6">
        <f>Raw_data!J353</f>
        <v>148</v>
      </c>
      <c r="L353" s="6">
        <f>Raw_data!K353</f>
        <v>20</v>
      </c>
      <c r="M353" s="6">
        <f>Raw_data!L353</f>
        <v>0</v>
      </c>
      <c r="N353" s="6">
        <f t="shared" si="31"/>
        <v>1326</v>
      </c>
      <c r="O353" s="6">
        <f t="shared" si="32"/>
        <v>168</v>
      </c>
      <c r="P353" s="6">
        <f t="shared" si="33"/>
        <v>1534</v>
      </c>
      <c r="Q353">
        <f t="shared" si="34"/>
        <v>1</v>
      </c>
      <c r="R353">
        <f t="shared" si="35"/>
        <v>4</v>
      </c>
    </row>
    <row r="354" spans="1:18" x14ac:dyDescent="0.25">
      <c r="A354">
        <f>Raw_data!A354</f>
        <v>353</v>
      </c>
      <c r="B354" t="str">
        <f>Raw_data!B354</f>
        <v>C8079</v>
      </c>
      <c r="C354" t="str">
        <f>Raw_data!C354</f>
        <v>R2169</v>
      </c>
      <c r="D354" s="3">
        <f>Raw_data!D354</f>
        <v>45314.920023148145</v>
      </c>
      <c r="E354" s="3">
        <f>Raw_data!E354</f>
        <v>45314.986689814818</v>
      </c>
      <c r="F354" s="4">
        <f t="shared" si="30"/>
        <v>6.6666666672972497E-2</v>
      </c>
      <c r="G354" s="6">
        <f>Raw_data!F354</f>
        <v>1071</v>
      </c>
      <c r="H354" s="6">
        <f>Raw_data!G354</f>
        <v>50</v>
      </c>
      <c r="I354" t="str">
        <f>Raw_data!H354</f>
        <v>Credit Card</v>
      </c>
      <c r="J354" s="7" t="str">
        <f>IF(Raw_data!I354=0.1,"10%",Raw_data!I354)</f>
        <v>5% on App</v>
      </c>
      <c r="K354" s="6">
        <f>Raw_data!J354</f>
        <v>133</v>
      </c>
      <c r="L354" s="6">
        <f>Raw_data!K354</f>
        <v>15</v>
      </c>
      <c r="M354" s="6">
        <f>Raw_data!L354</f>
        <v>100</v>
      </c>
      <c r="N354" s="6">
        <f t="shared" si="31"/>
        <v>923</v>
      </c>
      <c r="O354" s="6">
        <f t="shared" si="32"/>
        <v>48</v>
      </c>
      <c r="P354" s="6">
        <f t="shared" si="33"/>
        <v>1121</v>
      </c>
      <c r="Q354">
        <f t="shared" si="34"/>
        <v>1</v>
      </c>
      <c r="R354">
        <f t="shared" si="35"/>
        <v>3</v>
      </c>
    </row>
    <row r="355" spans="1:18" x14ac:dyDescent="0.25">
      <c r="A355">
        <f>Raw_data!A355</f>
        <v>354</v>
      </c>
      <c r="B355" t="str">
        <f>Raw_data!B355</f>
        <v>C8987</v>
      </c>
      <c r="C355" t="str">
        <f>Raw_data!C355</f>
        <v>R2545</v>
      </c>
      <c r="D355" s="3">
        <f>Raw_data!D355</f>
        <v>45298.431192129632</v>
      </c>
      <c r="E355" s="3">
        <f>Raw_data!E355</f>
        <v>45298.499247685184</v>
      </c>
      <c r="F355" s="4">
        <f t="shared" si="30"/>
        <v>6.8055555551836733E-2</v>
      </c>
      <c r="G355" s="6">
        <f>Raw_data!F355</f>
        <v>1035</v>
      </c>
      <c r="H355" s="6">
        <f>Raw_data!G355</f>
        <v>50</v>
      </c>
      <c r="I355" t="str">
        <f>Raw_data!H355</f>
        <v>Credit Card</v>
      </c>
      <c r="J355" s="7" t="str">
        <f>IF(Raw_data!I355=0.1,"10%",Raw_data!I355)</f>
        <v>None</v>
      </c>
      <c r="K355" s="6">
        <f>Raw_data!J355</f>
        <v>195</v>
      </c>
      <c r="L355" s="6">
        <f>Raw_data!K355</f>
        <v>10</v>
      </c>
      <c r="M355" s="6">
        <f>Raw_data!L355</f>
        <v>50</v>
      </c>
      <c r="N355" s="6">
        <f t="shared" si="31"/>
        <v>830</v>
      </c>
      <c r="O355" s="6">
        <f t="shared" si="32"/>
        <v>155</v>
      </c>
      <c r="P355" s="6">
        <f t="shared" si="33"/>
        <v>1085</v>
      </c>
      <c r="Q355">
        <f t="shared" si="34"/>
        <v>1</v>
      </c>
      <c r="R355">
        <f t="shared" si="35"/>
        <v>1</v>
      </c>
    </row>
    <row r="356" spans="1:18" x14ac:dyDescent="0.25">
      <c r="A356">
        <f>Raw_data!A356</f>
        <v>355</v>
      </c>
      <c r="B356" t="str">
        <f>Raw_data!B356</f>
        <v>C7799</v>
      </c>
      <c r="C356" t="str">
        <f>Raw_data!C356</f>
        <v>R2413</v>
      </c>
      <c r="D356" s="3">
        <f>Raw_data!D356</f>
        <v>45329.04111111111</v>
      </c>
      <c r="E356" s="3">
        <f>Raw_data!E356</f>
        <v>45329.107777777775</v>
      </c>
      <c r="F356" s="4">
        <f t="shared" si="30"/>
        <v>6.6666666665696539E-2</v>
      </c>
      <c r="G356" s="6">
        <f>Raw_data!F356</f>
        <v>1522</v>
      </c>
      <c r="H356" s="6">
        <f>Raw_data!G356</f>
        <v>30</v>
      </c>
      <c r="I356" t="str">
        <f>Raw_data!H356</f>
        <v>Cash on Delivery</v>
      </c>
      <c r="J356" s="7" t="str">
        <f>IF(Raw_data!I356=0.1,"10%",Raw_data!I356)</f>
        <v>None</v>
      </c>
      <c r="K356" s="6">
        <f>Raw_data!J356</f>
        <v>94</v>
      </c>
      <c r="L356" s="6">
        <f>Raw_data!K356</f>
        <v>15</v>
      </c>
      <c r="M356" s="6">
        <f>Raw_data!L356</f>
        <v>0</v>
      </c>
      <c r="N356" s="6">
        <f t="shared" si="31"/>
        <v>1413</v>
      </c>
      <c r="O356" s="6">
        <f t="shared" si="32"/>
        <v>109</v>
      </c>
      <c r="P356" s="6">
        <f t="shared" si="33"/>
        <v>1552</v>
      </c>
      <c r="Q356">
        <f t="shared" si="34"/>
        <v>1</v>
      </c>
      <c r="R356">
        <f t="shared" si="35"/>
        <v>2</v>
      </c>
    </row>
    <row r="357" spans="1:18" x14ac:dyDescent="0.25">
      <c r="A357">
        <f>Raw_data!A357</f>
        <v>356</v>
      </c>
      <c r="B357" t="str">
        <f>Raw_data!B357</f>
        <v>C5465</v>
      </c>
      <c r="C357" t="str">
        <f>Raw_data!C357</f>
        <v>R2250</v>
      </c>
      <c r="D357" s="3">
        <f>Raw_data!D357</f>
        <v>45296.668078703704</v>
      </c>
      <c r="E357" s="3">
        <f>Raw_data!E357</f>
        <v>45296.720856481479</v>
      </c>
      <c r="F357" s="4">
        <f t="shared" si="30"/>
        <v>5.2777777775190771E-2</v>
      </c>
      <c r="G357" s="6">
        <f>Raw_data!F357</f>
        <v>205</v>
      </c>
      <c r="H357" s="6">
        <f>Raw_data!G357</f>
        <v>30</v>
      </c>
      <c r="I357" t="str">
        <f>Raw_data!H357</f>
        <v>Cash on Delivery</v>
      </c>
      <c r="J357" s="7" t="str">
        <f>IF(Raw_data!I357=0.1,"10%",Raw_data!I357)</f>
        <v>None</v>
      </c>
      <c r="K357" s="6">
        <f>Raw_data!J357</f>
        <v>157</v>
      </c>
      <c r="L357" s="6">
        <f>Raw_data!K357</f>
        <v>22</v>
      </c>
      <c r="M357" s="6">
        <f>Raw_data!L357</f>
        <v>0</v>
      </c>
      <c r="N357" s="6">
        <f t="shared" si="31"/>
        <v>26</v>
      </c>
      <c r="O357" s="6">
        <f t="shared" si="32"/>
        <v>179</v>
      </c>
      <c r="P357" s="6">
        <f t="shared" si="33"/>
        <v>235</v>
      </c>
      <c r="Q357">
        <f t="shared" si="34"/>
        <v>1</v>
      </c>
      <c r="R357">
        <f t="shared" si="35"/>
        <v>3</v>
      </c>
    </row>
    <row r="358" spans="1:18" x14ac:dyDescent="0.25">
      <c r="A358">
        <f>Raw_data!A358</f>
        <v>357</v>
      </c>
      <c r="B358" t="str">
        <f>Raw_data!B358</f>
        <v>C1635</v>
      </c>
      <c r="C358" t="str">
        <f>Raw_data!C358</f>
        <v>R2758</v>
      </c>
      <c r="D358" s="3">
        <f>Raw_data!D358</f>
        <v>45317.05972222222</v>
      </c>
      <c r="E358" s="3">
        <f>Raw_data!E358</f>
        <v>45317.137499999997</v>
      </c>
      <c r="F358" s="4">
        <f t="shared" si="30"/>
        <v>7.7777777776645962E-2</v>
      </c>
      <c r="G358" s="6">
        <f>Raw_data!F358</f>
        <v>1394</v>
      </c>
      <c r="H358" s="6">
        <f>Raw_data!G358</f>
        <v>40</v>
      </c>
      <c r="I358" t="str">
        <f>Raw_data!H358</f>
        <v>Cash on Delivery</v>
      </c>
      <c r="J358" s="7" t="str">
        <f>IF(Raw_data!I358=0.1,"10%",Raw_data!I358)</f>
        <v>15% New User</v>
      </c>
      <c r="K358" s="6">
        <f>Raw_data!J358</f>
        <v>111</v>
      </c>
      <c r="L358" s="6">
        <f>Raw_data!K358</f>
        <v>31</v>
      </c>
      <c r="M358" s="6">
        <f>Raw_data!L358</f>
        <v>0</v>
      </c>
      <c r="N358" s="6">
        <f t="shared" si="31"/>
        <v>1252</v>
      </c>
      <c r="O358" s="6">
        <f t="shared" si="32"/>
        <v>142</v>
      </c>
      <c r="P358" s="6">
        <f t="shared" si="33"/>
        <v>1434</v>
      </c>
      <c r="Q358">
        <f t="shared" si="34"/>
        <v>1</v>
      </c>
      <c r="R358">
        <f t="shared" si="35"/>
        <v>2</v>
      </c>
    </row>
    <row r="359" spans="1:18" x14ac:dyDescent="0.25">
      <c r="A359">
        <f>Raw_data!A359</f>
        <v>358</v>
      </c>
      <c r="B359" t="str">
        <f>Raw_data!B359</f>
        <v>C2693</v>
      </c>
      <c r="C359" t="str">
        <f>Raw_data!C359</f>
        <v>R2780</v>
      </c>
      <c r="D359" s="3">
        <f>Raw_data!D359</f>
        <v>45296.369664351849</v>
      </c>
      <c r="E359" s="3">
        <f>Raw_data!E359</f>
        <v>45296.391192129631</v>
      </c>
      <c r="F359" s="4">
        <f t="shared" si="30"/>
        <v>2.1527777782466728E-2</v>
      </c>
      <c r="G359" s="6">
        <f>Raw_data!F359</f>
        <v>930</v>
      </c>
      <c r="H359" s="6">
        <f>Raw_data!G359</f>
        <v>20</v>
      </c>
      <c r="I359" t="str">
        <f>Raw_data!H359</f>
        <v>Credit Card</v>
      </c>
      <c r="J359" s="7" t="str">
        <f>IF(Raw_data!I359=0.1,"10%",Raw_data!I359)</f>
        <v>None</v>
      </c>
      <c r="K359" s="6">
        <f>Raw_data!J359</f>
        <v>108</v>
      </c>
      <c r="L359" s="6">
        <f>Raw_data!K359</f>
        <v>40</v>
      </c>
      <c r="M359" s="6">
        <f>Raw_data!L359</f>
        <v>0</v>
      </c>
      <c r="N359" s="6">
        <f t="shared" si="31"/>
        <v>782</v>
      </c>
      <c r="O359" s="6">
        <f t="shared" si="32"/>
        <v>148</v>
      </c>
      <c r="P359" s="6">
        <f t="shared" si="33"/>
        <v>950</v>
      </c>
      <c r="Q359">
        <f t="shared" si="34"/>
        <v>2</v>
      </c>
      <c r="R359">
        <f t="shared" si="35"/>
        <v>3</v>
      </c>
    </row>
    <row r="360" spans="1:18" x14ac:dyDescent="0.25">
      <c r="A360">
        <f>Raw_data!A360</f>
        <v>359</v>
      </c>
      <c r="B360" t="str">
        <f>Raw_data!B360</f>
        <v>C5752</v>
      </c>
      <c r="C360" t="str">
        <f>Raw_data!C360</f>
        <v>R2140</v>
      </c>
      <c r="D360" s="3">
        <f>Raw_data!D360</f>
        <v>45293.348287037035</v>
      </c>
      <c r="E360" s="3">
        <f>Raw_data!E360</f>
        <v>45293.398981481485</v>
      </c>
      <c r="F360" s="4">
        <f t="shared" si="30"/>
        <v>5.0694444449618459E-2</v>
      </c>
      <c r="G360" s="6">
        <f>Raw_data!F360</f>
        <v>1626</v>
      </c>
      <c r="H360" s="6">
        <f>Raw_data!G360</f>
        <v>20</v>
      </c>
      <c r="I360" t="str">
        <f>Raw_data!H360</f>
        <v>Digital Wallet</v>
      </c>
      <c r="J360" s="7" t="str">
        <f>IF(Raw_data!I360=0.1,"10%",Raw_data!I360)</f>
        <v>50 off Promo</v>
      </c>
      <c r="K360" s="6">
        <f>Raw_data!J360</f>
        <v>187</v>
      </c>
      <c r="L360" s="6">
        <f>Raw_data!K360</f>
        <v>31</v>
      </c>
      <c r="M360" s="6">
        <f>Raw_data!L360</f>
        <v>0</v>
      </c>
      <c r="N360" s="6">
        <f t="shared" si="31"/>
        <v>1408</v>
      </c>
      <c r="O360" s="6">
        <f t="shared" si="32"/>
        <v>218</v>
      </c>
      <c r="P360" s="6">
        <f t="shared" si="33"/>
        <v>1646</v>
      </c>
      <c r="Q360">
        <f t="shared" si="34"/>
        <v>1</v>
      </c>
      <c r="R360">
        <f t="shared" si="35"/>
        <v>1</v>
      </c>
    </row>
    <row r="361" spans="1:18" x14ac:dyDescent="0.25">
      <c r="A361">
        <f>Raw_data!A361</f>
        <v>360</v>
      </c>
      <c r="B361" t="str">
        <f>Raw_data!B361</f>
        <v>C9311</v>
      </c>
      <c r="C361" t="str">
        <f>Raw_data!C361</f>
        <v>R2273</v>
      </c>
      <c r="D361" s="3">
        <f>Raw_data!D361</f>
        <v>45317.108703703707</v>
      </c>
      <c r="E361" s="3">
        <f>Raw_data!E361</f>
        <v>45317.17328703704</v>
      </c>
      <c r="F361" s="4">
        <f t="shared" si="30"/>
        <v>6.4583333332848269E-2</v>
      </c>
      <c r="G361" s="6">
        <f>Raw_data!F361</f>
        <v>778</v>
      </c>
      <c r="H361" s="6">
        <f>Raw_data!G361</f>
        <v>30</v>
      </c>
      <c r="I361" t="str">
        <f>Raw_data!H361</f>
        <v>Cash on Delivery</v>
      </c>
      <c r="J361" s="7" t="str">
        <f>IF(Raw_data!I361=0.1,"10%",Raw_data!I361)</f>
        <v>5% on App</v>
      </c>
      <c r="K361" s="6">
        <f>Raw_data!J361</f>
        <v>60</v>
      </c>
      <c r="L361" s="6">
        <f>Raw_data!K361</f>
        <v>46</v>
      </c>
      <c r="M361" s="6">
        <f>Raw_data!L361</f>
        <v>0</v>
      </c>
      <c r="N361" s="6">
        <f t="shared" si="31"/>
        <v>672</v>
      </c>
      <c r="O361" s="6">
        <f t="shared" si="32"/>
        <v>106</v>
      </c>
      <c r="P361" s="6">
        <f t="shared" si="33"/>
        <v>808</v>
      </c>
      <c r="Q361">
        <f t="shared" si="34"/>
        <v>1</v>
      </c>
      <c r="R361">
        <f t="shared" si="35"/>
        <v>2</v>
      </c>
    </row>
    <row r="362" spans="1:18" x14ac:dyDescent="0.25">
      <c r="A362">
        <f>Raw_data!A362</f>
        <v>361</v>
      </c>
      <c r="B362" t="str">
        <f>Raw_data!B362</f>
        <v>C1830</v>
      </c>
      <c r="C362" t="str">
        <f>Raw_data!C362</f>
        <v>R2415</v>
      </c>
      <c r="D362" s="3">
        <f>Raw_data!D362</f>
        <v>45303.420752314814</v>
      </c>
      <c r="E362" s="3">
        <f>Raw_data!E362</f>
        <v>45303.497141203705</v>
      </c>
      <c r="F362" s="4">
        <f t="shared" si="30"/>
        <v>7.6388888890505768E-2</v>
      </c>
      <c r="G362" s="6">
        <f>Raw_data!F362</f>
        <v>1648</v>
      </c>
      <c r="H362" s="6">
        <f>Raw_data!G362</f>
        <v>20</v>
      </c>
      <c r="I362" t="str">
        <f>Raw_data!H362</f>
        <v>Digital Wallet</v>
      </c>
      <c r="J362" s="7" t="str">
        <f>IF(Raw_data!I362=0.1,"10%",Raw_data!I362)</f>
        <v>50 off Promo</v>
      </c>
      <c r="K362" s="6">
        <f>Raw_data!J362</f>
        <v>151</v>
      </c>
      <c r="L362" s="6">
        <f>Raw_data!K362</f>
        <v>36</v>
      </c>
      <c r="M362" s="6">
        <f>Raw_data!L362</f>
        <v>0</v>
      </c>
      <c r="N362" s="6">
        <f t="shared" si="31"/>
        <v>1461</v>
      </c>
      <c r="O362" s="6">
        <f t="shared" si="32"/>
        <v>187</v>
      </c>
      <c r="P362" s="6">
        <f t="shared" si="33"/>
        <v>1668</v>
      </c>
      <c r="Q362">
        <f t="shared" si="34"/>
        <v>1</v>
      </c>
      <c r="R362">
        <f t="shared" si="35"/>
        <v>2</v>
      </c>
    </row>
    <row r="363" spans="1:18" x14ac:dyDescent="0.25">
      <c r="A363">
        <f>Raw_data!A363</f>
        <v>362</v>
      </c>
      <c r="B363" t="str">
        <f>Raw_data!B363</f>
        <v>C6177</v>
      </c>
      <c r="C363" t="str">
        <f>Raw_data!C363</f>
        <v>R2607</v>
      </c>
      <c r="D363" s="3">
        <f>Raw_data!D363</f>
        <v>45324.674756944441</v>
      </c>
      <c r="E363" s="3">
        <f>Raw_data!E363</f>
        <v>45324.749062499999</v>
      </c>
      <c r="F363" s="4">
        <f t="shared" si="30"/>
        <v>7.4305555557657499E-2</v>
      </c>
      <c r="G363" s="6">
        <f>Raw_data!F363</f>
        <v>948</v>
      </c>
      <c r="H363" s="6">
        <f>Raw_data!G363</f>
        <v>30</v>
      </c>
      <c r="I363" t="str">
        <f>Raw_data!H363</f>
        <v>Credit Card</v>
      </c>
      <c r="J363" s="7" t="str">
        <f>IF(Raw_data!I363=0.1,"10%",Raw_data!I363)</f>
        <v>None</v>
      </c>
      <c r="K363" s="6">
        <f>Raw_data!J363</f>
        <v>119</v>
      </c>
      <c r="L363" s="6">
        <f>Raw_data!K363</f>
        <v>23</v>
      </c>
      <c r="M363" s="6">
        <f>Raw_data!L363</f>
        <v>0</v>
      </c>
      <c r="N363" s="6">
        <f t="shared" si="31"/>
        <v>806</v>
      </c>
      <c r="O363" s="6">
        <f t="shared" si="32"/>
        <v>142</v>
      </c>
      <c r="P363" s="6">
        <f t="shared" si="33"/>
        <v>978</v>
      </c>
      <c r="Q363">
        <f t="shared" si="34"/>
        <v>1</v>
      </c>
      <c r="R363">
        <f t="shared" si="35"/>
        <v>2</v>
      </c>
    </row>
    <row r="364" spans="1:18" x14ac:dyDescent="0.25">
      <c r="A364">
        <f>Raw_data!A364</f>
        <v>363</v>
      </c>
      <c r="B364" t="str">
        <f>Raw_data!B364</f>
        <v>C9932</v>
      </c>
      <c r="C364" t="str">
        <f>Raw_data!C364</f>
        <v>R2738</v>
      </c>
      <c r="D364" s="3">
        <f>Raw_data!D364</f>
        <v>45319.431157407409</v>
      </c>
      <c r="E364" s="3">
        <f>Raw_data!E364</f>
        <v>45319.47074074074</v>
      </c>
      <c r="F364" s="4">
        <f t="shared" si="30"/>
        <v>3.9583333331393078E-2</v>
      </c>
      <c r="G364" s="6">
        <f>Raw_data!F364</f>
        <v>1155</v>
      </c>
      <c r="H364" s="6">
        <f>Raw_data!G364</f>
        <v>50</v>
      </c>
      <c r="I364" t="str">
        <f>Raw_data!H364</f>
        <v>Cash on Delivery</v>
      </c>
      <c r="J364" s="7" t="str">
        <f>IF(Raw_data!I364=0.1,"10%",Raw_data!I364)</f>
        <v>15% New User</v>
      </c>
      <c r="K364" s="6">
        <f>Raw_data!J364</f>
        <v>172</v>
      </c>
      <c r="L364" s="6">
        <f>Raw_data!K364</f>
        <v>14</v>
      </c>
      <c r="M364" s="6">
        <f>Raw_data!L364</f>
        <v>150</v>
      </c>
      <c r="N364" s="6">
        <f t="shared" si="31"/>
        <v>969</v>
      </c>
      <c r="O364" s="6">
        <f t="shared" si="32"/>
        <v>36</v>
      </c>
      <c r="P364" s="6">
        <f t="shared" si="33"/>
        <v>1205</v>
      </c>
      <c r="Q364">
        <f t="shared" si="34"/>
        <v>1</v>
      </c>
      <c r="R364">
        <f t="shared" si="35"/>
        <v>4</v>
      </c>
    </row>
    <row r="365" spans="1:18" x14ac:dyDescent="0.25">
      <c r="A365">
        <f>Raw_data!A365</f>
        <v>364</v>
      </c>
      <c r="B365" t="str">
        <f>Raw_data!B365</f>
        <v>C9308</v>
      </c>
      <c r="C365" t="str">
        <f>Raw_data!C365</f>
        <v>R2890</v>
      </c>
      <c r="D365" s="3">
        <f>Raw_data!D365</f>
        <v>45321.610868055555</v>
      </c>
      <c r="E365" s="3">
        <f>Raw_data!E365</f>
        <v>45321.668506944443</v>
      </c>
      <c r="F365" s="4">
        <f t="shared" si="30"/>
        <v>5.7638888887595385E-2</v>
      </c>
      <c r="G365" s="6">
        <f>Raw_data!F365</f>
        <v>492</v>
      </c>
      <c r="H365" s="6">
        <f>Raw_data!G365</f>
        <v>40</v>
      </c>
      <c r="I365" t="str">
        <f>Raw_data!H365</f>
        <v>Digital Wallet</v>
      </c>
      <c r="J365" s="7" t="str">
        <f>IF(Raw_data!I365=0.1,"10%",Raw_data!I365)</f>
        <v>15% New User</v>
      </c>
      <c r="K365" s="6">
        <f>Raw_data!J365</f>
        <v>83</v>
      </c>
      <c r="L365" s="6">
        <f>Raw_data!K365</f>
        <v>45</v>
      </c>
      <c r="M365" s="6">
        <f>Raw_data!L365</f>
        <v>0</v>
      </c>
      <c r="N365" s="6">
        <f t="shared" si="31"/>
        <v>364</v>
      </c>
      <c r="O365" s="6">
        <f t="shared" si="32"/>
        <v>128</v>
      </c>
      <c r="P365" s="6">
        <f t="shared" si="33"/>
        <v>532</v>
      </c>
      <c r="Q365">
        <f t="shared" si="34"/>
        <v>1</v>
      </c>
      <c r="R365">
        <f t="shared" si="35"/>
        <v>3</v>
      </c>
    </row>
    <row r="366" spans="1:18" x14ac:dyDescent="0.25">
      <c r="A366">
        <f>Raw_data!A366</f>
        <v>365</v>
      </c>
      <c r="B366" t="str">
        <f>Raw_data!B366</f>
        <v>C6949</v>
      </c>
      <c r="C366" t="str">
        <f>Raw_data!C366</f>
        <v>R2038</v>
      </c>
      <c r="D366" s="3">
        <f>Raw_data!D366</f>
        <v>45307.591412037036</v>
      </c>
      <c r="E366" s="3">
        <f>Raw_data!E366</f>
        <v>45307.662939814814</v>
      </c>
      <c r="F366" s="4">
        <f t="shared" si="30"/>
        <v>7.1527777778101154E-2</v>
      </c>
      <c r="G366" s="6">
        <f>Raw_data!F366</f>
        <v>139</v>
      </c>
      <c r="H366" s="6">
        <f>Raw_data!G366</f>
        <v>0</v>
      </c>
      <c r="I366" t="str">
        <f>Raw_data!H366</f>
        <v>Cash on Delivery</v>
      </c>
      <c r="J366" s="7" t="str">
        <f>IF(Raw_data!I366=0.1,"10%",Raw_data!I366)</f>
        <v>5% on App</v>
      </c>
      <c r="K366" s="6">
        <f>Raw_data!J366</f>
        <v>150</v>
      </c>
      <c r="L366" s="6">
        <f>Raw_data!K366</f>
        <v>41</v>
      </c>
      <c r="M366" s="6">
        <f>Raw_data!L366</f>
        <v>0</v>
      </c>
      <c r="N366" s="6">
        <f t="shared" si="31"/>
        <v>-52</v>
      </c>
      <c r="O366" s="6">
        <f t="shared" si="32"/>
        <v>191</v>
      </c>
      <c r="P366" s="6">
        <f t="shared" si="33"/>
        <v>139</v>
      </c>
      <c r="Q366">
        <f t="shared" si="34"/>
        <v>1</v>
      </c>
      <c r="R366">
        <f t="shared" si="35"/>
        <v>4</v>
      </c>
    </row>
    <row r="367" spans="1:18" x14ac:dyDescent="0.25">
      <c r="A367">
        <f>Raw_data!A367</f>
        <v>366</v>
      </c>
      <c r="B367" t="str">
        <f>Raw_data!B367</f>
        <v>C3838</v>
      </c>
      <c r="C367" t="str">
        <f>Raw_data!C367</f>
        <v>R2813</v>
      </c>
      <c r="D367" s="3">
        <f>Raw_data!D367</f>
        <v>45317.838877314818</v>
      </c>
      <c r="E367" s="3">
        <f>Raw_data!E367</f>
        <v>45317.905543981484</v>
      </c>
      <c r="F367" s="4">
        <f t="shared" si="30"/>
        <v>6.6666666665696539E-2</v>
      </c>
      <c r="G367" s="6">
        <f>Raw_data!F367</f>
        <v>759</v>
      </c>
      <c r="H367" s="6">
        <f>Raw_data!G367</f>
        <v>40</v>
      </c>
      <c r="I367" t="str">
        <f>Raw_data!H367</f>
        <v>Cash on Delivery</v>
      </c>
      <c r="J367" s="7" t="str">
        <f>IF(Raw_data!I367=0.1,"10%",Raw_data!I367)</f>
        <v>50 off Promo</v>
      </c>
      <c r="K367" s="6">
        <f>Raw_data!J367</f>
        <v>194</v>
      </c>
      <c r="L367" s="6">
        <f>Raw_data!K367</f>
        <v>43</v>
      </c>
      <c r="M367" s="6">
        <f>Raw_data!L367</f>
        <v>100</v>
      </c>
      <c r="N367" s="6">
        <f t="shared" si="31"/>
        <v>522</v>
      </c>
      <c r="O367" s="6">
        <f t="shared" si="32"/>
        <v>137</v>
      </c>
      <c r="P367" s="6">
        <f t="shared" si="33"/>
        <v>799</v>
      </c>
      <c r="Q367">
        <f t="shared" si="34"/>
        <v>1</v>
      </c>
      <c r="R367">
        <f t="shared" si="35"/>
        <v>2</v>
      </c>
    </row>
    <row r="368" spans="1:18" x14ac:dyDescent="0.25">
      <c r="A368">
        <f>Raw_data!A368</f>
        <v>367</v>
      </c>
      <c r="B368" t="str">
        <f>Raw_data!B368</f>
        <v>C2150</v>
      </c>
      <c r="C368" t="str">
        <f>Raw_data!C368</f>
        <v>R2028</v>
      </c>
      <c r="D368" s="3">
        <f>Raw_data!D368</f>
        <v>45323.795636574076</v>
      </c>
      <c r="E368" s="3">
        <f>Raw_data!E368</f>
        <v>45323.840775462966</v>
      </c>
      <c r="F368" s="4">
        <f t="shared" si="30"/>
        <v>4.5138888890505768E-2</v>
      </c>
      <c r="G368" s="6">
        <f>Raw_data!F368</f>
        <v>1341</v>
      </c>
      <c r="H368" s="6">
        <f>Raw_data!G368</f>
        <v>30</v>
      </c>
      <c r="I368" t="str">
        <f>Raw_data!H368</f>
        <v>Cash on Delivery</v>
      </c>
      <c r="J368" s="7" t="str">
        <f>IF(Raw_data!I368=0.1,"10%",Raw_data!I368)</f>
        <v>10%</v>
      </c>
      <c r="K368" s="6">
        <f>Raw_data!J368</f>
        <v>153</v>
      </c>
      <c r="L368" s="6">
        <f>Raw_data!K368</f>
        <v>16</v>
      </c>
      <c r="M368" s="6">
        <f>Raw_data!L368</f>
        <v>50</v>
      </c>
      <c r="N368" s="6">
        <f t="shared" si="31"/>
        <v>1172</v>
      </c>
      <c r="O368" s="6">
        <f t="shared" si="32"/>
        <v>119</v>
      </c>
      <c r="P368" s="6">
        <f t="shared" si="33"/>
        <v>1371</v>
      </c>
      <c r="Q368">
        <f t="shared" si="34"/>
        <v>1</v>
      </c>
      <c r="R368">
        <f t="shared" si="35"/>
        <v>4</v>
      </c>
    </row>
    <row r="369" spans="1:18" x14ac:dyDescent="0.25">
      <c r="A369">
        <f>Raw_data!A369</f>
        <v>368</v>
      </c>
      <c r="B369" t="str">
        <f>Raw_data!B369</f>
        <v>C8560</v>
      </c>
      <c r="C369" t="str">
        <f>Raw_data!C369</f>
        <v>R2957</v>
      </c>
      <c r="D369" s="3">
        <f>Raw_data!D369</f>
        <v>45301.756724537037</v>
      </c>
      <c r="E369" s="3">
        <f>Raw_data!E369</f>
        <v>45301.820613425924</v>
      </c>
      <c r="F369" s="4">
        <f t="shared" si="30"/>
        <v>6.3888888886140194E-2</v>
      </c>
      <c r="G369" s="6">
        <f>Raw_data!F369</f>
        <v>1854</v>
      </c>
      <c r="H369" s="6">
        <f>Raw_data!G369</f>
        <v>30</v>
      </c>
      <c r="I369" t="str">
        <f>Raw_data!H369</f>
        <v>Digital Wallet</v>
      </c>
      <c r="J369" s="7" t="str">
        <f>IF(Raw_data!I369=0.1,"10%",Raw_data!I369)</f>
        <v>50 off Promo</v>
      </c>
      <c r="K369" s="6">
        <f>Raw_data!J369</f>
        <v>89</v>
      </c>
      <c r="L369" s="6">
        <f>Raw_data!K369</f>
        <v>19</v>
      </c>
      <c r="M369" s="6">
        <f>Raw_data!L369</f>
        <v>50</v>
      </c>
      <c r="N369" s="6">
        <f t="shared" si="31"/>
        <v>1746</v>
      </c>
      <c r="O369" s="6">
        <f t="shared" si="32"/>
        <v>58</v>
      </c>
      <c r="P369" s="6">
        <f t="shared" si="33"/>
        <v>1884</v>
      </c>
      <c r="Q369">
        <f t="shared" si="34"/>
        <v>2</v>
      </c>
      <c r="R369">
        <f t="shared" si="35"/>
        <v>3</v>
      </c>
    </row>
    <row r="370" spans="1:18" x14ac:dyDescent="0.25">
      <c r="A370">
        <f>Raw_data!A370</f>
        <v>369</v>
      </c>
      <c r="B370" t="str">
        <f>Raw_data!B370</f>
        <v>C2931</v>
      </c>
      <c r="C370" t="str">
        <f>Raw_data!C370</f>
        <v>R2476</v>
      </c>
      <c r="D370" s="3">
        <f>Raw_data!D370</f>
        <v>45293.916377314818</v>
      </c>
      <c r="E370" s="3">
        <f>Raw_data!E370</f>
        <v>45293.953877314816</v>
      </c>
      <c r="F370" s="4">
        <f t="shared" si="30"/>
        <v>3.7499999998544808E-2</v>
      </c>
      <c r="G370" s="6">
        <f>Raw_data!F370</f>
        <v>1080</v>
      </c>
      <c r="H370" s="6">
        <f>Raw_data!G370</f>
        <v>40</v>
      </c>
      <c r="I370" t="str">
        <f>Raw_data!H370</f>
        <v>Credit Card</v>
      </c>
      <c r="J370" s="7" t="str">
        <f>IF(Raw_data!I370=0.1,"10%",Raw_data!I370)</f>
        <v>None</v>
      </c>
      <c r="K370" s="6">
        <f>Raw_data!J370</f>
        <v>68</v>
      </c>
      <c r="L370" s="6">
        <f>Raw_data!K370</f>
        <v>26</v>
      </c>
      <c r="M370" s="6">
        <f>Raw_data!L370</f>
        <v>0</v>
      </c>
      <c r="N370" s="6">
        <f t="shared" si="31"/>
        <v>986</v>
      </c>
      <c r="O370" s="6">
        <f t="shared" si="32"/>
        <v>94</v>
      </c>
      <c r="P370" s="6">
        <f t="shared" si="33"/>
        <v>1120</v>
      </c>
      <c r="Q370">
        <f t="shared" si="34"/>
        <v>1</v>
      </c>
      <c r="R370">
        <f t="shared" si="35"/>
        <v>2</v>
      </c>
    </row>
    <row r="371" spans="1:18" x14ac:dyDescent="0.25">
      <c r="A371">
        <f>Raw_data!A371</f>
        <v>370</v>
      </c>
      <c r="B371" t="str">
        <f>Raw_data!B371</f>
        <v>C2664</v>
      </c>
      <c r="C371" t="str">
        <f>Raw_data!C371</f>
        <v>R2317</v>
      </c>
      <c r="D371" s="3">
        <f>Raw_data!D371</f>
        <v>45316.196122685185</v>
      </c>
      <c r="E371" s="3">
        <f>Raw_data!E371</f>
        <v>45316.275983796295</v>
      </c>
      <c r="F371" s="4">
        <f t="shared" si="30"/>
        <v>7.9861111109494232E-2</v>
      </c>
      <c r="G371" s="6">
        <f>Raw_data!F371</f>
        <v>1205</v>
      </c>
      <c r="H371" s="6">
        <f>Raw_data!G371</f>
        <v>30</v>
      </c>
      <c r="I371" t="str">
        <f>Raw_data!H371</f>
        <v>Cash on Delivery</v>
      </c>
      <c r="J371" s="7" t="str">
        <f>IF(Raw_data!I371=0.1,"10%",Raw_data!I371)</f>
        <v>10%</v>
      </c>
      <c r="K371" s="6">
        <f>Raw_data!J371</f>
        <v>116</v>
      </c>
      <c r="L371" s="6">
        <f>Raw_data!K371</f>
        <v>39</v>
      </c>
      <c r="M371" s="6">
        <f>Raw_data!L371</f>
        <v>0</v>
      </c>
      <c r="N371" s="6">
        <f t="shared" si="31"/>
        <v>1050</v>
      </c>
      <c r="O371" s="6">
        <f t="shared" si="32"/>
        <v>155</v>
      </c>
      <c r="P371" s="6">
        <f t="shared" si="33"/>
        <v>1235</v>
      </c>
      <c r="Q371">
        <f t="shared" si="34"/>
        <v>1</v>
      </c>
      <c r="R371">
        <f t="shared" si="35"/>
        <v>6</v>
      </c>
    </row>
    <row r="372" spans="1:18" x14ac:dyDescent="0.25">
      <c r="A372">
        <f>Raw_data!A372</f>
        <v>371</v>
      </c>
      <c r="B372" t="str">
        <f>Raw_data!B372</f>
        <v>C2081</v>
      </c>
      <c r="C372" t="str">
        <f>Raw_data!C372</f>
        <v>R2244</v>
      </c>
      <c r="D372" s="3">
        <f>Raw_data!D372</f>
        <v>45314.092615740738</v>
      </c>
      <c r="E372" s="3">
        <f>Raw_data!E372</f>
        <v>45314.146087962959</v>
      </c>
      <c r="F372" s="4">
        <f t="shared" si="30"/>
        <v>5.3472222221898846E-2</v>
      </c>
      <c r="G372" s="6">
        <f>Raw_data!F372</f>
        <v>944</v>
      </c>
      <c r="H372" s="6">
        <f>Raw_data!G372</f>
        <v>20</v>
      </c>
      <c r="I372" t="str">
        <f>Raw_data!H372</f>
        <v>Credit Card</v>
      </c>
      <c r="J372" s="7" t="str">
        <f>IF(Raw_data!I372=0.1,"10%",Raw_data!I372)</f>
        <v>15% New User</v>
      </c>
      <c r="K372" s="6">
        <f>Raw_data!J372</f>
        <v>131</v>
      </c>
      <c r="L372" s="6">
        <f>Raw_data!K372</f>
        <v>30</v>
      </c>
      <c r="M372" s="6">
        <f>Raw_data!L372</f>
        <v>0</v>
      </c>
      <c r="N372" s="6">
        <f t="shared" si="31"/>
        <v>783</v>
      </c>
      <c r="O372" s="6">
        <f t="shared" si="32"/>
        <v>161</v>
      </c>
      <c r="P372" s="6">
        <f t="shared" si="33"/>
        <v>964</v>
      </c>
      <c r="Q372">
        <f t="shared" si="34"/>
        <v>1</v>
      </c>
      <c r="R372">
        <f t="shared" si="35"/>
        <v>1</v>
      </c>
    </row>
    <row r="373" spans="1:18" x14ac:dyDescent="0.25">
      <c r="A373">
        <f>Raw_data!A373</f>
        <v>372</v>
      </c>
      <c r="B373" t="str">
        <f>Raw_data!B373</f>
        <v>C1512</v>
      </c>
      <c r="C373" t="str">
        <f>Raw_data!C373</f>
        <v>R2747</v>
      </c>
      <c r="D373" s="3">
        <f>Raw_data!D373</f>
        <v>45328.349502314813</v>
      </c>
      <c r="E373" s="3">
        <f>Raw_data!E373</f>
        <v>45328.396724537037</v>
      </c>
      <c r="F373" s="4">
        <f t="shared" si="30"/>
        <v>4.7222222223354038E-2</v>
      </c>
      <c r="G373" s="6">
        <f>Raw_data!F373</f>
        <v>1843</v>
      </c>
      <c r="H373" s="6">
        <f>Raw_data!G373</f>
        <v>20</v>
      </c>
      <c r="I373" t="str">
        <f>Raw_data!H373</f>
        <v>Credit Card</v>
      </c>
      <c r="J373" s="7" t="str">
        <f>IF(Raw_data!I373=0.1,"10%",Raw_data!I373)</f>
        <v>5% on App</v>
      </c>
      <c r="K373" s="6">
        <f>Raw_data!J373</f>
        <v>113</v>
      </c>
      <c r="L373" s="6">
        <f>Raw_data!K373</f>
        <v>22</v>
      </c>
      <c r="M373" s="6">
        <f>Raw_data!L373</f>
        <v>0</v>
      </c>
      <c r="N373" s="6">
        <f t="shared" si="31"/>
        <v>1708</v>
      </c>
      <c r="O373" s="6">
        <f t="shared" si="32"/>
        <v>135</v>
      </c>
      <c r="P373" s="6">
        <f t="shared" si="33"/>
        <v>1863</v>
      </c>
      <c r="Q373">
        <f t="shared" si="34"/>
        <v>1</v>
      </c>
      <c r="R373">
        <f t="shared" si="35"/>
        <v>3</v>
      </c>
    </row>
    <row r="374" spans="1:18" x14ac:dyDescent="0.25">
      <c r="A374">
        <f>Raw_data!A374</f>
        <v>373</v>
      </c>
      <c r="B374" t="str">
        <f>Raw_data!B374</f>
        <v>C8805</v>
      </c>
      <c r="C374" t="str">
        <f>Raw_data!C374</f>
        <v>R2696</v>
      </c>
      <c r="D374" s="3">
        <f>Raw_data!D374</f>
        <v>45309.917534722219</v>
      </c>
      <c r="E374" s="3">
        <f>Raw_data!E374</f>
        <v>45309.970312500001</v>
      </c>
      <c r="F374" s="4">
        <f t="shared" si="30"/>
        <v>5.2777777782466728E-2</v>
      </c>
      <c r="G374" s="6">
        <f>Raw_data!F374</f>
        <v>300</v>
      </c>
      <c r="H374" s="6">
        <f>Raw_data!G374</f>
        <v>30</v>
      </c>
      <c r="I374" t="str">
        <f>Raw_data!H374</f>
        <v>Digital Wallet</v>
      </c>
      <c r="J374" s="7" t="str">
        <f>IF(Raw_data!I374=0.1,"10%",Raw_data!I374)</f>
        <v>5% on App</v>
      </c>
      <c r="K374" s="6">
        <f>Raw_data!J374</f>
        <v>132</v>
      </c>
      <c r="L374" s="6">
        <f>Raw_data!K374</f>
        <v>10</v>
      </c>
      <c r="M374" s="6">
        <f>Raw_data!L374</f>
        <v>0</v>
      </c>
      <c r="N374" s="6">
        <f t="shared" si="31"/>
        <v>158</v>
      </c>
      <c r="O374" s="6">
        <f t="shared" si="32"/>
        <v>142</v>
      </c>
      <c r="P374" s="6">
        <f t="shared" si="33"/>
        <v>330</v>
      </c>
      <c r="Q374">
        <f t="shared" si="34"/>
        <v>1</v>
      </c>
      <c r="R374">
        <f t="shared" si="35"/>
        <v>1</v>
      </c>
    </row>
    <row r="375" spans="1:18" x14ac:dyDescent="0.25">
      <c r="A375">
        <f>Raw_data!A375</f>
        <v>374</v>
      </c>
      <c r="B375" t="str">
        <f>Raw_data!B375</f>
        <v>C6237</v>
      </c>
      <c r="C375" t="str">
        <f>Raw_data!C375</f>
        <v>R2271</v>
      </c>
      <c r="D375" s="3">
        <f>Raw_data!D375</f>
        <v>45297.716990740744</v>
      </c>
      <c r="E375" s="3">
        <f>Raw_data!E375</f>
        <v>45297.751712962963</v>
      </c>
      <c r="F375" s="4">
        <f t="shared" si="30"/>
        <v>3.4722222218988463E-2</v>
      </c>
      <c r="G375" s="6">
        <f>Raw_data!F375</f>
        <v>546</v>
      </c>
      <c r="H375" s="6">
        <f>Raw_data!G375</f>
        <v>30</v>
      </c>
      <c r="I375" t="str">
        <f>Raw_data!H375</f>
        <v>Digital Wallet</v>
      </c>
      <c r="J375" s="7" t="str">
        <f>IF(Raw_data!I375=0.1,"10%",Raw_data!I375)</f>
        <v>15% New User</v>
      </c>
      <c r="K375" s="6">
        <f>Raw_data!J375</f>
        <v>96</v>
      </c>
      <c r="L375" s="6">
        <f>Raw_data!K375</f>
        <v>10</v>
      </c>
      <c r="M375" s="6">
        <f>Raw_data!L375</f>
        <v>100</v>
      </c>
      <c r="N375" s="6">
        <f t="shared" si="31"/>
        <v>440</v>
      </c>
      <c r="O375" s="6">
        <f t="shared" si="32"/>
        <v>6</v>
      </c>
      <c r="P375" s="6">
        <f t="shared" si="33"/>
        <v>576</v>
      </c>
      <c r="Q375">
        <f t="shared" si="34"/>
        <v>1</v>
      </c>
      <c r="R375">
        <f t="shared" si="35"/>
        <v>1</v>
      </c>
    </row>
    <row r="376" spans="1:18" x14ac:dyDescent="0.25">
      <c r="A376">
        <f>Raw_data!A376</f>
        <v>375</v>
      </c>
      <c r="B376" t="str">
        <f>Raw_data!B376</f>
        <v>C1559</v>
      </c>
      <c r="C376" t="str">
        <f>Raw_data!C376</f>
        <v>R2439</v>
      </c>
      <c r="D376" s="3">
        <f>Raw_data!D376</f>
        <v>45318.925243055557</v>
      </c>
      <c r="E376" s="3">
        <f>Raw_data!E376</f>
        <v>45318.966215277775</v>
      </c>
      <c r="F376" s="4">
        <f t="shared" si="30"/>
        <v>4.0972222217533272E-2</v>
      </c>
      <c r="G376" s="6">
        <f>Raw_data!F376</f>
        <v>1967</v>
      </c>
      <c r="H376" s="6">
        <f>Raw_data!G376</f>
        <v>20</v>
      </c>
      <c r="I376" t="str">
        <f>Raw_data!H376</f>
        <v>Credit Card</v>
      </c>
      <c r="J376" s="7" t="str">
        <f>IF(Raw_data!I376=0.1,"10%",Raw_data!I376)</f>
        <v>None</v>
      </c>
      <c r="K376" s="6">
        <f>Raw_data!J376</f>
        <v>55</v>
      </c>
      <c r="L376" s="6">
        <f>Raw_data!K376</f>
        <v>42</v>
      </c>
      <c r="M376" s="6">
        <f>Raw_data!L376</f>
        <v>150</v>
      </c>
      <c r="N376" s="6">
        <f t="shared" si="31"/>
        <v>1870</v>
      </c>
      <c r="O376" s="6">
        <f t="shared" si="32"/>
        <v>-53</v>
      </c>
      <c r="P376" s="6">
        <f t="shared" si="33"/>
        <v>1987</v>
      </c>
      <c r="Q376">
        <f t="shared" si="34"/>
        <v>1</v>
      </c>
      <c r="R376">
        <f t="shared" si="35"/>
        <v>3</v>
      </c>
    </row>
    <row r="377" spans="1:18" x14ac:dyDescent="0.25">
      <c r="A377">
        <f>Raw_data!A377</f>
        <v>376</v>
      </c>
      <c r="B377" t="str">
        <f>Raw_data!B377</f>
        <v>C4672</v>
      </c>
      <c r="C377" t="str">
        <f>Raw_data!C377</f>
        <v>R2747</v>
      </c>
      <c r="D377" s="3">
        <f>Raw_data!D377</f>
        <v>45320.884456018517</v>
      </c>
      <c r="E377" s="3">
        <f>Raw_data!E377</f>
        <v>45320.926122685189</v>
      </c>
      <c r="F377" s="4">
        <f t="shared" si="30"/>
        <v>4.1666666671517305E-2</v>
      </c>
      <c r="G377" s="6">
        <f>Raw_data!F377</f>
        <v>1551</v>
      </c>
      <c r="H377" s="6">
        <f>Raw_data!G377</f>
        <v>30</v>
      </c>
      <c r="I377" t="str">
        <f>Raw_data!H377</f>
        <v>Cash on Delivery</v>
      </c>
      <c r="J377" s="7" t="str">
        <f>IF(Raw_data!I377=0.1,"10%",Raw_data!I377)</f>
        <v>15% New User</v>
      </c>
      <c r="K377" s="6">
        <f>Raw_data!J377</f>
        <v>65</v>
      </c>
      <c r="L377" s="6">
        <f>Raw_data!K377</f>
        <v>47</v>
      </c>
      <c r="M377" s="6">
        <f>Raw_data!L377</f>
        <v>0</v>
      </c>
      <c r="N377" s="6">
        <f t="shared" si="31"/>
        <v>1439</v>
      </c>
      <c r="O377" s="6">
        <f t="shared" si="32"/>
        <v>112</v>
      </c>
      <c r="P377" s="6">
        <f t="shared" si="33"/>
        <v>1581</v>
      </c>
      <c r="Q377">
        <f t="shared" si="34"/>
        <v>1</v>
      </c>
      <c r="R377">
        <f t="shared" si="35"/>
        <v>3</v>
      </c>
    </row>
    <row r="378" spans="1:18" x14ac:dyDescent="0.25">
      <c r="A378">
        <f>Raw_data!A378</f>
        <v>377</v>
      </c>
      <c r="B378" t="str">
        <f>Raw_data!B378</f>
        <v>C8404</v>
      </c>
      <c r="C378" t="str">
        <f>Raw_data!C378</f>
        <v>R2238</v>
      </c>
      <c r="D378" s="3">
        <f>Raw_data!D378</f>
        <v>45319.17827546296</v>
      </c>
      <c r="E378" s="3">
        <f>Raw_data!E378</f>
        <v>45319.216469907406</v>
      </c>
      <c r="F378" s="4">
        <f t="shared" si="30"/>
        <v>3.8194444445252884E-2</v>
      </c>
      <c r="G378" s="6">
        <f>Raw_data!F378</f>
        <v>1161</v>
      </c>
      <c r="H378" s="6">
        <f>Raw_data!G378</f>
        <v>30</v>
      </c>
      <c r="I378" t="str">
        <f>Raw_data!H378</f>
        <v>Digital Wallet</v>
      </c>
      <c r="J378" s="7" t="str">
        <f>IF(Raw_data!I378=0.1,"10%",Raw_data!I378)</f>
        <v>None</v>
      </c>
      <c r="K378" s="6">
        <f>Raw_data!J378</f>
        <v>195</v>
      </c>
      <c r="L378" s="6">
        <f>Raw_data!K378</f>
        <v>34</v>
      </c>
      <c r="M378" s="6">
        <f>Raw_data!L378</f>
        <v>0</v>
      </c>
      <c r="N378" s="6">
        <f t="shared" si="31"/>
        <v>932</v>
      </c>
      <c r="O378" s="6">
        <f t="shared" si="32"/>
        <v>229</v>
      </c>
      <c r="P378" s="6">
        <f t="shared" si="33"/>
        <v>1191</v>
      </c>
      <c r="Q378">
        <f t="shared" si="34"/>
        <v>1</v>
      </c>
      <c r="R378">
        <f t="shared" si="35"/>
        <v>2</v>
      </c>
    </row>
    <row r="379" spans="1:18" x14ac:dyDescent="0.25">
      <c r="A379">
        <f>Raw_data!A379</f>
        <v>378</v>
      </c>
      <c r="B379" t="str">
        <f>Raw_data!B379</f>
        <v>C4343</v>
      </c>
      <c r="C379" t="str">
        <f>Raw_data!C379</f>
        <v>R2376</v>
      </c>
      <c r="D379" s="3">
        <f>Raw_data!D379</f>
        <v>45327.114085648151</v>
      </c>
      <c r="E379" s="3">
        <f>Raw_data!E379</f>
        <v>45327.149502314816</v>
      </c>
      <c r="F379" s="4">
        <f t="shared" si="30"/>
        <v>3.5416666665696539E-2</v>
      </c>
      <c r="G379" s="6">
        <f>Raw_data!F379</f>
        <v>1334</v>
      </c>
      <c r="H379" s="6">
        <f>Raw_data!G379</f>
        <v>40</v>
      </c>
      <c r="I379" t="str">
        <f>Raw_data!H379</f>
        <v>Cash on Delivery</v>
      </c>
      <c r="J379" s="7" t="str">
        <f>IF(Raw_data!I379=0.1,"10%",Raw_data!I379)</f>
        <v>10%</v>
      </c>
      <c r="K379" s="6">
        <f>Raw_data!J379</f>
        <v>88</v>
      </c>
      <c r="L379" s="6">
        <f>Raw_data!K379</f>
        <v>35</v>
      </c>
      <c r="M379" s="6">
        <f>Raw_data!L379</f>
        <v>0</v>
      </c>
      <c r="N379" s="6">
        <f t="shared" si="31"/>
        <v>1211</v>
      </c>
      <c r="O379" s="6">
        <f t="shared" si="32"/>
        <v>123</v>
      </c>
      <c r="P379" s="6">
        <f t="shared" si="33"/>
        <v>1374</v>
      </c>
      <c r="Q379">
        <f t="shared" si="34"/>
        <v>1</v>
      </c>
      <c r="R379">
        <f t="shared" si="35"/>
        <v>1</v>
      </c>
    </row>
    <row r="380" spans="1:18" x14ac:dyDescent="0.25">
      <c r="A380">
        <f>Raw_data!A380</f>
        <v>379</v>
      </c>
      <c r="B380" t="str">
        <f>Raw_data!B380</f>
        <v>C5070</v>
      </c>
      <c r="C380" t="str">
        <f>Raw_data!C380</f>
        <v>R2265</v>
      </c>
      <c r="D380" s="3">
        <f>Raw_data!D380</f>
        <v>45323.793761574074</v>
      </c>
      <c r="E380" s="3">
        <f>Raw_data!E380</f>
        <v>45323.828483796293</v>
      </c>
      <c r="F380" s="4">
        <f t="shared" si="30"/>
        <v>3.4722222218988463E-2</v>
      </c>
      <c r="G380" s="6">
        <f>Raw_data!F380</f>
        <v>543</v>
      </c>
      <c r="H380" s="6">
        <f>Raw_data!G380</f>
        <v>0</v>
      </c>
      <c r="I380" t="str">
        <f>Raw_data!H380</f>
        <v>Cash on Delivery</v>
      </c>
      <c r="J380" s="7" t="str">
        <f>IF(Raw_data!I380=0.1,"10%",Raw_data!I380)</f>
        <v>15% New User</v>
      </c>
      <c r="K380" s="6">
        <f>Raw_data!J380</f>
        <v>162</v>
      </c>
      <c r="L380" s="6">
        <f>Raw_data!K380</f>
        <v>22</v>
      </c>
      <c r="M380" s="6">
        <f>Raw_data!L380</f>
        <v>100</v>
      </c>
      <c r="N380" s="6">
        <f t="shared" si="31"/>
        <v>359</v>
      </c>
      <c r="O380" s="6">
        <f t="shared" si="32"/>
        <v>84</v>
      </c>
      <c r="P380" s="6">
        <f t="shared" si="33"/>
        <v>543</v>
      </c>
      <c r="Q380">
        <f t="shared" si="34"/>
        <v>1</v>
      </c>
      <c r="R380">
        <f t="shared" si="35"/>
        <v>1</v>
      </c>
    </row>
    <row r="381" spans="1:18" x14ac:dyDescent="0.25">
      <c r="A381">
        <f>Raw_data!A381</f>
        <v>380</v>
      </c>
      <c r="B381" t="str">
        <f>Raw_data!B381</f>
        <v>C1580</v>
      </c>
      <c r="C381" t="str">
        <f>Raw_data!C381</f>
        <v>R2925</v>
      </c>
      <c r="D381" s="3">
        <f>Raw_data!D381</f>
        <v>45300.263148148151</v>
      </c>
      <c r="E381" s="3">
        <f>Raw_data!E381</f>
        <v>45300.28398148148</v>
      </c>
      <c r="F381" s="4">
        <f t="shared" si="30"/>
        <v>2.0833333328482695E-2</v>
      </c>
      <c r="G381" s="6">
        <f>Raw_data!F381</f>
        <v>1450</v>
      </c>
      <c r="H381" s="6">
        <f>Raw_data!G381</f>
        <v>20</v>
      </c>
      <c r="I381" t="str">
        <f>Raw_data!H381</f>
        <v>Cash on Delivery</v>
      </c>
      <c r="J381" s="7" t="str">
        <f>IF(Raw_data!I381=0.1,"10%",Raw_data!I381)</f>
        <v>None</v>
      </c>
      <c r="K381" s="6">
        <f>Raw_data!J381</f>
        <v>189</v>
      </c>
      <c r="L381" s="6">
        <f>Raw_data!K381</f>
        <v>37</v>
      </c>
      <c r="M381" s="6">
        <f>Raw_data!L381</f>
        <v>0</v>
      </c>
      <c r="N381" s="6">
        <f t="shared" si="31"/>
        <v>1224</v>
      </c>
      <c r="O381" s="6">
        <f t="shared" si="32"/>
        <v>226</v>
      </c>
      <c r="P381" s="6">
        <f t="shared" si="33"/>
        <v>1470</v>
      </c>
      <c r="Q381">
        <f t="shared" si="34"/>
        <v>1</v>
      </c>
      <c r="R381">
        <f t="shared" si="35"/>
        <v>2</v>
      </c>
    </row>
    <row r="382" spans="1:18" x14ac:dyDescent="0.25">
      <c r="A382">
        <f>Raw_data!A382</f>
        <v>381</v>
      </c>
      <c r="B382" t="str">
        <f>Raw_data!B382</f>
        <v>C8004</v>
      </c>
      <c r="C382" t="str">
        <f>Raw_data!C382</f>
        <v>R2920</v>
      </c>
      <c r="D382" s="3">
        <f>Raw_data!D382</f>
        <v>45310.059652777774</v>
      </c>
      <c r="E382" s="3">
        <f>Raw_data!E382</f>
        <v>45310.105486111112</v>
      </c>
      <c r="F382" s="4">
        <f t="shared" si="30"/>
        <v>4.5833333337213844E-2</v>
      </c>
      <c r="G382" s="6">
        <f>Raw_data!F382</f>
        <v>860</v>
      </c>
      <c r="H382" s="6">
        <f>Raw_data!G382</f>
        <v>40</v>
      </c>
      <c r="I382" t="str">
        <f>Raw_data!H382</f>
        <v>Credit Card</v>
      </c>
      <c r="J382" s="7" t="str">
        <f>IF(Raw_data!I382=0.1,"10%",Raw_data!I382)</f>
        <v>10%</v>
      </c>
      <c r="K382" s="6">
        <f>Raw_data!J382</f>
        <v>187</v>
      </c>
      <c r="L382" s="6">
        <f>Raw_data!K382</f>
        <v>42</v>
      </c>
      <c r="M382" s="6">
        <f>Raw_data!L382</f>
        <v>100</v>
      </c>
      <c r="N382" s="6">
        <f t="shared" si="31"/>
        <v>631</v>
      </c>
      <c r="O382" s="6">
        <f t="shared" si="32"/>
        <v>129</v>
      </c>
      <c r="P382" s="6">
        <f t="shared" si="33"/>
        <v>900</v>
      </c>
      <c r="Q382">
        <f t="shared" si="34"/>
        <v>1</v>
      </c>
      <c r="R382">
        <f t="shared" si="35"/>
        <v>3</v>
      </c>
    </row>
    <row r="383" spans="1:18" x14ac:dyDescent="0.25">
      <c r="A383">
        <f>Raw_data!A383</f>
        <v>382</v>
      </c>
      <c r="B383" t="str">
        <f>Raw_data!B383</f>
        <v>C9130</v>
      </c>
      <c r="C383" t="str">
        <f>Raw_data!C383</f>
        <v>R2358</v>
      </c>
      <c r="D383" s="3">
        <f>Raw_data!D383</f>
        <v>45301.035196759258</v>
      </c>
      <c r="E383" s="3">
        <f>Raw_data!E383</f>
        <v>45301.108807870369</v>
      </c>
      <c r="F383" s="4">
        <f t="shared" si="30"/>
        <v>7.3611111110949423E-2</v>
      </c>
      <c r="G383" s="6">
        <f>Raw_data!F383</f>
        <v>326</v>
      </c>
      <c r="H383" s="6">
        <f>Raw_data!G383</f>
        <v>0</v>
      </c>
      <c r="I383" t="str">
        <f>Raw_data!H383</f>
        <v>Cash on Delivery</v>
      </c>
      <c r="J383" s="7" t="str">
        <f>IF(Raw_data!I383=0.1,"10%",Raw_data!I383)</f>
        <v>15% New User</v>
      </c>
      <c r="K383" s="6">
        <f>Raw_data!J383</f>
        <v>120</v>
      </c>
      <c r="L383" s="6">
        <f>Raw_data!K383</f>
        <v>46</v>
      </c>
      <c r="M383" s="6">
        <f>Raw_data!L383</f>
        <v>0</v>
      </c>
      <c r="N383" s="6">
        <f t="shared" si="31"/>
        <v>160</v>
      </c>
      <c r="O383" s="6">
        <f t="shared" si="32"/>
        <v>166</v>
      </c>
      <c r="P383" s="6">
        <f t="shared" si="33"/>
        <v>326</v>
      </c>
      <c r="Q383">
        <f t="shared" si="34"/>
        <v>1</v>
      </c>
      <c r="R383">
        <f t="shared" si="35"/>
        <v>3</v>
      </c>
    </row>
    <row r="384" spans="1:18" x14ac:dyDescent="0.25">
      <c r="A384">
        <f>Raw_data!A384</f>
        <v>383</v>
      </c>
      <c r="B384" t="str">
        <f>Raw_data!B384</f>
        <v>C4147</v>
      </c>
      <c r="C384" t="str">
        <f>Raw_data!C384</f>
        <v>R2339</v>
      </c>
      <c r="D384" s="3">
        <f>Raw_data!D384</f>
        <v>45295.146180555559</v>
      </c>
      <c r="E384" s="3">
        <f>Raw_data!E384</f>
        <v>45295.225347222222</v>
      </c>
      <c r="F384" s="4">
        <f t="shared" si="30"/>
        <v>7.9166666662786156E-2</v>
      </c>
      <c r="G384" s="6">
        <f>Raw_data!F384</f>
        <v>147</v>
      </c>
      <c r="H384" s="6">
        <f>Raw_data!G384</f>
        <v>30</v>
      </c>
      <c r="I384" t="str">
        <f>Raw_data!H384</f>
        <v>Credit Card</v>
      </c>
      <c r="J384" s="7" t="str">
        <f>IF(Raw_data!I384=0.1,"10%",Raw_data!I384)</f>
        <v>5% on App</v>
      </c>
      <c r="K384" s="6">
        <f>Raw_data!J384</f>
        <v>159</v>
      </c>
      <c r="L384" s="6">
        <f>Raw_data!K384</f>
        <v>50</v>
      </c>
      <c r="M384" s="6">
        <f>Raw_data!L384</f>
        <v>0</v>
      </c>
      <c r="N384" s="6">
        <f t="shared" si="31"/>
        <v>-62</v>
      </c>
      <c r="O384" s="6">
        <f t="shared" si="32"/>
        <v>209</v>
      </c>
      <c r="P384" s="6">
        <f t="shared" si="33"/>
        <v>177</v>
      </c>
      <c r="Q384">
        <f t="shared" si="34"/>
        <v>1</v>
      </c>
      <c r="R384">
        <f t="shared" si="35"/>
        <v>1</v>
      </c>
    </row>
    <row r="385" spans="1:18" x14ac:dyDescent="0.25">
      <c r="A385">
        <f>Raw_data!A385</f>
        <v>384</v>
      </c>
      <c r="B385" t="str">
        <f>Raw_data!B385</f>
        <v>C5249</v>
      </c>
      <c r="C385" t="str">
        <f>Raw_data!C385</f>
        <v>R2388</v>
      </c>
      <c r="D385" s="3">
        <f>Raw_data!D385</f>
        <v>45309.988483796296</v>
      </c>
      <c r="E385" s="3">
        <f>Raw_data!E385</f>
        <v>45310.040567129632</v>
      </c>
      <c r="F385" s="4">
        <f t="shared" si="30"/>
        <v>5.2083333335758653E-2</v>
      </c>
      <c r="G385" s="6">
        <f>Raw_data!F385</f>
        <v>1141</v>
      </c>
      <c r="H385" s="6">
        <f>Raw_data!G385</f>
        <v>30</v>
      </c>
      <c r="I385" t="str">
        <f>Raw_data!H385</f>
        <v>Credit Card</v>
      </c>
      <c r="J385" s="7" t="str">
        <f>IF(Raw_data!I385=0.1,"10%",Raw_data!I385)</f>
        <v>15% New User</v>
      </c>
      <c r="K385" s="6">
        <f>Raw_data!J385</f>
        <v>104</v>
      </c>
      <c r="L385" s="6">
        <f>Raw_data!K385</f>
        <v>39</v>
      </c>
      <c r="M385" s="6">
        <f>Raw_data!L385</f>
        <v>0</v>
      </c>
      <c r="N385" s="6">
        <f t="shared" si="31"/>
        <v>998</v>
      </c>
      <c r="O385" s="6">
        <f t="shared" si="32"/>
        <v>143</v>
      </c>
      <c r="P385" s="6">
        <f t="shared" si="33"/>
        <v>1171</v>
      </c>
      <c r="Q385">
        <f t="shared" si="34"/>
        <v>1</v>
      </c>
      <c r="R385">
        <f t="shared" si="35"/>
        <v>1</v>
      </c>
    </row>
    <row r="386" spans="1:18" x14ac:dyDescent="0.25">
      <c r="A386">
        <f>Raw_data!A386</f>
        <v>385</v>
      </c>
      <c r="B386" t="str">
        <f>Raw_data!B386</f>
        <v>C2679</v>
      </c>
      <c r="C386" t="str">
        <f>Raw_data!C386</f>
        <v>R2576</v>
      </c>
      <c r="D386" s="3">
        <f>Raw_data!D386</f>
        <v>45319.924293981479</v>
      </c>
      <c r="E386" s="3">
        <f>Raw_data!E386</f>
        <v>45319.950682870367</v>
      </c>
      <c r="F386" s="4">
        <f t="shared" si="30"/>
        <v>2.6388888887595385E-2</v>
      </c>
      <c r="G386" s="6">
        <f>Raw_data!F386</f>
        <v>1011</v>
      </c>
      <c r="H386" s="6">
        <f>Raw_data!G386</f>
        <v>40</v>
      </c>
      <c r="I386" t="str">
        <f>Raw_data!H386</f>
        <v>Cash on Delivery</v>
      </c>
      <c r="J386" s="7" t="str">
        <f>IF(Raw_data!I386=0.1,"10%",Raw_data!I386)</f>
        <v>50 off Promo</v>
      </c>
      <c r="K386" s="6">
        <f>Raw_data!J386</f>
        <v>178</v>
      </c>
      <c r="L386" s="6">
        <f>Raw_data!K386</f>
        <v>17</v>
      </c>
      <c r="M386" s="6">
        <f>Raw_data!L386</f>
        <v>0</v>
      </c>
      <c r="N386" s="6">
        <f t="shared" si="31"/>
        <v>816</v>
      </c>
      <c r="O386" s="6">
        <f t="shared" si="32"/>
        <v>195</v>
      </c>
      <c r="P386" s="6">
        <f t="shared" si="33"/>
        <v>1051</v>
      </c>
      <c r="Q386">
        <f t="shared" si="34"/>
        <v>1</v>
      </c>
      <c r="R386">
        <f t="shared" si="35"/>
        <v>1</v>
      </c>
    </row>
    <row r="387" spans="1:18" x14ac:dyDescent="0.25">
      <c r="A387">
        <f>Raw_data!A387</f>
        <v>386</v>
      </c>
      <c r="B387" t="str">
        <f>Raw_data!B387</f>
        <v>C4506</v>
      </c>
      <c r="C387" t="str">
        <f>Raw_data!C387</f>
        <v>R2989</v>
      </c>
      <c r="D387" s="3">
        <f>Raw_data!D387</f>
        <v>45320.435636574075</v>
      </c>
      <c r="E387" s="3">
        <f>Raw_data!E387</f>
        <v>45320.467581018522</v>
      </c>
      <c r="F387" s="4">
        <f t="shared" ref="F387:F450" si="36">E387-D387</f>
        <v>3.1944444446708076E-2</v>
      </c>
      <c r="G387" s="6">
        <f>Raw_data!F387</f>
        <v>1562</v>
      </c>
      <c r="H387" s="6">
        <f>Raw_data!G387</f>
        <v>30</v>
      </c>
      <c r="I387" t="str">
        <f>Raw_data!H387</f>
        <v>Cash on Delivery</v>
      </c>
      <c r="J387" s="7" t="str">
        <f>IF(Raw_data!I387=0.1,"10%",Raw_data!I387)</f>
        <v>15% New User</v>
      </c>
      <c r="K387" s="6">
        <f>Raw_data!J387</f>
        <v>98</v>
      </c>
      <c r="L387" s="6">
        <f>Raw_data!K387</f>
        <v>10</v>
      </c>
      <c r="M387" s="6">
        <f>Raw_data!L387</f>
        <v>0</v>
      </c>
      <c r="N387" s="6">
        <f t="shared" ref="N387:N450" si="37">G387-K387-L387</f>
        <v>1454</v>
      </c>
      <c r="O387" s="6">
        <f t="shared" ref="O387:O450" si="38">K387+L387-M387</f>
        <v>108</v>
      </c>
      <c r="P387" s="6">
        <f t="shared" ref="P387:P450" si="39">G387+H387</f>
        <v>1592</v>
      </c>
      <c r="Q387">
        <f t="shared" ref="Q387:Q450" si="40">COUNTIF(B$2:B$1001,B387)</f>
        <v>1</v>
      </c>
      <c r="R387">
        <f t="shared" ref="R387:R450" si="41">COUNTIF(C$2:C$1001,C387)</f>
        <v>3</v>
      </c>
    </row>
    <row r="388" spans="1:18" x14ac:dyDescent="0.25">
      <c r="A388">
        <f>Raw_data!A388</f>
        <v>387</v>
      </c>
      <c r="B388" t="str">
        <f>Raw_data!B388</f>
        <v>C8253</v>
      </c>
      <c r="C388" t="str">
        <f>Raw_data!C388</f>
        <v>R2688</v>
      </c>
      <c r="D388" s="3">
        <f>Raw_data!D388</f>
        <v>45311.729131944441</v>
      </c>
      <c r="E388" s="3">
        <f>Raw_data!E388</f>
        <v>45311.781909722224</v>
      </c>
      <c r="F388" s="4">
        <f t="shared" si="36"/>
        <v>5.2777777782466728E-2</v>
      </c>
      <c r="G388" s="6">
        <f>Raw_data!F388</f>
        <v>1930</v>
      </c>
      <c r="H388" s="6">
        <f>Raw_data!G388</f>
        <v>50</v>
      </c>
      <c r="I388" t="str">
        <f>Raw_data!H388</f>
        <v>Cash on Delivery</v>
      </c>
      <c r="J388" s="7" t="str">
        <f>IF(Raw_data!I388=0.1,"10%",Raw_data!I388)</f>
        <v>50 off Promo</v>
      </c>
      <c r="K388" s="6">
        <f>Raw_data!J388</f>
        <v>70</v>
      </c>
      <c r="L388" s="6">
        <f>Raw_data!K388</f>
        <v>21</v>
      </c>
      <c r="M388" s="6">
        <f>Raw_data!L388</f>
        <v>0</v>
      </c>
      <c r="N388" s="6">
        <f t="shared" si="37"/>
        <v>1839</v>
      </c>
      <c r="O388" s="6">
        <f t="shared" si="38"/>
        <v>91</v>
      </c>
      <c r="P388" s="6">
        <f t="shared" si="39"/>
        <v>1980</v>
      </c>
      <c r="Q388">
        <f t="shared" si="40"/>
        <v>1</v>
      </c>
      <c r="R388">
        <f t="shared" si="41"/>
        <v>3</v>
      </c>
    </row>
    <row r="389" spans="1:18" x14ac:dyDescent="0.25">
      <c r="A389">
        <f>Raw_data!A389</f>
        <v>388</v>
      </c>
      <c r="B389" t="str">
        <f>Raw_data!B389</f>
        <v>C3744</v>
      </c>
      <c r="C389" t="str">
        <f>Raw_data!C389</f>
        <v>R2002</v>
      </c>
      <c r="D389" s="3">
        <f>Raw_data!D389</f>
        <v>45321.529293981483</v>
      </c>
      <c r="E389" s="3">
        <f>Raw_data!E389</f>
        <v>45321.608460648145</v>
      </c>
      <c r="F389" s="4">
        <f t="shared" si="36"/>
        <v>7.9166666662786156E-2</v>
      </c>
      <c r="G389" s="6">
        <f>Raw_data!F389</f>
        <v>1831</v>
      </c>
      <c r="H389" s="6">
        <f>Raw_data!G389</f>
        <v>40</v>
      </c>
      <c r="I389" t="str">
        <f>Raw_data!H389</f>
        <v>Cash on Delivery</v>
      </c>
      <c r="J389" s="7" t="str">
        <f>IF(Raw_data!I389=0.1,"10%",Raw_data!I389)</f>
        <v>10%</v>
      </c>
      <c r="K389" s="6">
        <f>Raw_data!J389</f>
        <v>86</v>
      </c>
      <c r="L389" s="6">
        <f>Raw_data!K389</f>
        <v>14</v>
      </c>
      <c r="M389" s="6">
        <f>Raw_data!L389</f>
        <v>150</v>
      </c>
      <c r="N389" s="6">
        <f t="shared" si="37"/>
        <v>1731</v>
      </c>
      <c r="O389" s="6">
        <f t="shared" si="38"/>
        <v>-50</v>
      </c>
      <c r="P389" s="6">
        <f t="shared" si="39"/>
        <v>1871</v>
      </c>
      <c r="Q389">
        <f t="shared" si="40"/>
        <v>1</v>
      </c>
      <c r="R389">
        <f t="shared" si="41"/>
        <v>2</v>
      </c>
    </row>
    <row r="390" spans="1:18" x14ac:dyDescent="0.25">
      <c r="A390">
        <f>Raw_data!A390</f>
        <v>389</v>
      </c>
      <c r="B390" t="str">
        <f>Raw_data!B390</f>
        <v>C6188</v>
      </c>
      <c r="C390" t="str">
        <f>Raw_data!C390</f>
        <v>R2428</v>
      </c>
      <c r="D390" s="3">
        <f>Raw_data!D390</f>
        <v>45328.200787037036</v>
      </c>
      <c r="E390" s="3">
        <f>Raw_data!E390</f>
        <v>45328.26189814815</v>
      </c>
      <c r="F390" s="4">
        <f t="shared" si="36"/>
        <v>6.1111111113859806E-2</v>
      </c>
      <c r="G390" s="6">
        <f>Raw_data!F390</f>
        <v>286</v>
      </c>
      <c r="H390" s="6">
        <f>Raw_data!G390</f>
        <v>0</v>
      </c>
      <c r="I390" t="str">
        <f>Raw_data!H390</f>
        <v>Credit Card</v>
      </c>
      <c r="J390" s="7" t="str">
        <f>IF(Raw_data!I390=0.1,"10%",Raw_data!I390)</f>
        <v>15% New User</v>
      </c>
      <c r="K390" s="6">
        <f>Raw_data!J390</f>
        <v>165</v>
      </c>
      <c r="L390" s="6">
        <f>Raw_data!K390</f>
        <v>33</v>
      </c>
      <c r="M390" s="6">
        <f>Raw_data!L390</f>
        <v>0</v>
      </c>
      <c r="N390" s="6">
        <f t="shared" si="37"/>
        <v>88</v>
      </c>
      <c r="O390" s="6">
        <f t="shared" si="38"/>
        <v>198</v>
      </c>
      <c r="P390" s="6">
        <f t="shared" si="39"/>
        <v>286</v>
      </c>
      <c r="Q390">
        <f t="shared" si="40"/>
        <v>1</v>
      </c>
      <c r="R390">
        <f t="shared" si="41"/>
        <v>1</v>
      </c>
    </row>
    <row r="391" spans="1:18" x14ac:dyDescent="0.25">
      <c r="A391">
        <f>Raw_data!A391</f>
        <v>390</v>
      </c>
      <c r="B391" t="str">
        <f>Raw_data!B391</f>
        <v>C3141</v>
      </c>
      <c r="C391" t="str">
        <f>Raw_data!C391</f>
        <v>R2141</v>
      </c>
      <c r="D391" s="3">
        <f>Raw_data!D391</f>
        <v>45316.768287037034</v>
      </c>
      <c r="E391" s="3">
        <f>Raw_data!E391</f>
        <v>45316.825925925928</v>
      </c>
      <c r="F391" s="4">
        <f t="shared" si="36"/>
        <v>5.7638888894871343E-2</v>
      </c>
      <c r="G391" s="6">
        <f>Raw_data!F391</f>
        <v>444</v>
      </c>
      <c r="H391" s="6">
        <f>Raw_data!G391</f>
        <v>40</v>
      </c>
      <c r="I391" t="str">
        <f>Raw_data!H391</f>
        <v>Cash on Delivery</v>
      </c>
      <c r="J391" s="7" t="str">
        <f>IF(Raw_data!I391=0.1,"10%",Raw_data!I391)</f>
        <v>10%</v>
      </c>
      <c r="K391" s="6">
        <f>Raw_data!J391</f>
        <v>73</v>
      </c>
      <c r="L391" s="6">
        <f>Raw_data!K391</f>
        <v>15</v>
      </c>
      <c r="M391" s="6">
        <f>Raw_data!L391</f>
        <v>50</v>
      </c>
      <c r="N391" s="6">
        <f t="shared" si="37"/>
        <v>356</v>
      </c>
      <c r="O391" s="6">
        <f t="shared" si="38"/>
        <v>38</v>
      </c>
      <c r="P391" s="6">
        <f t="shared" si="39"/>
        <v>484</v>
      </c>
      <c r="Q391">
        <f t="shared" si="40"/>
        <v>1</v>
      </c>
      <c r="R391">
        <f t="shared" si="41"/>
        <v>1</v>
      </c>
    </row>
    <row r="392" spans="1:18" x14ac:dyDescent="0.25">
      <c r="A392">
        <f>Raw_data!A392</f>
        <v>391</v>
      </c>
      <c r="B392" t="str">
        <f>Raw_data!B392</f>
        <v>C7617</v>
      </c>
      <c r="C392" t="str">
        <f>Raw_data!C392</f>
        <v>R2375</v>
      </c>
      <c r="D392" s="3">
        <f>Raw_data!D392</f>
        <v>45301.664768518516</v>
      </c>
      <c r="E392" s="3">
        <f>Raw_data!E392</f>
        <v>45301.744629629633</v>
      </c>
      <c r="F392" s="4">
        <f t="shared" si="36"/>
        <v>7.9861111116770189E-2</v>
      </c>
      <c r="G392" s="6">
        <f>Raw_data!F392</f>
        <v>323</v>
      </c>
      <c r="H392" s="6">
        <f>Raw_data!G392</f>
        <v>20</v>
      </c>
      <c r="I392" t="str">
        <f>Raw_data!H392</f>
        <v>Cash on Delivery</v>
      </c>
      <c r="J392" s="7" t="str">
        <f>IF(Raw_data!I392=0.1,"10%",Raw_data!I392)</f>
        <v>10%</v>
      </c>
      <c r="K392" s="6">
        <f>Raw_data!J392</f>
        <v>104</v>
      </c>
      <c r="L392" s="6">
        <f>Raw_data!K392</f>
        <v>34</v>
      </c>
      <c r="M392" s="6">
        <f>Raw_data!L392</f>
        <v>0</v>
      </c>
      <c r="N392" s="6">
        <f t="shared" si="37"/>
        <v>185</v>
      </c>
      <c r="O392" s="6">
        <f t="shared" si="38"/>
        <v>138</v>
      </c>
      <c r="P392" s="6">
        <f t="shared" si="39"/>
        <v>343</v>
      </c>
      <c r="Q392">
        <f t="shared" si="40"/>
        <v>1</v>
      </c>
      <c r="R392">
        <f t="shared" si="41"/>
        <v>1</v>
      </c>
    </row>
    <row r="393" spans="1:18" x14ac:dyDescent="0.25">
      <c r="A393">
        <f>Raw_data!A393</f>
        <v>392</v>
      </c>
      <c r="B393" t="str">
        <f>Raw_data!B393</f>
        <v>C3479</v>
      </c>
      <c r="C393" t="str">
        <f>Raw_data!C393</f>
        <v>R2669</v>
      </c>
      <c r="D393" s="3">
        <f>Raw_data!D393</f>
        <v>45319.428495370368</v>
      </c>
      <c r="E393" s="3">
        <f>Raw_data!E393</f>
        <v>45319.456967592596</v>
      </c>
      <c r="F393" s="4">
        <f t="shared" si="36"/>
        <v>2.8472222227719612E-2</v>
      </c>
      <c r="G393" s="6">
        <f>Raw_data!F393</f>
        <v>929</v>
      </c>
      <c r="H393" s="6">
        <f>Raw_data!G393</f>
        <v>40</v>
      </c>
      <c r="I393" t="str">
        <f>Raw_data!H393</f>
        <v>Credit Card</v>
      </c>
      <c r="J393" s="7" t="str">
        <f>IF(Raw_data!I393=0.1,"10%",Raw_data!I393)</f>
        <v>None</v>
      </c>
      <c r="K393" s="6">
        <f>Raw_data!J393</f>
        <v>74</v>
      </c>
      <c r="L393" s="6">
        <f>Raw_data!K393</f>
        <v>10</v>
      </c>
      <c r="M393" s="6">
        <f>Raw_data!L393</f>
        <v>50</v>
      </c>
      <c r="N393" s="6">
        <f t="shared" si="37"/>
        <v>845</v>
      </c>
      <c r="O393" s="6">
        <f t="shared" si="38"/>
        <v>34</v>
      </c>
      <c r="P393" s="6">
        <f t="shared" si="39"/>
        <v>969</v>
      </c>
      <c r="Q393">
        <f t="shared" si="40"/>
        <v>1</v>
      </c>
      <c r="R393">
        <f t="shared" si="41"/>
        <v>2</v>
      </c>
    </row>
    <row r="394" spans="1:18" x14ac:dyDescent="0.25">
      <c r="A394">
        <f>Raw_data!A394</f>
        <v>393</v>
      </c>
      <c r="B394" t="str">
        <f>Raw_data!B394</f>
        <v>C7484</v>
      </c>
      <c r="C394" t="str">
        <f>Raw_data!C394</f>
        <v>R2323</v>
      </c>
      <c r="D394" s="3">
        <f>Raw_data!D394</f>
        <v>45328.705092592594</v>
      </c>
      <c r="E394" s="3">
        <f>Raw_data!E394</f>
        <v>45328.769675925927</v>
      </c>
      <c r="F394" s="4">
        <f t="shared" si="36"/>
        <v>6.4583333332848269E-2</v>
      </c>
      <c r="G394" s="6">
        <f>Raw_data!F394</f>
        <v>587</v>
      </c>
      <c r="H394" s="6">
        <f>Raw_data!G394</f>
        <v>30</v>
      </c>
      <c r="I394" t="str">
        <f>Raw_data!H394</f>
        <v>Digital Wallet</v>
      </c>
      <c r="J394" s="7" t="str">
        <f>IF(Raw_data!I394=0.1,"10%",Raw_data!I394)</f>
        <v>10%</v>
      </c>
      <c r="K394" s="6">
        <f>Raw_data!J394</f>
        <v>184</v>
      </c>
      <c r="L394" s="6">
        <f>Raw_data!K394</f>
        <v>34</v>
      </c>
      <c r="M394" s="6">
        <f>Raw_data!L394</f>
        <v>50</v>
      </c>
      <c r="N394" s="6">
        <f t="shared" si="37"/>
        <v>369</v>
      </c>
      <c r="O394" s="6">
        <f t="shared" si="38"/>
        <v>168</v>
      </c>
      <c r="P394" s="6">
        <f t="shared" si="39"/>
        <v>617</v>
      </c>
      <c r="Q394">
        <f t="shared" si="40"/>
        <v>1</v>
      </c>
      <c r="R394">
        <f t="shared" si="41"/>
        <v>2</v>
      </c>
    </row>
    <row r="395" spans="1:18" x14ac:dyDescent="0.25">
      <c r="A395">
        <f>Raw_data!A395</f>
        <v>394</v>
      </c>
      <c r="B395" t="str">
        <f>Raw_data!B395</f>
        <v>C8421</v>
      </c>
      <c r="C395" t="str">
        <f>Raw_data!C395</f>
        <v>R2145</v>
      </c>
      <c r="D395" s="3">
        <f>Raw_data!D395</f>
        <v>45319.642106481479</v>
      </c>
      <c r="E395" s="3">
        <f>Raw_data!E395</f>
        <v>45319.666412037041</v>
      </c>
      <c r="F395" s="4">
        <f t="shared" si="36"/>
        <v>2.4305555562023073E-2</v>
      </c>
      <c r="G395" s="6">
        <f>Raw_data!F395</f>
        <v>976</v>
      </c>
      <c r="H395" s="6">
        <f>Raw_data!G395</f>
        <v>30</v>
      </c>
      <c r="I395" t="str">
        <f>Raw_data!H395</f>
        <v>Digital Wallet</v>
      </c>
      <c r="J395" s="7" t="str">
        <f>IF(Raw_data!I395=0.1,"10%",Raw_data!I395)</f>
        <v>10%</v>
      </c>
      <c r="K395" s="6">
        <f>Raw_data!J395</f>
        <v>176</v>
      </c>
      <c r="L395" s="6">
        <f>Raw_data!K395</f>
        <v>10</v>
      </c>
      <c r="M395" s="6">
        <f>Raw_data!L395</f>
        <v>0</v>
      </c>
      <c r="N395" s="6">
        <f t="shared" si="37"/>
        <v>790</v>
      </c>
      <c r="O395" s="6">
        <f t="shared" si="38"/>
        <v>186</v>
      </c>
      <c r="P395" s="6">
        <f t="shared" si="39"/>
        <v>1006</v>
      </c>
      <c r="Q395">
        <f t="shared" si="40"/>
        <v>1</v>
      </c>
      <c r="R395">
        <f t="shared" si="41"/>
        <v>2</v>
      </c>
    </row>
    <row r="396" spans="1:18" x14ac:dyDescent="0.25">
      <c r="A396">
        <f>Raw_data!A396</f>
        <v>395</v>
      </c>
      <c r="B396" t="str">
        <f>Raw_data!B396</f>
        <v>C5452</v>
      </c>
      <c r="C396" t="str">
        <f>Raw_data!C396</f>
        <v>R2957</v>
      </c>
      <c r="D396" s="3">
        <f>Raw_data!D396</f>
        <v>45325.377210648148</v>
      </c>
      <c r="E396" s="3">
        <f>Raw_data!E396</f>
        <v>45325.434155092589</v>
      </c>
      <c r="F396" s="4">
        <f t="shared" si="36"/>
        <v>5.694444444088731E-2</v>
      </c>
      <c r="G396" s="6">
        <f>Raw_data!F396</f>
        <v>948</v>
      </c>
      <c r="H396" s="6">
        <f>Raw_data!G396</f>
        <v>50</v>
      </c>
      <c r="I396" t="str">
        <f>Raw_data!H396</f>
        <v>Credit Card</v>
      </c>
      <c r="J396" s="7" t="str">
        <f>IF(Raw_data!I396=0.1,"10%",Raw_data!I396)</f>
        <v>15% New User</v>
      </c>
      <c r="K396" s="6">
        <f>Raw_data!J396</f>
        <v>142</v>
      </c>
      <c r="L396" s="6">
        <f>Raw_data!K396</f>
        <v>41</v>
      </c>
      <c r="M396" s="6">
        <f>Raw_data!L396</f>
        <v>0</v>
      </c>
      <c r="N396" s="6">
        <f t="shared" si="37"/>
        <v>765</v>
      </c>
      <c r="O396" s="6">
        <f t="shared" si="38"/>
        <v>183</v>
      </c>
      <c r="P396" s="6">
        <f t="shared" si="39"/>
        <v>998</v>
      </c>
      <c r="Q396">
        <f t="shared" si="40"/>
        <v>1</v>
      </c>
      <c r="R396">
        <f t="shared" si="41"/>
        <v>3</v>
      </c>
    </row>
    <row r="397" spans="1:18" x14ac:dyDescent="0.25">
      <c r="A397">
        <f>Raw_data!A397</f>
        <v>396</v>
      </c>
      <c r="B397" t="str">
        <f>Raw_data!B397</f>
        <v>C6881</v>
      </c>
      <c r="C397" t="str">
        <f>Raw_data!C397</f>
        <v>R2292</v>
      </c>
      <c r="D397" s="3">
        <f>Raw_data!D397</f>
        <v>45306.821956018517</v>
      </c>
      <c r="E397" s="3">
        <f>Raw_data!E397</f>
        <v>45306.853206018517</v>
      </c>
      <c r="F397" s="4">
        <f t="shared" si="36"/>
        <v>3.125E-2</v>
      </c>
      <c r="G397" s="6">
        <f>Raw_data!F397</f>
        <v>1352</v>
      </c>
      <c r="H397" s="6">
        <f>Raw_data!G397</f>
        <v>50</v>
      </c>
      <c r="I397" t="str">
        <f>Raw_data!H397</f>
        <v>Digital Wallet</v>
      </c>
      <c r="J397" s="7" t="str">
        <f>IF(Raw_data!I397=0.1,"10%",Raw_data!I397)</f>
        <v>15% New User</v>
      </c>
      <c r="K397" s="6">
        <f>Raw_data!J397</f>
        <v>143</v>
      </c>
      <c r="L397" s="6">
        <f>Raw_data!K397</f>
        <v>12</v>
      </c>
      <c r="M397" s="6">
        <f>Raw_data!L397</f>
        <v>0</v>
      </c>
      <c r="N397" s="6">
        <f t="shared" si="37"/>
        <v>1197</v>
      </c>
      <c r="O397" s="6">
        <f t="shared" si="38"/>
        <v>155</v>
      </c>
      <c r="P397" s="6">
        <f t="shared" si="39"/>
        <v>1402</v>
      </c>
      <c r="Q397">
        <f t="shared" si="40"/>
        <v>1</v>
      </c>
      <c r="R397">
        <f t="shared" si="41"/>
        <v>2</v>
      </c>
    </row>
    <row r="398" spans="1:18" x14ac:dyDescent="0.25">
      <c r="A398">
        <f>Raw_data!A398</f>
        <v>397</v>
      </c>
      <c r="B398" t="str">
        <f>Raw_data!B398</f>
        <v>C7665</v>
      </c>
      <c r="C398" t="str">
        <f>Raw_data!C398</f>
        <v>R2664</v>
      </c>
      <c r="D398" s="3">
        <f>Raw_data!D398</f>
        <v>45300.73027777778</v>
      </c>
      <c r="E398" s="3">
        <f>Raw_data!E398</f>
        <v>45300.812916666669</v>
      </c>
      <c r="F398" s="4">
        <f t="shared" si="36"/>
        <v>8.2638888889050577E-2</v>
      </c>
      <c r="G398" s="6">
        <f>Raw_data!F398</f>
        <v>1513</v>
      </c>
      <c r="H398" s="6">
        <f>Raw_data!G398</f>
        <v>50</v>
      </c>
      <c r="I398" t="str">
        <f>Raw_data!H398</f>
        <v>Credit Card</v>
      </c>
      <c r="J398" s="7" t="str">
        <f>IF(Raw_data!I398=0.1,"10%",Raw_data!I398)</f>
        <v>5% on App</v>
      </c>
      <c r="K398" s="6">
        <f>Raw_data!J398</f>
        <v>120</v>
      </c>
      <c r="L398" s="6">
        <f>Raw_data!K398</f>
        <v>28</v>
      </c>
      <c r="M398" s="6">
        <f>Raw_data!L398</f>
        <v>0</v>
      </c>
      <c r="N398" s="6">
        <f t="shared" si="37"/>
        <v>1365</v>
      </c>
      <c r="O398" s="6">
        <f t="shared" si="38"/>
        <v>148</v>
      </c>
      <c r="P398" s="6">
        <f t="shared" si="39"/>
        <v>1563</v>
      </c>
      <c r="Q398">
        <f t="shared" si="40"/>
        <v>1</v>
      </c>
      <c r="R398">
        <f t="shared" si="41"/>
        <v>1</v>
      </c>
    </row>
    <row r="399" spans="1:18" x14ac:dyDescent="0.25">
      <c r="A399">
        <f>Raw_data!A399</f>
        <v>398</v>
      </c>
      <c r="B399" t="str">
        <f>Raw_data!B399</f>
        <v>C3849</v>
      </c>
      <c r="C399" t="str">
        <f>Raw_data!C399</f>
        <v>R2431</v>
      </c>
      <c r="D399" s="3">
        <f>Raw_data!D399</f>
        <v>45317.719143518516</v>
      </c>
      <c r="E399" s="3">
        <f>Raw_data!E399</f>
        <v>45317.742754629631</v>
      </c>
      <c r="F399" s="4">
        <f t="shared" si="36"/>
        <v>2.3611111115314998E-2</v>
      </c>
      <c r="G399" s="6">
        <f>Raw_data!F399</f>
        <v>1078</v>
      </c>
      <c r="H399" s="6">
        <f>Raw_data!G399</f>
        <v>0</v>
      </c>
      <c r="I399" t="str">
        <f>Raw_data!H399</f>
        <v>Cash on Delivery</v>
      </c>
      <c r="J399" s="7" t="str">
        <f>IF(Raw_data!I399=0.1,"10%",Raw_data!I399)</f>
        <v>None</v>
      </c>
      <c r="K399" s="6">
        <f>Raw_data!J399</f>
        <v>171</v>
      </c>
      <c r="L399" s="6">
        <f>Raw_data!K399</f>
        <v>38</v>
      </c>
      <c r="M399" s="6">
        <f>Raw_data!L399</f>
        <v>0</v>
      </c>
      <c r="N399" s="6">
        <f t="shared" si="37"/>
        <v>869</v>
      </c>
      <c r="O399" s="6">
        <f t="shared" si="38"/>
        <v>209</v>
      </c>
      <c r="P399" s="6">
        <f t="shared" si="39"/>
        <v>1078</v>
      </c>
      <c r="Q399">
        <f t="shared" si="40"/>
        <v>1</v>
      </c>
      <c r="R399">
        <f t="shared" si="41"/>
        <v>1</v>
      </c>
    </row>
    <row r="400" spans="1:18" x14ac:dyDescent="0.25">
      <c r="A400">
        <f>Raw_data!A400</f>
        <v>399</v>
      </c>
      <c r="B400" t="str">
        <f>Raw_data!B400</f>
        <v>C8390</v>
      </c>
      <c r="C400" t="str">
        <f>Raw_data!C400</f>
        <v>R2704</v>
      </c>
      <c r="D400" s="3">
        <f>Raw_data!D400</f>
        <v>45307.109803240739</v>
      </c>
      <c r="E400" s="3">
        <f>Raw_data!E400</f>
        <v>45307.180636574078</v>
      </c>
      <c r="F400" s="4">
        <f t="shared" si="36"/>
        <v>7.0833333338669036E-2</v>
      </c>
      <c r="G400" s="6">
        <f>Raw_data!F400</f>
        <v>1712</v>
      </c>
      <c r="H400" s="6">
        <f>Raw_data!G400</f>
        <v>50</v>
      </c>
      <c r="I400" t="str">
        <f>Raw_data!H400</f>
        <v>Cash on Delivery</v>
      </c>
      <c r="J400" s="7" t="str">
        <f>IF(Raw_data!I400=0.1,"10%",Raw_data!I400)</f>
        <v>10%</v>
      </c>
      <c r="K400" s="6">
        <f>Raw_data!J400</f>
        <v>73</v>
      </c>
      <c r="L400" s="6">
        <f>Raw_data!K400</f>
        <v>11</v>
      </c>
      <c r="M400" s="6">
        <f>Raw_data!L400</f>
        <v>0</v>
      </c>
      <c r="N400" s="6">
        <f t="shared" si="37"/>
        <v>1628</v>
      </c>
      <c r="O400" s="6">
        <f t="shared" si="38"/>
        <v>84</v>
      </c>
      <c r="P400" s="6">
        <f t="shared" si="39"/>
        <v>1762</v>
      </c>
      <c r="Q400">
        <f t="shared" si="40"/>
        <v>1</v>
      </c>
      <c r="R400">
        <f t="shared" si="41"/>
        <v>3</v>
      </c>
    </row>
    <row r="401" spans="1:18" x14ac:dyDescent="0.25">
      <c r="A401">
        <f>Raw_data!A401</f>
        <v>400</v>
      </c>
      <c r="B401" t="str">
        <f>Raw_data!B401</f>
        <v>C7905</v>
      </c>
      <c r="C401" t="str">
        <f>Raw_data!C401</f>
        <v>R2948</v>
      </c>
      <c r="D401" s="3">
        <f>Raw_data!D401</f>
        <v>45304.930497685185</v>
      </c>
      <c r="E401" s="3">
        <f>Raw_data!E401</f>
        <v>45304.982581018521</v>
      </c>
      <c r="F401" s="4">
        <f t="shared" si="36"/>
        <v>5.2083333335758653E-2</v>
      </c>
      <c r="G401" s="6">
        <f>Raw_data!F401</f>
        <v>1116</v>
      </c>
      <c r="H401" s="6">
        <f>Raw_data!G401</f>
        <v>0</v>
      </c>
      <c r="I401" t="str">
        <f>Raw_data!H401</f>
        <v>Digital Wallet</v>
      </c>
      <c r="J401" s="7" t="str">
        <f>IF(Raw_data!I401=0.1,"10%",Raw_data!I401)</f>
        <v>None</v>
      </c>
      <c r="K401" s="6">
        <f>Raw_data!J401</f>
        <v>60</v>
      </c>
      <c r="L401" s="6">
        <f>Raw_data!K401</f>
        <v>18</v>
      </c>
      <c r="M401" s="6">
        <f>Raw_data!L401</f>
        <v>50</v>
      </c>
      <c r="N401" s="6">
        <f t="shared" si="37"/>
        <v>1038</v>
      </c>
      <c r="O401" s="6">
        <f t="shared" si="38"/>
        <v>28</v>
      </c>
      <c r="P401" s="6">
        <f t="shared" si="39"/>
        <v>1116</v>
      </c>
      <c r="Q401">
        <f t="shared" si="40"/>
        <v>1</v>
      </c>
      <c r="R401">
        <f t="shared" si="41"/>
        <v>1</v>
      </c>
    </row>
    <row r="402" spans="1:18" x14ac:dyDescent="0.25">
      <c r="A402">
        <f>Raw_data!A402</f>
        <v>401</v>
      </c>
      <c r="B402" t="str">
        <f>Raw_data!B402</f>
        <v>C3489</v>
      </c>
      <c r="C402" t="str">
        <f>Raw_data!C402</f>
        <v>R2974</v>
      </c>
      <c r="D402" s="3">
        <f>Raw_data!D402</f>
        <v>45295.572025462963</v>
      </c>
      <c r="E402" s="3">
        <f>Raw_data!E402</f>
        <v>45295.601886574077</v>
      </c>
      <c r="F402" s="4">
        <f t="shared" si="36"/>
        <v>2.9861111113859806E-2</v>
      </c>
      <c r="G402" s="6">
        <f>Raw_data!F402</f>
        <v>287</v>
      </c>
      <c r="H402" s="6">
        <f>Raw_data!G402</f>
        <v>50</v>
      </c>
      <c r="I402" t="str">
        <f>Raw_data!H402</f>
        <v>Cash on Delivery</v>
      </c>
      <c r="J402" s="7" t="str">
        <f>IF(Raw_data!I402=0.1,"10%",Raw_data!I402)</f>
        <v>50 off Promo</v>
      </c>
      <c r="K402" s="6">
        <f>Raw_data!J402</f>
        <v>122</v>
      </c>
      <c r="L402" s="6">
        <f>Raw_data!K402</f>
        <v>26</v>
      </c>
      <c r="M402" s="6">
        <f>Raw_data!L402</f>
        <v>0</v>
      </c>
      <c r="N402" s="6">
        <f t="shared" si="37"/>
        <v>139</v>
      </c>
      <c r="O402" s="6">
        <f t="shared" si="38"/>
        <v>148</v>
      </c>
      <c r="P402" s="6">
        <f t="shared" si="39"/>
        <v>337</v>
      </c>
      <c r="Q402">
        <f t="shared" si="40"/>
        <v>1</v>
      </c>
      <c r="R402">
        <f t="shared" si="41"/>
        <v>2</v>
      </c>
    </row>
    <row r="403" spans="1:18" x14ac:dyDescent="0.25">
      <c r="A403">
        <f>Raw_data!A403</f>
        <v>402</v>
      </c>
      <c r="B403" t="str">
        <f>Raw_data!B403</f>
        <v>C5611</v>
      </c>
      <c r="C403" t="str">
        <f>Raw_data!C403</f>
        <v>R2584</v>
      </c>
      <c r="D403" s="3">
        <f>Raw_data!D403</f>
        <v>45318.251331018517</v>
      </c>
      <c r="E403" s="3">
        <f>Raw_data!E403</f>
        <v>45318.302025462966</v>
      </c>
      <c r="F403" s="4">
        <f t="shared" si="36"/>
        <v>5.0694444449618459E-2</v>
      </c>
      <c r="G403" s="6">
        <f>Raw_data!F403</f>
        <v>1981</v>
      </c>
      <c r="H403" s="6">
        <f>Raw_data!G403</f>
        <v>0</v>
      </c>
      <c r="I403" t="str">
        <f>Raw_data!H403</f>
        <v>Digital Wallet</v>
      </c>
      <c r="J403" s="7" t="str">
        <f>IF(Raw_data!I403=0.1,"10%",Raw_data!I403)</f>
        <v>10%</v>
      </c>
      <c r="K403" s="6">
        <f>Raw_data!J403</f>
        <v>61</v>
      </c>
      <c r="L403" s="6">
        <f>Raw_data!K403</f>
        <v>45</v>
      </c>
      <c r="M403" s="6">
        <f>Raw_data!L403</f>
        <v>0</v>
      </c>
      <c r="N403" s="6">
        <f t="shared" si="37"/>
        <v>1875</v>
      </c>
      <c r="O403" s="6">
        <f t="shared" si="38"/>
        <v>106</v>
      </c>
      <c r="P403" s="6">
        <f t="shared" si="39"/>
        <v>1981</v>
      </c>
      <c r="Q403">
        <f t="shared" si="40"/>
        <v>1</v>
      </c>
      <c r="R403">
        <f t="shared" si="41"/>
        <v>1</v>
      </c>
    </row>
    <row r="404" spans="1:18" x14ac:dyDescent="0.25">
      <c r="A404">
        <f>Raw_data!A404</f>
        <v>403</v>
      </c>
      <c r="B404" t="str">
        <f>Raw_data!B404</f>
        <v>C3839</v>
      </c>
      <c r="C404" t="str">
        <f>Raw_data!C404</f>
        <v>R2398</v>
      </c>
      <c r="D404" s="3">
        <f>Raw_data!D404</f>
        <v>45305.777800925927</v>
      </c>
      <c r="E404" s="3">
        <f>Raw_data!E404</f>
        <v>45305.841689814813</v>
      </c>
      <c r="F404" s="4">
        <f t="shared" si="36"/>
        <v>6.3888888886140194E-2</v>
      </c>
      <c r="G404" s="6">
        <f>Raw_data!F404</f>
        <v>369</v>
      </c>
      <c r="H404" s="6">
        <f>Raw_data!G404</f>
        <v>40</v>
      </c>
      <c r="I404" t="str">
        <f>Raw_data!H404</f>
        <v>Digital Wallet</v>
      </c>
      <c r="J404" s="7" t="str">
        <f>IF(Raw_data!I404=0.1,"10%",Raw_data!I404)</f>
        <v>None</v>
      </c>
      <c r="K404" s="6">
        <f>Raw_data!J404</f>
        <v>84</v>
      </c>
      <c r="L404" s="6">
        <f>Raw_data!K404</f>
        <v>26</v>
      </c>
      <c r="M404" s="6">
        <f>Raw_data!L404</f>
        <v>0</v>
      </c>
      <c r="N404" s="6">
        <f t="shared" si="37"/>
        <v>259</v>
      </c>
      <c r="O404" s="6">
        <f t="shared" si="38"/>
        <v>110</v>
      </c>
      <c r="P404" s="6">
        <f t="shared" si="39"/>
        <v>409</v>
      </c>
      <c r="Q404">
        <f t="shared" si="40"/>
        <v>1</v>
      </c>
      <c r="R404">
        <f t="shared" si="41"/>
        <v>1</v>
      </c>
    </row>
    <row r="405" spans="1:18" x14ac:dyDescent="0.25">
      <c r="A405">
        <f>Raw_data!A405</f>
        <v>404</v>
      </c>
      <c r="B405" t="str">
        <f>Raw_data!B405</f>
        <v>C9527</v>
      </c>
      <c r="C405" t="str">
        <f>Raw_data!C405</f>
        <v>R2816</v>
      </c>
      <c r="D405" s="3">
        <f>Raw_data!D405</f>
        <v>45312.878692129627</v>
      </c>
      <c r="E405" s="3">
        <f>Raw_data!E405</f>
        <v>45312.934942129628</v>
      </c>
      <c r="F405" s="4">
        <f t="shared" si="36"/>
        <v>5.6250000001455192E-2</v>
      </c>
      <c r="G405" s="6">
        <f>Raw_data!F405</f>
        <v>1730</v>
      </c>
      <c r="H405" s="6">
        <f>Raw_data!G405</f>
        <v>40</v>
      </c>
      <c r="I405" t="str">
        <f>Raw_data!H405</f>
        <v>Cash on Delivery</v>
      </c>
      <c r="J405" s="7" t="str">
        <f>IF(Raw_data!I405=0.1,"10%",Raw_data!I405)</f>
        <v>5% on App</v>
      </c>
      <c r="K405" s="6">
        <f>Raw_data!J405</f>
        <v>190</v>
      </c>
      <c r="L405" s="6">
        <f>Raw_data!K405</f>
        <v>21</v>
      </c>
      <c r="M405" s="6">
        <f>Raw_data!L405</f>
        <v>0</v>
      </c>
      <c r="N405" s="6">
        <f t="shared" si="37"/>
        <v>1519</v>
      </c>
      <c r="O405" s="6">
        <f t="shared" si="38"/>
        <v>211</v>
      </c>
      <c r="P405" s="6">
        <f t="shared" si="39"/>
        <v>1770</v>
      </c>
      <c r="Q405">
        <f t="shared" si="40"/>
        <v>1</v>
      </c>
      <c r="R405">
        <f t="shared" si="41"/>
        <v>3</v>
      </c>
    </row>
    <row r="406" spans="1:18" x14ac:dyDescent="0.25">
      <c r="A406">
        <f>Raw_data!A406</f>
        <v>405</v>
      </c>
      <c r="B406" t="str">
        <f>Raw_data!B406</f>
        <v>C6878</v>
      </c>
      <c r="C406" t="str">
        <f>Raw_data!C406</f>
        <v>R2888</v>
      </c>
      <c r="D406" s="3">
        <f>Raw_data!D406</f>
        <v>45326.317372685182</v>
      </c>
      <c r="E406" s="3">
        <f>Raw_data!E406</f>
        <v>45326.355567129627</v>
      </c>
      <c r="F406" s="4">
        <f t="shared" si="36"/>
        <v>3.8194444445252884E-2</v>
      </c>
      <c r="G406" s="6">
        <f>Raw_data!F406</f>
        <v>409</v>
      </c>
      <c r="H406" s="6">
        <f>Raw_data!G406</f>
        <v>30</v>
      </c>
      <c r="I406" t="str">
        <f>Raw_data!H406</f>
        <v>Cash on Delivery</v>
      </c>
      <c r="J406" s="7" t="str">
        <f>IF(Raw_data!I406=0.1,"10%",Raw_data!I406)</f>
        <v>5% on App</v>
      </c>
      <c r="K406" s="6">
        <f>Raw_data!J406</f>
        <v>72</v>
      </c>
      <c r="L406" s="6">
        <f>Raw_data!K406</f>
        <v>29</v>
      </c>
      <c r="M406" s="6">
        <f>Raw_data!L406</f>
        <v>0</v>
      </c>
      <c r="N406" s="6">
        <f t="shared" si="37"/>
        <v>308</v>
      </c>
      <c r="O406" s="6">
        <f t="shared" si="38"/>
        <v>101</v>
      </c>
      <c r="P406" s="6">
        <f t="shared" si="39"/>
        <v>439</v>
      </c>
      <c r="Q406">
        <f t="shared" si="40"/>
        <v>1</v>
      </c>
      <c r="R406">
        <f t="shared" si="41"/>
        <v>2</v>
      </c>
    </row>
    <row r="407" spans="1:18" x14ac:dyDescent="0.25">
      <c r="A407">
        <f>Raw_data!A407</f>
        <v>406</v>
      </c>
      <c r="B407" t="str">
        <f>Raw_data!B407</f>
        <v>C7303</v>
      </c>
      <c r="C407" t="str">
        <f>Raw_data!C407</f>
        <v>R2343</v>
      </c>
      <c r="D407" s="3">
        <f>Raw_data!D407</f>
        <v>45305.276805555557</v>
      </c>
      <c r="E407" s="3">
        <f>Raw_data!E407</f>
        <v>45305.333749999998</v>
      </c>
      <c r="F407" s="4">
        <f t="shared" si="36"/>
        <v>5.694444444088731E-2</v>
      </c>
      <c r="G407" s="6">
        <f>Raw_data!F407</f>
        <v>1255</v>
      </c>
      <c r="H407" s="6">
        <f>Raw_data!G407</f>
        <v>0</v>
      </c>
      <c r="I407" t="str">
        <f>Raw_data!H407</f>
        <v>Digital Wallet</v>
      </c>
      <c r="J407" s="7" t="str">
        <f>IF(Raw_data!I407=0.1,"10%",Raw_data!I407)</f>
        <v>10%</v>
      </c>
      <c r="K407" s="6">
        <f>Raw_data!J407</f>
        <v>132</v>
      </c>
      <c r="L407" s="6">
        <f>Raw_data!K407</f>
        <v>12</v>
      </c>
      <c r="M407" s="6">
        <f>Raw_data!L407</f>
        <v>0</v>
      </c>
      <c r="N407" s="6">
        <f t="shared" si="37"/>
        <v>1111</v>
      </c>
      <c r="O407" s="6">
        <f t="shared" si="38"/>
        <v>144</v>
      </c>
      <c r="P407" s="6">
        <f t="shared" si="39"/>
        <v>1255</v>
      </c>
      <c r="Q407">
        <f t="shared" si="40"/>
        <v>1</v>
      </c>
      <c r="R407">
        <f t="shared" si="41"/>
        <v>3</v>
      </c>
    </row>
    <row r="408" spans="1:18" x14ac:dyDescent="0.25">
      <c r="A408">
        <f>Raw_data!A408</f>
        <v>407</v>
      </c>
      <c r="B408" t="str">
        <f>Raw_data!B408</f>
        <v>C1851</v>
      </c>
      <c r="C408" t="str">
        <f>Raw_data!C408</f>
        <v>R2963</v>
      </c>
      <c r="D408" s="3">
        <f>Raw_data!D408</f>
        <v>45326.219513888886</v>
      </c>
      <c r="E408" s="3">
        <f>Raw_data!E408</f>
        <v>45326.259791666664</v>
      </c>
      <c r="F408" s="4">
        <f t="shared" si="36"/>
        <v>4.0277777778101154E-2</v>
      </c>
      <c r="G408" s="6">
        <f>Raw_data!F408</f>
        <v>1674</v>
      </c>
      <c r="H408" s="6">
        <f>Raw_data!G408</f>
        <v>20</v>
      </c>
      <c r="I408" t="str">
        <f>Raw_data!H408</f>
        <v>Cash on Delivery</v>
      </c>
      <c r="J408" s="7" t="str">
        <f>IF(Raw_data!I408=0.1,"10%",Raw_data!I408)</f>
        <v>50 off Promo</v>
      </c>
      <c r="K408" s="6">
        <f>Raw_data!J408</f>
        <v>137</v>
      </c>
      <c r="L408" s="6">
        <f>Raw_data!K408</f>
        <v>13</v>
      </c>
      <c r="M408" s="6">
        <f>Raw_data!L408</f>
        <v>150</v>
      </c>
      <c r="N408" s="6">
        <f t="shared" si="37"/>
        <v>1524</v>
      </c>
      <c r="O408" s="6">
        <f t="shared" si="38"/>
        <v>0</v>
      </c>
      <c r="P408" s="6">
        <f t="shared" si="39"/>
        <v>1694</v>
      </c>
      <c r="Q408">
        <f t="shared" si="40"/>
        <v>1</v>
      </c>
      <c r="R408">
        <f t="shared" si="41"/>
        <v>1</v>
      </c>
    </row>
    <row r="409" spans="1:18" x14ac:dyDescent="0.25">
      <c r="A409">
        <f>Raw_data!A409</f>
        <v>408</v>
      </c>
      <c r="B409" t="str">
        <f>Raw_data!B409</f>
        <v>C2687</v>
      </c>
      <c r="C409" t="str">
        <f>Raw_data!C409</f>
        <v>R2139</v>
      </c>
      <c r="D409" s="3">
        <f>Raw_data!D409</f>
        <v>45318.436874999999</v>
      </c>
      <c r="E409" s="3">
        <f>Raw_data!E409</f>
        <v>45318.470208333332</v>
      </c>
      <c r="F409" s="4">
        <f t="shared" si="36"/>
        <v>3.3333333332848269E-2</v>
      </c>
      <c r="G409" s="6">
        <f>Raw_data!F409</f>
        <v>1195</v>
      </c>
      <c r="H409" s="6">
        <f>Raw_data!G409</f>
        <v>30</v>
      </c>
      <c r="I409" t="str">
        <f>Raw_data!H409</f>
        <v>Credit Card</v>
      </c>
      <c r="J409" s="7" t="str">
        <f>IF(Raw_data!I409=0.1,"10%",Raw_data!I409)</f>
        <v>5% on App</v>
      </c>
      <c r="K409" s="6">
        <f>Raw_data!J409</f>
        <v>129</v>
      </c>
      <c r="L409" s="6">
        <f>Raw_data!K409</f>
        <v>26</v>
      </c>
      <c r="M409" s="6">
        <f>Raw_data!L409</f>
        <v>0</v>
      </c>
      <c r="N409" s="6">
        <f t="shared" si="37"/>
        <v>1040</v>
      </c>
      <c r="O409" s="6">
        <f t="shared" si="38"/>
        <v>155</v>
      </c>
      <c r="P409" s="6">
        <f t="shared" si="39"/>
        <v>1225</v>
      </c>
      <c r="Q409">
        <f t="shared" si="40"/>
        <v>1</v>
      </c>
      <c r="R409">
        <f t="shared" si="41"/>
        <v>1</v>
      </c>
    </row>
    <row r="410" spans="1:18" x14ac:dyDescent="0.25">
      <c r="A410">
        <f>Raw_data!A410</f>
        <v>409</v>
      </c>
      <c r="B410" t="str">
        <f>Raw_data!B410</f>
        <v>C7833</v>
      </c>
      <c r="C410" t="str">
        <f>Raw_data!C410</f>
        <v>R2186</v>
      </c>
      <c r="D410" s="3">
        <f>Raw_data!D410</f>
        <v>45295.592303240737</v>
      </c>
      <c r="E410" s="3">
        <f>Raw_data!E410</f>
        <v>45295.64508101852</v>
      </c>
      <c r="F410" s="4">
        <f t="shared" si="36"/>
        <v>5.2777777782466728E-2</v>
      </c>
      <c r="G410" s="6">
        <f>Raw_data!F410</f>
        <v>1916</v>
      </c>
      <c r="H410" s="6">
        <f>Raw_data!G410</f>
        <v>40</v>
      </c>
      <c r="I410" t="str">
        <f>Raw_data!H410</f>
        <v>Cash on Delivery</v>
      </c>
      <c r="J410" s="7" t="str">
        <f>IF(Raw_data!I410=0.1,"10%",Raw_data!I410)</f>
        <v>5% on App</v>
      </c>
      <c r="K410" s="6">
        <f>Raw_data!J410</f>
        <v>146</v>
      </c>
      <c r="L410" s="6">
        <f>Raw_data!K410</f>
        <v>46</v>
      </c>
      <c r="M410" s="6">
        <f>Raw_data!L410</f>
        <v>0</v>
      </c>
      <c r="N410" s="6">
        <f t="shared" si="37"/>
        <v>1724</v>
      </c>
      <c r="O410" s="6">
        <f t="shared" si="38"/>
        <v>192</v>
      </c>
      <c r="P410" s="6">
        <f t="shared" si="39"/>
        <v>1956</v>
      </c>
      <c r="Q410">
        <f t="shared" si="40"/>
        <v>1</v>
      </c>
      <c r="R410">
        <f t="shared" si="41"/>
        <v>2</v>
      </c>
    </row>
    <row r="411" spans="1:18" x14ac:dyDescent="0.25">
      <c r="A411">
        <f>Raw_data!A411</f>
        <v>410</v>
      </c>
      <c r="B411" t="str">
        <f>Raw_data!B411</f>
        <v>C3427</v>
      </c>
      <c r="C411" t="str">
        <f>Raw_data!C411</f>
        <v>R2804</v>
      </c>
      <c r="D411" s="3">
        <f>Raw_data!D411</f>
        <v>45316.611724537041</v>
      </c>
      <c r="E411" s="3">
        <f>Raw_data!E411</f>
        <v>45316.637418981481</v>
      </c>
      <c r="F411" s="4">
        <f t="shared" si="36"/>
        <v>2.569444444088731E-2</v>
      </c>
      <c r="G411" s="6">
        <f>Raw_data!F411</f>
        <v>944</v>
      </c>
      <c r="H411" s="6">
        <f>Raw_data!G411</f>
        <v>0</v>
      </c>
      <c r="I411" t="str">
        <f>Raw_data!H411</f>
        <v>Cash on Delivery</v>
      </c>
      <c r="J411" s="7" t="str">
        <f>IF(Raw_data!I411=0.1,"10%",Raw_data!I411)</f>
        <v>50 off Promo</v>
      </c>
      <c r="K411" s="6">
        <f>Raw_data!J411</f>
        <v>189</v>
      </c>
      <c r="L411" s="6">
        <f>Raw_data!K411</f>
        <v>24</v>
      </c>
      <c r="M411" s="6">
        <f>Raw_data!L411</f>
        <v>0</v>
      </c>
      <c r="N411" s="6">
        <f t="shared" si="37"/>
        <v>731</v>
      </c>
      <c r="O411" s="6">
        <f t="shared" si="38"/>
        <v>213</v>
      </c>
      <c r="P411" s="6">
        <f t="shared" si="39"/>
        <v>944</v>
      </c>
      <c r="Q411">
        <f t="shared" si="40"/>
        <v>1</v>
      </c>
      <c r="R411">
        <f t="shared" si="41"/>
        <v>5</v>
      </c>
    </row>
    <row r="412" spans="1:18" x14ac:dyDescent="0.25">
      <c r="A412">
        <f>Raw_data!A412</f>
        <v>411</v>
      </c>
      <c r="B412" t="str">
        <f>Raw_data!B412</f>
        <v>C5000</v>
      </c>
      <c r="C412" t="str">
        <f>Raw_data!C412</f>
        <v>R2060</v>
      </c>
      <c r="D412" s="3">
        <f>Raw_data!D412</f>
        <v>45306.714120370372</v>
      </c>
      <c r="E412" s="3">
        <f>Raw_data!E412</f>
        <v>45306.750231481485</v>
      </c>
      <c r="F412" s="4">
        <f t="shared" si="36"/>
        <v>3.6111111112404615E-2</v>
      </c>
      <c r="G412" s="6">
        <f>Raw_data!F412</f>
        <v>1795</v>
      </c>
      <c r="H412" s="6">
        <f>Raw_data!G412</f>
        <v>50</v>
      </c>
      <c r="I412" t="str">
        <f>Raw_data!H412</f>
        <v>Credit Card</v>
      </c>
      <c r="J412" s="7" t="str">
        <f>IF(Raw_data!I412=0.1,"10%",Raw_data!I412)</f>
        <v>None</v>
      </c>
      <c r="K412" s="6">
        <f>Raw_data!J412</f>
        <v>83</v>
      </c>
      <c r="L412" s="6">
        <f>Raw_data!K412</f>
        <v>42</v>
      </c>
      <c r="M412" s="6">
        <f>Raw_data!L412</f>
        <v>50</v>
      </c>
      <c r="N412" s="6">
        <f t="shared" si="37"/>
        <v>1670</v>
      </c>
      <c r="O412" s="6">
        <f t="shared" si="38"/>
        <v>75</v>
      </c>
      <c r="P412" s="6">
        <f t="shared" si="39"/>
        <v>1845</v>
      </c>
      <c r="Q412">
        <f t="shared" si="40"/>
        <v>2</v>
      </c>
      <c r="R412">
        <f t="shared" si="41"/>
        <v>2</v>
      </c>
    </row>
    <row r="413" spans="1:18" x14ac:dyDescent="0.25">
      <c r="A413">
        <f>Raw_data!A413</f>
        <v>412</v>
      </c>
      <c r="B413" t="str">
        <f>Raw_data!B413</f>
        <v>C6052</v>
      </c>
      <c r="C413" t="str">
        <f>Raw_data!C413</f>
        <v>R2996</v>
      </c>
      <c r="D413" s="3">
        <f>Raw_data!D413</f>
        <v>45304.087118055555</v>
      </c>
      <c r="E413" s="3">
        <f>Raw_data!E413</f>
        <v>45304.131562499999</v>
      </c>
      <c r="F413" s="4">
        <f t="shared" si="36"/>
        <v>4.4444444443797693E-2</v>
      </c>
      <c r="G413" s="6">
        <f>Raw_data!F413</f>
        <v>1310</v>
      </c>
      <c r="H413" s="6">
        <f>Raw_data!G413</f>
        <v>20</v>
      </c>
      <c r="I413" t="str">
        <f>Raw_data!H413</f>
        <v>Cash on Delivery</v>
      </c>
      <c r="J413" s="7" t="str">
        <f>IF(Raw_data!I413=0.1,"10%",Raw_data!I413)</f>
        <v>5% on App</v>
      </c>
      <c r="K413" s="6">
        <f>Raw_data!J413</f>
        <v>124</v>
      </c>
      <c r="L413" s="6">
        <f>Raw_data!K413</f>
        <v>25</v>
      </c>
      <c r="M413" s="6">
        <f>Raw_data!L413</f>
        <v>0</v>
      </c>
      <c r="N413" s="6">
        <f t="shared" si="37"/>
        <v>1161</v>
      </c>
      <c r="O413" s="6">
        <f t="shared" si="38"/>
        <v>149</v>
      </c>
      <c r="P413" s="6">
        <f t="shared" si="39"/>
        <v>1330</v>
      </c>
      <c r="Q413">
        <f t="shared" si="40"/>
        <v>1</v>
      </c>
      <c r="R413">
        <f t="shared" si="41"/>
        <v>1</v>
      </c>
    </row>
    <row r="414" spans="1:18" x14ac:dyDescent="0.25">
      <c r="A414">
        <f>Raw_data!A414</f>
        <v>413</v>
      </c>
      <c r="B414" t="str">
        <f>Raw_data!B414</f>
        <v>C3738</v>
      </c>
      <c r="C414" t="str">
        <f>Raw_data!C414</f>
        <v>R2938</v>
      </c>
      <c r="D414" s="3">
        <f>Raw_data!D414</f>
        <v>45294.242858796293</v>
      </c>
      <c r="E414" s="3">
        <f>Raw_data!E414</f>
        <v>45294.299803240741</v>
      </c>
      <c r="F414" s="4">
        <f t="shared" si="36"/>
        <v>5.6944444448163267E-2</v>
      </c>
      <c r="G414" s="6">
        <f>Raw_data!F414</f>
        <v>585</v>
      </c>
      <c r="H414" s="6">
        <f>Raw_data!G414</f>
        <v>40</v>
      </c>
      <c r="I414" t="str">
        <f>Raw_data!H414</f>
        <v>Cash on Delivery</v>
      </c>
      <c r="J414" s="7" t="str">
        <f>IF(Raw_data!I414=0.1,"10%",Raw_data!I414)</f>
        <v>15% New User</v>
      </c>
      <c r="K414" s="6">
        <f>Raw_data!J414</f>
        <v>177</v>
      </c>
      <c r="L414" s="6">
        <f>Raw_data!K414</f>
        <v>20</v>
      </c>
      <c r="M414" s="6">
        <f>Raw_data!L414</f>
        <v>150</v>
      </c>
      <c r="N414" s="6">
        <f t="shared" si="37"/>
        <v>388</v>
      </c>
      <c r="O414" s="6">
        <f t="shared" si="38"/>
        <v>47</v>
      </c>
      <c r="P414" s="6">
        <f t="shared" si="39"/>
        <v>625</v>
      </c>
      <c r="Q414">
        <f t="shared" si="40"/>
        <v>1</v>
      </c>
      <c r="R414">
        <f t="shared" si="41"/>
        <v>2</v>
      </c>
    </row>
    <row r="415" spans="1:18" x14ac:dyDescent="0.25">
      <c r="A415">
        <f>Raw_data!A415</f>
        <v>414</v>
      </c>
      <c r="B415" t="str">
        <f>Raw_data!B415</f>
        <v>C6732</v>
      </c>
      <c r="C415" t="str">
        <f>Raw_data!C415</f>
        <v>R2379</v>
      </c>
      <c r="D415" s="3">
        <f>Raw_data!D415</f>
        <v>45316.489629629628</v>
      </c>
      <c r="E415" s="3">
        <f>Raw_data!E415</f>
        <v>45316.550046296295</v>
      </c>
      <c r="F415" s="4">
        <f t="shared" si="36"/>
        <v>6.0416666667151731E-2</v>
      </c>
      <c r="G415" s="6">
        <f>Raw_data!F415</f>
        <v>1314</v>
      </c>
      <c r="H415" s="6">
        <f>Raw_data!G415</f>
        <v>30</v>
      </c>
      <c r="I415" t="str">
        <f>Raw_data!H415</f>
        <v>Digital Wallet</v>
      </c>
      <c r="J415" s="7" t="str">
        <f>IF(Raw_data!I415=0.1,"10%",Raw_data!I415)</f>
        <v>5% on App</v>
      </c>
      <c r="K415" s="6">
        <f>Raw_data!J415</f>
        <v>190</v>
      </c>
      <c r="L415" s="6">
        <f>Raw_data!K415</f>
        <v>29</v>
      </c>
      <c r="M415" s="6">
        <f>Raw_data!L415</f>
        <v>0</v>
      </c>
      <c r="N415" s="6">
        <f t="shared" si="37"/>
        <v>1095</v>
      </c>
      <c r="O415" s="6">
        <f t="shared" si="38"/>
        <v>219</v>
      </c>
      <c r="P415" s="6">
        <f t="shared" si="39"/>
        <v>1344</v>
      </c>
      <c r="Q415">
        <f t="shared" si="40"/>
        <v>2</v>
      </c>
      <c r="R415">
        <f t="shared" si="41"/>
        <v>2</v>
      </c>
    </row>
    <row r="416" spans="1:18" x14ac:dyDescent="0.25">
      <c r="A416">
        <f>Raw_data!A416</f>
        <v>415</v>
      </c>
      <c r="B416" t="str">
        <f>Raw_data!B416</f>
        <v>C6387</v>
      </c>
      <c r="C416" t="str">
        <f>Raw_data!C416</f>
        <v>R2709</v>
      </c>
      <c r="D416" s="3">
        <f>Raw_data!D416</f>
        <v>45303.752500000002</v>
      </c>
      <c r="E416" s="3">
        <f>Raw_data!E416</f>
        <v>45303.77611111111</v>
      </c>
      <c r="F416" s="4">
        <f t="shared" si="36"/>
        <v>2.361111110803904E-2</v>
      </c>
      <c r="G416" s="6">
        <f>Raw_data!F416</f>
        <v>1545</v>
      </c>
      <c r="H416" s="6">
        <f>Raw_data!G416</f>
        <v>0</v>
      </c>
      <c r="I416" t="str">
        <f>Raw_data!H416</f>
        <v>Cash on Delivery</v>
      </c>
      <c r="J416" s="7" t="str">
        <f>IF(Raw_data!I416=0.1,"10%",Raw_data!I416)</f>
        <v>None</v>
      </c>
      <c r="K416" s="6">
        <f>Raw_data!J416</f>
        <v>80</v>
      </c>
      <c r="L416" s="6">
        <f>Raw_data!K416</f>
        <v>47</v>
      </c>
      <c r="M416" s="6">
        <f>Raw_data!L416</f>
        <v>0</v>
      </c>
      <c r="N416" s="6">
        <f t="shared" si="37"/>
        <v>1418</v>
      </c>
      <c r="O416" s="6">
        <f t="shared" si="38"/>
        <v>127</v>
      </c>
      <c r="P416" s="6">
        <f t="shared" si="39"/>
        <v>1545</v>
      </c>
      <c r="Q416">
        <f t="shared" si="40"/>
        <v>1</v>
      </c>
      <c r="R416">
        <f t="shared" si="41"/>
        <v>2</v>
      </c>
    </row>
    <row r="417" spans="1:18" x14ac:dyDescent="0.25">
      <c r="A417">
        <f>Raw_data!A417</f>
        <v>416</v>
      </c>
      <c r="B417" t="str">
        <f>Raw_data!B417</f>
        <v>C9002</v>
      </c>
      <c r="C417" t="str">
        <f>Raw_data!C417</f>
        <v>R2806</v>
      </c>
      <c r="D417" s="3">
        <f>Raw_data!D417</f>
        <v>45324.809224537035</v>
      </c>
      <c r="E417" s="3">
        <f>Raw_data!E417</f>
        <v>45324.840474537035</v>
      </c>
      <c r="F417" s="4">
        <f t="shared" si="36"/>
        <v>3.125E-2</v>
      </c>
      <c r="G417" s="6">
        <f>Raw_data!F417</f>
        <v>219</v>
      </c>
      <c r="H417" s="6">
        <f>Raw_data!G417</f>
        <v>20</v>
      </c>
      <c r="I417" t="str">
        <f>Raw_data!H417</f>
        <v>Cash on Delivery</v>
      </c>
      <c r="J417" s="7" t="str">
        <f>IF(Raw_data!I417=0.1,"10%",Raw_data!I417)</f>
        <v>None</v>
      </c>
      <c r="K417" s="6">
        <f>Raw_data!J417</f>
        <v>179</v>
      </c>
      <c r="L417" s="6">
        <f>Raw_data!K417</f>
        <v>33</v>
      </c>
      <c r="M417" s="6">
        <f>Raw_data!L417</f>
        <v>0</v>
      </c>
      <c r="N417" s="6">
        <f t="shared" si="37"/>
        <v>7</v>
      </c>
      <c r="O417" s="6">
        <f t="shared" si="38"/>
        <v>212</v>
      </c>
      <c r="P417" s="6">
        <f t="shared" si="39"/>
        <v>239</v>
      </c>
      <c r="Q417">
        <f t="shared" si="40"/>
        <v>1</v>
      </c>
      <c r="R417">
        <f t="shared" si="41"/>
        <v>2</v>
      </c>
    </row>
    <row r="418" spans="1:18" x14ac:dyDescent="0.25">
      <c r="A418">
        <f>Raw_data!A418</f>
        <v>417</v>
      </c>
      <c r="B418" t="str">
        <f>Raw_data!B418</f>
        <v>C6536</v>
      </c>
      <c r="C418" t="str">
        <f>Raw_data!C418</f>
        <v>R2439</v>
      </c>
      <c r="D418" s="3">
        <f>Raw_data!D418</f>
        <v>45314.378009259257</v>
      </c>
      <c r="E418" s="3">
        <f>Raw_data!E418</f>
        <v>45314.409953703704</v>
      </c>
      <c r="F418" s="4">
        <f t="shared" si="36"/>
        <v>3.1944444446708076E-2</v>
      </c>
      <c r="G418" s="6">
        <f>Raw_data!F418</f>
        <v>319</v>
      </c>
      <c r="H418" s="6">
        <f>Raw_data!G418</f>
        <v>0</v>
      </c>
      <c r="I418" t="str">
        <f>Raw_data!H418</f>
        <v>Credit Card</v>
      </c>
      <c r="J418" s="7" t="str">
        <f>IF(Raw_data!I418=0.1,"10%",Raw_data!I418)</f>
        <v>10%</v>
      </c>
      <c r="K418" s="6">
        <f>Raw_data!J418</f>
        <v>152</v>
      </c>
      <c r="L418" s="6">
        <f>Raw_data!K418</f>
        <v>25</v>
      </c>
      <c r="M418" s="6">
        <f>Raw_data!L418</f>
        <v>0</v>
      </c>
      <c r="N418" s="6">
        <f t="shared" si="37"/>
        <v>142</v>
      </c>
      <c r="O418" s="6">
        <f t="shared" si="38"/>
        <v>177</v>
      </c>
      <c r="P418" s="6">
        <f t="shared" si="39"/>
        <v>319</v>
      </c>
      <c r="Q418">
        <f t="shared" si="40"/>
        <v>1</v>
      </c>
      <c r="R418">
        <f t="shared" si="41"/>
        <v>3</v>
      </c>
    </row>
    <row r="419" spans="1:18" x14ac:dyDescent="0.25">
      <c r="A419">
        <f>Raw_data!A419</f>
        <v>418</v>
      </c>
      <c r="B419" t="str">
        <f>Raw_data!B419</f>
        <v>C4913</v>
      </c>
      <c r="C419" t="str">
        <f>Raw_data!C419</f>
        <v>R2318</v>
      </c>
      <c r="D419" s="3">
        <f>Raw_data!D419</f>
        <v>45299.740219907406</v>
      </c>
      <c r="E419" s="3">
        <f>Raw_data!E419</f>
        <v>45299.782581018517</v>
      </c>
      <c r="F419" s="4">
        <f t="shared" si="36"/>
        <v>4.2361111110949423E-2</v>
      </c>
      <c r="G419" s="6">
        <f>Raw_data!F419</f>
        <v>152</v>
      </c>
      <c r="H419" s="6">
        <f>Raw_data!G419</f>
        <v>50</v>
      </c>
      <c r="I419" t="str">
        <f>Raw_data!H419</f>
        <v>Digital Wallet</v>
      </c>
      <c r="J419" s="7" t="str">
        <f>IF(Raw_data!I419=0.1,"10%",Raw_data!I419)</f>
        <v>15% New User</v>
      </c>
      <c r="K419" s="6">
        <f>Raw_data!J419</f>
        <v>64</v>
      </c>
      <c r="L419" s="6">
        <f>Raw_data!K419</f>
        <v>39</v>
      </c>
      <c r="M419" s="6">
        <f>Raw_data!L419</f>
        <v>100</v>
      </c>
      <c r="N419" s="6">
        <f t="shared" si="37"/>
        <v>49</v>
      </c>
      <c r="O419" s="6">
        <f t="shared" si="38"/>
        <v>3</v>
      </c>
      <c r="P419" s="6">
        <f t="shared" si="39"/>
        <v>202</v>
      </c>
      <c r="Q419">
        <f t="shared" si="40"/>
        <v>1</v>
      </c>
      <c r="R419">
        <f t="shared" si="41"/>
        <v>1</v>
      </c>
    </row>
    <row r="420" spans="1:18" x14ac:dyDescent="0.25">
      <c r="A420">
        <f>Raw_data!A420</f>
        <v>419</v>
      </c>
      <c r="B420" t="str">
        <f>Raw_data!B420</f>
        <v>C2066</v>
      </c>
      <c r="C420" t="str">
        <f>Raw_data!C420</f>
        <v>R2301</v>
      </c>
      <c r="D420" s="3">
        <f>Raw_data!D420</f>
        <v>45318.784502314818</v>
      </c>
      <c r="E420" s="3">
        <f>Raw_data!E420</f>
        <v>45318.840752314813</v>
      </c>
      <c r="F420" s="4">
        <f t="shared" si="36"/>
        <v>5.6249999994179234E-2</v>
      </c>
      <c r="G420" s="6">
        <f>Raw_data!F420</f>
        <v>1857</v>
      </c>
      <c r="H420" s="6">
        <f>Raw_data!G420</f>
        <v>30</v>
      </c>
      <c r="I420" t="str">
        <f>Raw_data!H420</f>
        <v>Digital Wallet</v>
      </c>
      <c r="J420" s="7" t="str">
        <f>IF(Raw_data!I420=0.1,"10%",Raw_data!I420)</f>
        <v>None</v>
      </c>
      <c r="K420" s="6">
        <f>Raw_data!J420</f>
        <v>106</v>
      </c>
      <c r="L420" s="6">
        <f>Raw_data!K420</f>
        <v>43</v>
      </c>
      <c r="M420" s="6">
        <f>Raw_data!L420</f>
        <v>0</v>
      </c>
      <c r="N420" s="6">
        <f t="shared" si="37"/>
        <v>1708</v>
      </c>
      <c r="O420" s="6">
        <f t="shared" si="38"/>
        <v>149</v>
      </c>
      <c r="P420" s="6">
        <f t="shared" si="39"/>
        <v>1887</v>
      </c>
      <c r="Q420">
        <f t="shared" si="40"/>
        <v>1</v>
      </c>
      <c r="R420">
        <f t="shared" si="41"/>
        <v>1</v>
      </c>
    </row>
    <row r="421" spans="1:18" x14ac:dyDescent="0.25">
      <c r="A421">
        <f>Raw_data!A421</f>
        <v>420</v>
      </c>
      <c r="B421" t="str">
        <f>Raw_data!B421</f>
        <v>C8723</v>
      </c>
      <c r="C421" t="str">
        <f>Raw_data!C421</f>
        <v>R2343</v>
      </c>
      <c r="D421" s="3">
        <f>Raw_data!D421</f>
        <v>45302.505428240744</v>
      </c>
      <c r="E421" s="3">
        <f>Raw_data!E421</f>
        <v>45302.539456018516</v>
      </c>
      <c r="F421" s="4">
        <f t="shared" si="36"/>
        <v>3.4027777772280388E-2</v>
      </c>
      <c r="G421" s="6">
        <f>Raw_data!F421</f>
        <v>1574</v>
      </c>
      <c r="H421" s="6">
        <f>Raw_data!G421</f>
        <v>0</v>
      </c>
      <c r="I421" t="str">
        <f>Raw_data!H421</f>
        <v>Digital Wallet</v>
      </c>
      <c r="J421" s="7" t="str">
        <f>IF(Raw_data!I421=0.1,"10%",Raw_data!I421)</f>
        <v>50 off Promo</v>
      </c>
      <c r="K421" s="6">
        <f>Raw_data!J421</f>
        <v>124</v>
      </c>
      <c r="L421" s="6">
        <f>Raw_data!K421</f>
        <v>10</v>
      </c>
      <c r="M421" s="6">
        <f>Raw_data!L421</f>
        <v>0</v>
      </c>
      <c r="N421" s="6">
        <f t="shared" si="37"/>
        <v>1440</v>
      </c>
      <c r="O421" s="6">
        <f t="shared" si="38"/>
        <v>134</v>
      </c>
      <c r="P421" s="6">
        <f t="shared" si="39"/>
        <v>1574</v>
      </c>
      <c r="Q421">
        <f t="shared" si="40"/>
        <v>1</v>
      </c>
      <c r="R421">
        <f t="shared" si="41"/>
        <v>3</v>
      </c>
    </row>
    <row r="422" spans="1:18" x14ac:dyDescent="0.25">
      <c r="A422">
        <f>Raw_data!A422</f>
        <v>421</v>
      </c>
      <c r="B422" t="str">
        <f>Raw_data!B422</f>
        <v>C5380</v>
      </c>
      <c r="C422" t="str">
        <f>Raw_data!C422</f>
        <v>R2010</v>
      </c>
      <c r="D422" s="3">
        <f>Raw_data!D422</f>
        <v>45304.787604166668</v>
      </c>
      <c r="E422" s="3">
        <f>Raw_data!E422</f>
        <v>45304.853576388887</v>
      </c>
      <c r="F422" s="4">
        <f t="shared" si="36"/>
        <v>6.5972222218988463E-2</v>
      </c>
      <c r="G422" s="6">
        <f>Raw_data!F422</f>
        <v>1535</v>
      </c>
      <c r="H422" s="6">
        <f>Raw_data!G422</f>
        <v>40</v>
      </c>
      <c r="I422" t="str">
        <f>Raw_data!H422</f>
        <v>Cash on Delivery</v>
      </c>
      <c r="J422" s="7" t="str">
        <f>IF(Raw_data!I422=0.1,"10%",Raw_data!I422)</f>
        <v>15% New User</v>
      </c>
      <c r="K422" s="6">
        <f>Raw_data!J422</f>
        <v>83</v>
      </c>
      <c r="L422" s="6">
        <f>Raw_data!K422</f>
        <v>33</v>
      </c>
      <c r="M422" s="6">
        <f>Raw_data!L422</f>
        <v>150</v>
      </c>
      <c r="N422" s="6">
        <f t="shared" si="37"/>
        <v>1419</v>
      </c>
      <c r="O422" s="6">
        <f t="shared" si="38"/>
        <v>-34</v>
      </c>
      <c r="P422" s="6">
        <f t="shared" si="39"/>
        <v>1575</v>
      </c>
      <c r="Q422">
        <f t="shared" si="40"/>
        <v>2</v>
      </c>
      <c r="R422">
        <f t="shared" si="41"/>
        <v>3</v>
      </c>
    </row>
    <row r="423" spans="1:18" x14ac:dyDescent="0.25">
      <c r="A423">
        <f>Raw_data!A423</f>
        <v>422</v>
      </c>
      <c r="B423" t="str">
        <f>Raw_data!B423</f>
        <v>C5107</v>
      </c>
      <c r="C423" t="str">
        <f>Raw_data!C423</f>
        <v>R2061</v>
      </c>
      <c r="D423" s="3">
        <f>Raw_data!D423</f>
        <v>45311.267847222225</v>
      </c>
      <c r="E423" s="3">
        <f>Raw_data!E423</f>
        <v>45311.346319444441</v>
      </c>
      <c r="F423" s="4">
        <f t="shared" si="36"/>
        <v>7.847222221607808E-2</v>
      </c>
      <c r="G423" s="6">
        <f>Raw_data!F423</f>
        <v>1766</v>
      </c>
      <c r="H423" s="6">
        <f>Raw_data!G423</f>
        <v>30</v>
      </c>
      <c r="I423" t="str">
        <f>Raw_data!H423</f>
        <v>Digital Wallet</v>
      </c>
      <c r="J423" s="7" t="str">
        <f>IF(Raw_data!I423=0.1,"10%",Raw_data!I423)</f>
        <v>15% New User</v>
      </c>
      <c r="K423" s="6">
        <f>Raw_data!J423</f>
        <v>152</v>
      </c>
      <c r="L423" s="6">
        <f>Raw_data!K423</f>
        <v>33</v>
      </c>
      <c r="M423" s="6">
        <f>Raw_data!L423</f>
        <v>0</v>
      </c>
      <c r="N423" s="6">
        <f t="shared" si="37"/>
        <v>1581</v>
      </c>
      <c r="O423" s="6">
        <f t="shared" si="38"/>
        <v>185</v>
      </c>
      <c r="P423" s="6">
        <f t="shared" si="39"/>
        <v>1796</v>
      </c>
      <c r="Q423">
        <f t="shared" si="40"/>
        <v>1</v>
      </c>
      <c r="R423">
        <f t="shared" si="41"/>
        <v>2</v>
      </c>
    </row>
    <row r="424" spans="1:18" x14ac:dyDescent="0.25">
      <c r="A424">
        <f>Raw_data!A424</f>
        <v>423</v>
      </c>
      <c r="B424" t="str">
        <f>Raw_data!B424</f>
        <v>C6726</v>
      </c>
      <c r="C424" t="str">
        <f>Raw_data!C424</f>
        <v>R2844</v>
      </c>
      <c r="D424" s="3">
        <f>Raw_data!D424</f>
        <v>45313.295173611114</v>
      </c>
      <c r="E424" s="3">
        <f>Raw_data!E424</f>
        <v>45313.372256944444</v>
      </c>
      <c r="F424" s="4">
        <f t="shared" si="36"/>
        <v>7.7083333329937886E-2</v>
      </c>
      <c r="G424" s="6">
        <f>Raw_data!F424</f>
        <v>1360</v>
      </c>
      <c r="H424" s="6">
        <f>Raw_data!G424</f>
        <v>40</v>
      </c>
      <c r="I424" t="str">
        <f>Raw_data!H424</f>
        <v>Credit Card</v>
      </c>
      <c r="J424" s="7" t="str">
        <f>IF(Raw_data!I424=0.1,"10%",Raw_data!I424)</f>
        <v>50 off Promo</v>
      </c>
      <c r="K424" s="6">
        <f>Raw_data!J424</f>
        <v>124</v>
      </c>
      <c r="L424" s="6">
        <f>Raw_data!K424</f>
        <v>18</v>
      </c>
      <c r="M424" s="6">
        <f>Raw_data!L424</f>
        <v>0</v>
      </c>
      <c r="N424" s="6">
        <f t="shared" si="37"/>
        <v>1218</v>
      </c>
      <c r="O424" s="6">
        <f t="shared" si="38"/>
        <v>142</v>
      </c>
      <c r="P424" s="6">
        <f t="shared" si="39"/>
        <v>1400</v>
      </c>
      <c r="Q424">
        <f t="shared" si="40"/>
        <v>1</v>
      </c>
      <c r="R424">
        <f t="shared" si="41"/>
        <v>1</v>
      </c>
    </row>
    <row r="425" spans="1:18" x14ac:dyDescent="0.25">
      <c r="A425">
        <f>Raw_data!A425</f>
        <v>424</v>
      </c>
      <c r="B425" t="str">
        <f>Raw_data!B425</f>
        <v>C4373</v>
      </c>
      <c r="C425" t="str">
        <f>Raw_data!C425</f>
        <v>R2225</v>
      </c>
      <c r="D425" s="3">
        <f>Raw_data!D425</f>
        <v>45329.797407407408</v>
      </c>
      <c r="E425" s="3">
        <f>Raw_data!E425</f>
        <v>45329.818240740744</v>
      </c>
      <c r="F425" s="4">
        <f t="shared" si="36"/>
        <v>2.0833333335758653E-2</v>
      </c>
      <c r="G425" s="6">
        <f>Raw_data!F425</f>
        <v>857</v>
      </c>
      <c r="H425" s="6">
        <f>Raw_data!G425</f>
        <v>0</v>
      </c>
      <c r="I425" t="str">
        <f>Raw_data!H425</f>
        <v>Digital Wallet</v>
      </c>
      <c r="J425" s="7" t="str">
        <f>IF(Raw_data!I425=0.1,"10%",Raw_data!I425)</f>
        <v>5% on App</v>
      </c>
      <c r="K425" s="6">
        <f>Raw_data!J425</f>
        <v>78</v>
      </c>
      <c r="L425" s="6">
        <f>Raw_data!K425</f>
        <v>31</v>
      </c>
      <c r="M425" s="6">
        <f>Raw_data!L425</f>
        <v>100</v>
      </c>
      <c r="N425" s="6">
        <f t="shared" si="37"/>
        <v>748</v>
      </c>
      <c r="O425" s="6">
        <f t="shared" si="38"/>
        <v>9</v>
      </c>
      <c r="P425" s="6">
        <f t="shared" si="39"/>
        <v>857</v>
      </c>
      <c r="Q425">
        <f t="shared" si="40"/>
        <v>1</v>
      </c>
      <c r="R425">
        <f t="shared" si="41"/>
        <v>4</v>
      </c>
    </row>
    <row r="426" spans="1:18" x14ac:dyDescent="0.25">
      <c r="A426">
        <f>Raw_data!A426</f>
        <v>425</v>
      </c>
      <c r="B426" t="str">
        <f>Raw_data!B426</f>
        <v>C9945</v>
      </c>
      <c r="C426" t="str">
        <f>Raw_data!C426</f>
        <v>R2152</v>
      </c>
      <c r="D426" s="3">
        <f>Raw_data!D426</f>
        <v>45296.373194444444</v>
      </c>
      <c r="E426" s="3">
        <f>Raw_data!E426</f>
        <v>45296.433611111112</v>
      </c>
      <c r="F426" s="4">
        <f t="shared" si="36"/>
        <v>6.0416666667151731E-2</v>
      </c>
      <c r="G426" s="6">
        <f>Raw_data!F426</f>
        <v>837</v>
      </c>
      <c r="H426" s="6">
        <f>Raw_data!G426</f>
        <v>30</v>
      </c>
      <c r="I426" t="str">
        <f>Raw_data!H426</f>
        <v>Credit Card</v>
      </c>
      <c r="J426" s="7" t="str">
        <f>IF(Raw_data!I426=0.1,"10%",Raw_data!I426)</f>
        <v>50 off Promo</v>
      </c>
      <c r="K426" s="6">
        <f>Raw_data!J426</f>
        <v>65</v>
      </c>
      <c r="L426" s="6">
        <f>Raw_data!K426</f>
        <v>21</v>
      </c>
      <c r="M426" s="6">
        <f>Raw_data!L426</f>
        <v>0</v>
      </c>
      <c r="N426" s="6">
        <f t="shared" si="37"/>
        <v>751</v>
      </c>
      <c r="O426" s="6">
        <f t="shared" si="38"/>
        <v>86</v>
      </c>
      <c r="P426" s="6">
        <f t="shared" si="39"/>
        <v>867</v>
      </c>
      <c r="Q426">
        <f t="shared" si="40"/>
        <v>1</v>
      </c>
      <c r="R426">
        <f t="shared" si="41"/>
        <v>3</v>
      </c>
    </row>
    <row r="427" spans="1:18" x14ac:dyDescent="0.25">
      <c r="A427">
        <f>Raw_data!A427</f>
        <v>426</v>
      </c>
      <c r="B427" t="str">
        <f>Raw_data!B427</f>
        <v>C3082</v>
      </c>
      <c r="C427" t="str">
        <f>Raw_data!C427</f>
        <v>R2710</v>
      </c>
      <c r="D427" s="3">
        <f>Raw_data!D427</f>
        <v>45292.123831018522</v>
      </c>
      <c r="E427" s="3">
        <f>Raw_data!E427</f>
        <v>45292.201608796298</v>
      </c>
      <c r="F427" s="4">
        <f t="shared" si="36"/>
        <v>7.7777777776645962E-2</v>
      </c>
      <c r="G427" s="6">
        <f>Raw_data!F427</f>
        <v>819</v>
      </c>
      <c r="H427" s="6">
        <f>Raw_data!G427</f>
        <v>40</v>
      </c>
      <c r="I427" t="str">
        <f>Raw_data!H427</f>
        <v>Digital Wallet</v>
      </c>
      <c r="J427" s="7" t="str">
        <f>IF(Raw_data!I427=0.1,"10%",Raw_data!I427)</f>
        <v>50 off Promo</v>
      </c>
      <c r="K427" s="6">
        <f>Raw_data!J427</f>
        <v>126</v>
      </c>
      <c r="L427" s="6">
        <f>Raw_data!K427</f>
        <v>26</v>
      </c>
      <c r="M427" s="6">
        <f>Raw_data!L427</f>
        <v>0</v>
      </c>
      <c r="N427" s="6">
        <f t="shared" si="37"/>
        <v>667</v>
      </c>
      <c r="O427" s="6">
        <f t="shared" si="38"/>
        <v>152</v>
      </c>
      <c r="P427" s="6">
        <f t="shared" si="39"/>
        <v>859</v>
      </c>
      <c r="Q427">
        <f t="shared" si="40"/>
        <v>1</v>
      </c>
      <c r="R427">
        <f t="shared" si="41"/>
        <v>2</v>
      </c>
    </row>
    <row r="428" spans="1:18" x14ac:dyDescent="0.25">
      <c r="A428">
        <f>Raw_data!A428</f>
        <v>427</v>
      </c>
      <c r="B428" t="str">
        <f>Raw_data!B428</f>
        <v>C9967</v>
      </c>
      <c r="C428" t="str">
        <f>Raw_data!C428</f>
        <v>R2563</v>
      </c>
      <c r="D428" s="3">
        <f>Raw_data!D428</f>
        <v>45298.180590277778</v>
      </c>
      <c r="E428" s="3">
        <f>Raw_data!E428</f>
        <v>45298.23128472222</v>
      </c>
      <c r="F428" s="4">
        <f t="shared" si="36"/>
        <v>5.0694444442342501E-2</v>
      </c>
      <c r="G428" s="6">
        <f>Raw_data!F428</f>
        <v>505</v>
      </c>
      <c r="H428" s="6">
        <f>Raw_data!G428</f>
        <v>50</v>
      </c>
      <c r="I428" t="str">
        <f>Raw_data!H428</f>
        <v>Digital Wallet</v>
      </c>
      <c r="J428" s="7" t="str">
        <f>IF(Raw_data!I428=0.1,"10%",Raw_data!I428)</f>
        <v>5% on App</v>
      </c>
      <c r="K428" s="6">
        <f>Raw_data!J428</f>
        <v>86</v>
      </c>
      <c r="L428" s="6">
        <f>Raw_data!K428</f>
        <v>34</v>
      </c>
      <c r="M428" s="6">
        <f>Raw_data!L428</f>
        <v>50</v>
      </c>
      <c r="N428" s="6">
        <f t="shared" si="37"/>
        <v>385</v>
      </c>
      <c r="O428" s="6">
        <f t="shared" si="38"/>
        <v>70</v>
      </c>
      <c r="P428" s="6">
        <f t="shared" si="39"/>
        <v>555</v>
      </c>
      <c r="Q428">
        <f t="shared" si="40"/>
        <v>1</v>
      </c>
      <c r="R428">
        <f t="shared" si="41"/>
        <v>1</v>
      </c>
    </row>
    <row r="429" spans="1:18" x14ac:dyDescent="0.25">
      <c r="A429">
        <f>Raw_data!A429</f>
        <v>428</v>
      </c>
      <c r="B429" t="str">
        <f>Raw_data!B429</f>
        <v>C7748</v>
      </c>
      <c r="C429" t="str">
        <f>Raw_data!C429</f>
        <v>R2771</v>
      </c>
      <c r="D429" s="3">
        <f>Raw_data!D429</f>
        <v>45328.630752314813</v>
      </c>
      <c r="E429" s="3">
        <f>Raw_data!E429</f>
        <v>45328.655057870368</v>
      </c>
      <c r="F429" s="4">
        <f t="shared" si="36"/>
        <v>2.4305555554747116E-2</v>
      </c>
      <c r="G429" s="6">
        <f>Raw_data!F429</f>
        <v>707</v>
      </c>
      <c r="H429" s="6">
        <f>Raw_data!G429</f>
        <v>50</v>
      </c>
      <c r="I429" t="str">
        <f>Raw_data!H429</f>
        <v>Credit Card</v>
      </c>
      <c r="J429" s="7" t="str">
        <f>IF(Raw_data!I429=0.1,"10%",Raw_data!I429)</f>
        <v>5% on App</v>
      </c>
      <c r="K429" s="6">
        <f>Raw_data!J429</f>
        <v>130</v>
      </c>
      <c r="L429" s="6">
        <f>Raw_data!K429</f>
        <v>37</v>
      </c>
      <c r="M429" s="6">
        <f>Raw_data!L429</f>
        <v>0</v>
      </c>
      <c r="N429" s="6">
        <f t="shared" si="37"/>
        <v>540</v>
      </c>
      <c r="O429" s="6">
        <f t="shared" si="38"/>
        <v>167</v>
      </c>
      <c r="P429" s="6">
        <f t="shared" si="39"/>
        <v>757</v>
      </c>
      <c r="Q429">
        <f t="shared" si="40"/>
        <v>1</v>
      </c>
      <c r="R429">
        <f t="shared" si="41"/>
        <v>1</v>
      </c>
    </row>
    <row r="430" spans="1:18" x14ac:dyDescent="0.25">
      <c r="A430">
        <f>Raw_data!A430</f>
        <v>429</v>
      </c>
      <c r="B430" t="str">
        <f>Raw_data!B430</f>
        <v>C1417</v>
      </c>
      <c r="C430" t="str">
        <f>Raw_data!C430</f>
        <v>R2570</v>
      </c>
      <c r="D430" s="3">
        <f>Raw_data!D430</f>
        <v>45322.275509259256</v>
      </c>
      <c r="E430" s="3">
        <f>Raw_data!E430</f>
        <v>45322.330370370371</v>
      </c>
      <c r="F430" s="4">
        <f t="shared" si="36"/>
        <v>5.4861111115314998E-2</v>
      </c>
      <c r="G430" s="6">
        <f>Raw_data!F430</f>
        <v>1120</v>
      </c>
      <c r="H430" s="6">
        <f>Raw_data!G430</f>
        <v>0</v>
      </c>
      <c r="I430" t="str">
        <f>Raw_data!H430</f>
        <v>Digital Wallet</v>
      </c>
      <c r="J430" s="7" t="str">
        <f>IF(Raw_data!I430=0.1,"10%",Raw_data!I430)</f>
        <v>5% on App</v>
      </c>
      <c r="K430" s="6">
        <f>Raw_data!J430</f>
        <v>198</v>
      </c>
      <c r="L430" s="6">
        <f>Raw_data!K430</f>
        <v>24</v>
      </c>
      <c r="M430" s="6">
        <f>Raw_data!L430</f>
        <v>100</v>
      </c>
      <c r="N430" s="6">
        <f t="shared" si="37"/>
        <v>898</v>
      </c>
      <c r="O430" s="6">
        <f t="shared" si="38"/>
        <v>122</v>
      </c>
      <c r="P430" s="6">
        <f t="shared" si="39"/>
        <v>1120</v>
      </c>
      <c r="Q430">
        <f t="shared" si="40"/>
        <v>1</v>
      </c>
      <c r="R430">
        <f t="shared" si="41"/>
        <v>4</v>
      </c>
    </row>
    <row r="431" spans="1:18" x14ac:dyDescent="0.25">
      <c r="A431">
        <f>Raw_data!A431</f>
        <v>430</v>
      </c>
      <c r="B431" t="str">
        <f>Raw_data!B431</f>
        <v>C9306</v>
      </c>
      <c r="C431" t="str">
        <f>Raw_data!C431</f>
        <v>R2583</v>
      </c>
      <c r="D431" s="3">
        <f>Raw_data!D431</f>
        <v>45293.370520833334</v>
      </c>
      <c r="E431" s="3">
        <f>Raw_data!E431</f>
        <v>45293.440659722219</v>
      </c>
      <c r="F431" s="4">
        <f t="shared" si="36"/>
        <v>7.0138888884685002E-2</v>
      </c>
      <c r="G431" s="6">
        <f>Raw_data!F431</f>
        <v>521</v>
      </c>
      <c r="H431" s="6">
        <f>Raw_data!G431</f>
        <v>30</v>
      </c>
      <c r="I431" t="str">
        <f>Raw_data!H431</f>
        <v>Digital Wallet</v>
      </c>
      <c r="J431" s="7" t="str">
        <f>IF(Raw_data!I431=0.1,"10%",Raw_data!I431)</f>
        <v>5% on App</v>
      </c>
      <c r="K431" s="6">
        <f>Raw_data!J431</f>
        <v>173</v>
      </c>
      <c r="L431" s="6">
        <f>Raw_data!K431</f>
        <v>39</v>
      </c>
      <c r="M431" s="6">
        <f>Raw_data!L431</f>
        <v>0</v>
      </c>
      <c r="N431" s="6">
        <f t="shared" si="37"/>
        <v>309</v>
      </c>
      <c r="O431" s="6">
        <f t="shared" si="38"/>
        <v>212</v>
      </c>
      <c r="P431" s="6">
        <f t="shared" si="39"/>
        <v>551</v>
      </c>
      <c r="Q431">
        <f t="shared" si="40"/>
        <v>1</v>
      </c>
      <c r="R431">
        <f t="shared" si="41"/>
        <v>3</v>
      </c>
    </row>
    <row r="432" spans="1:18" x14ac:dyDescent="0.25">
      <c r="A432">
        <f>Raw_data!A432</f>
        <v>431</v>
      </c>
      <c r="B432" t="str">
        <f>Raw_data!B432</f>
        <v>C9808</v>
      </c>
      <c r="C432" t="str">
        <f>Raw_data!C432</f>
        <v>R2659</v>
      </c>
      <c r="D432" s="3">
        <f>Raw_data!D432</f>
        <v>45314.942627314813</v>
      </c>
      <c r="E432" s="3">
        <f>Raw_data!E432</f>
        <v>45315.023877314816</v>
      </c>
      <c r="F432" s="4">
        <f t="shared" si="36"/>
        <v>8.1250000002910383E-2</v>
      </c>
      <c r="G432" s="6">
        <f>Raw_data!F432</f>
        <v>811</v>
      </c>
      <c r="H432" s="6">
        <f>Raw_data!G432</f>
        <v>20</v>
      </c>
      <c r="I432" t="str">
        <f>Raw_data!H432</f>
        <v>Digital Wallet</v>
      </c>
      <c r="J432" s="7" t="str">
        <f>IF(Raw_data!I432=0.1,"10%",Raw_data!I432)</f>
        <v>5% on App</v>
      </c>
      <c r="K432" s="6">
        <f>Raw_data!J432</f>
        <v>68</v>
      </c>
      <c r="L432" s="6">
        <f>Raw_data!K432</f>
        <v>36</v>
      </c>
      <c r="M432" s="6">
        <f>Raw_data!L432</f>
        <v>100</v>
      </c>
      <c r="N432" s="6">
        <f t="shared" si="37"/>
        <v>707</v>
      </c>
      <c r="O432" s="6">
        <f t="shared" si="38"/>
        <v>4</v>
      </c>
      <c r="P432" s="6">
        <f t="shared" si="39"/>
        <v>831</v>
      </c>
      <c r="Q432">
        <f t="shared" si="40"/>
        <v>1</v>
      </c>
      <c r="R432">
        <f t="shared" si="41"/>
        <v>2</v>
      </c>
    </row>
    <row r="433" spans="1:18" x14ac:dyDescent="0.25">
      <c r="A433">
        <f>Raw_data!A433</f>
        <v>432</v>
      </c>
      <c r="B433" t="str">
        <f>Raw_data!B433</f>
        <v>C4974</v>
      </c>
      <c r="C433" t="str">
        <f>Raw_data!C433</f>
        <v>R2860</v>
      </c>
      <c r="D433" s="3">
        <f>Raw_data!D433</f>
        <v>45311.584814814814</v>
      </c>
      <c r="E433" s="3">
        <f>Raw_data!E433</f>
        <v>45311.618842592594</v>
      </c>
      <c r="F433" s="4">
        <f t="shared" si="36"/>
        <v>3.4027777779556345E-2</v>
      </c>
      <c r="G433" s="6">
        <f>Raw_data!F433</f>
        <v>346</v>
      </c>
      <c r="H433" s="6">
        <f>Raw_data!G433</f>
        <v>30</v>
      </c>
      <c r="I433" t="str">
        <f>Raw_data!H433</f>
        <v>Cash on Delivery</v>
      </c>
      <c r="J433" s="7" t="str">
        <f>IF(Raw_data!I433=0.1,"10%",Raw_data!I433)</f>
        <v>50 off Promo</v>
      </c>
      <c r="K433" s="6">
        <f>Raw_data!J433</f>
        <v>151</v>
      </c>
      <c r="L433" s="6">
        <f>Raw_data!K433</f>
        <v>31</v>
      </c>
      <c r="M433" s="6">
        <f>Raw_data!L433</f>
        <v>100</v>
      </c>
      <c r="N433" s="6">
        <f t="shared" si="37"/>
        <v>164</v>
      </c>
      <c r="O433" s="6">
        <f t="shared" si="38"/>
        <v>82</v>
      </c>
      <c r="P433" s="6">
        <f t="shared" si="39"/>
        <v>376</v>
      </c>
      <c r="Q433">
        <f t="shared" si="40"/>
        <v>1</v>
      </c>
      <c r="R433">
        <f t="shared" si="41"/>
        <v>1</v>
      </c>
    </row>
    <row r="434" spans="1:18" x14ac:dyDescent="0.25">
      <c r="A434">
        <f>Raw_data!A434</f>
        <v>433</v>
      </c>
      <c r="B434" t="str">
        <f>Raw_data!B434</f>
        <v>C4267</v>
      </c>
      <c r="C434" t="str">
        <f>Raw_data!C434</f>
        <v>R2574</v>
      </c>
      <c r="D434" s="3">
        <f>Raw_data!D434</f>
        <v>45312.742048611108</v>
      </c>
      <c r="E434" s="3">
        <f>Raw_data!E434</f>
        <v>45312.771909722222</v>
      </c>
      <c r="F434" s="4">
        <f t="shared" si="36"/>
        <v>2.9861111113859806E-2</v>
      </c>
      <c r="G434" s="6">
        <f>Raw_data!F434</f>
        <v>171</v>
      </c>
      <c r="H434" s="6">
        <f>Raw_data!G434</f>
        <v>50</v>
      </c>
      <c r="I434" t="str">
        <f>Raw_data!H434</f>
        <v>Credit Card</v>
      </c>
      <c r="J434" s="7" t="str">
        <f>IF(Raw_data!I434=0.1,"10%",Raw_data!I434)</f>
        <v>10%</v>
      </c>
      <c r="K434" s="6">
        <f>Raw_data!J434</f>
        <v>185</v>
      </c>
      <c r="L434" s="6">
        <f>Raw_data!K434</f>
        <v>19</v>
      </c>
      <c r="M434" s="6">
        <f>Raw_data!L434</f>
        <v>50</v>
      </c>
      <c r="N434" s="6">
        <f t="shared" si="37"/>
        <v>-33</v>
      </c>
      <c r="O434" s="6">
        <f t="shared" si="38"/>
        <v>154</v>
      </c>
      <c r="P434" s="6">
        <f t="shared" si="39"/>
        <v>221</v>
      </c>
      <c r="Q434">
        <f t="shared" si="40"/>
        <v>1</v>
      </c>
      <c r="R434">
        <f t="shared" si="41"/>
        <v>1</v>
      </c>
    </row>
    <row r="435" spans="1:18" x14ac:dyDescent="0.25">
      <c r="A435">
        <f>Raw_data!A435</f>
        <v>434</v>
      </c>
      <c r="B435" t="str">
        <f>Raw_data!B435</f>
        <v>C1825</v>
      </c>
      <c r="C435" t="str">
        <f>Raw_data!C435</f>
        <v>R2309</v>
      </c>
      <c r="D435" s="3">
        <f>Raw_data!D435</f>
        <v>45329.849641203706</v>
      </c>
      <c r="E435" s="3">
        <f>Raw_data!E435</f>
        <v>45329.873252314814</v>
      </c>
      <c r="F435" s="4">
        <f t="shared" si="36"/>
        <v>2.361111110803904E-2</v>
      </c>
      <c r="G435" s="6">
        <f>Raw_data!F435</f>
        <v>1953</v>
      </c>
      <c r="H435" s="6">
        <f>Raw_data!G435</f>
        <v>40</v>
      </c>
      <c r="I435" t="str">
        <f>Raw_data!H435</f>
        <v>Digital Wallet</v>
      </c>
      <c r="J435" s="7" t="str">
        <f>IF(Raw_data!I435=0.1,"10%",Raw_data!I435)</f>
        <v>10%</v>
      </c>
      <c r="K435" s="6">
        <f>Raw_data!J435</f>
        <v>126</v>
      </c>
      <c r="L435" s="6">
        <f>Raw_data!K435</f>
        <v>40</v>
      </c>
      <c r="M435" s="6">
        <f>Raw_data!L435</f>
        <v>0</v>
      </c>
      <c r="N435" s="6">
        <f t="shared" si="37"/>
        <v>1787</v>
      </c>
      <c r="O435" s="6">
        <f t="shared" si="38"/>
        <v>166</v>
      </c>
      <c r="P435" s="6">
        <f t="shared" si="39"/>
        <v>1993</v>
      </c>
      <c r="Q435">
        <f t="shared" si="40"/>
        <v>1</v>
      </c>
      <c r="R435">
        <f t="shared" si="41"/>
        <v>3</v>
      </c>
    </row>
    <row r="436" spans="1:18" x14ac:dyDescent="0.25">
      <c r="A436">
        <f>Raw_data!A436</f>
        <v>435</v>
      </c>
      <c r="B436" t="str">
        <f>Raw_data!B436</f>
        <v>C8668</v>
      </c>
      <c r="C436" t="str">
        <f>Raw_data!C436</f>
        <v>R2884</v>
      </c>
      <c r="D436" s="3">
        <f>Raw_data!D436</f>
        <v>45294.493055555555</v>
      </c>
      <c r="E436" s="3">
        <f>Raw_data!E436</f>
        <v>45294.541666666664</v>
      </c>
      <c r="F436" s="4">
        <f t="shared" si="36"/>
        <v>4.8611111109494232E-2</v>
      </c>
      <c r="G436" s="6">
        <f>Raw_data!F436</f>
        <v>284</v>
      </c>
      <c r="H436" s="6">
        <f>Raw_data!G436</f>
        <v>20</v>
      </c>
      <c r="I436" t="str">
        <f>Raw_data!H436</f>
        <v>Credit Card</v>
      </c>
      <c r="J436" s="7" t="str">
        <f>IF(Raw_data!I436=0.1,"10%",Raw_data!I436)</f>
        <v>None</v>
      </c>
      <c r="K436" s="6">
        <f>Raw_data!J436</f>
        <v>90</v>
      </c>
      <c r="L436" s="6">
        <f>Raw_data!K436</f>
        <v>36</v>
      </c>
      <c r="M436" s="6">
        <f>Raw_data!L436</f>
        <v>150</v>
      </c>
      <c r="N436" s="6">
        <f t="shared" si="37"/>
        <v>158</v>
      </c>
      <c r="O436" s="6">
        <f t="shared" si="38"/>
        <v>-24</v>
      </c>
      <c r="P436" s="6">
        <f t="shared" si="39"/>
        <v>304</v>
      </c>
      <c r="Q436">
        <f t="shared" si="40"/>
        <v>1</v>
      </c>
      <c r="R436">
        <f t="shared" si="41"/>
        <v>1</v>
      </c>
    </row>
    <row r="437" spans="1:18" x14ac:dyDescent="0.25">
      <c r="A437">
        <f>Raw_data!A437</f>
        <v>436</v>
      </c>
      <c r="B437" t="str">
        <f>Raw_data!B437</f>
        <v>C6745</v>
      </c>
      <c r="C437" t="str">
        <f>Raw_data!C437</f>
        <v>R2242</v>
      </c>
      <c r="D437" s="3">
        <f>Raw_data!D437</f>
        <v>45328.223194444443</v>
      </c>
      <c r="E437" s="3">
        <f>Raw_data!E437</f>
        <v>45328.271111111113</v>
      </c>
      <c r="F437" s="4">
        <f t="shared" si="36"/>
        <v>4.7916666670062114E-2</v>
      </c>
      <c r="G437" s="6">
        <f>Raw_data!F437</f>
        <v>105</v>
      </c>
      <c r="H437" s="6">
        <f>Raw_data!G437</f>
        <v>0</v>
      </c>
      <c r="I437" t="str">
        <f>Raw_data!H437</f>
        <v>Credit Card</v>
      </c>
      <c r="J437" s="7" t="str">
        <f>IF(Raw_data!I437=0.1,"10%",Raw_data!I437)</f>
        <v>10%</v>
      </c>
      <c r="K437" s="6">
        <f>Raw_data!J437</f>
        <v>110</v>
      </c>
      <c r="L437" s="6">
        <f>Raw_data!K437</f>
        <v>21</v>
      </c>
      <c r="M437" s="6">
        <f>Raw_data!L437</f>
        <v>0</v>
      </c>
      <c r="N437" s="6">
        <f t="shared" si="37"/>
        <v>-26</v>
      </c>
      <c r="O437" s="6">
        <f t="shared" si="38"/>
        <v>131</v>
      </c>
      <c r="P437" s="6">
        <f t="shared" si="39"/>
        <v>105</v>
      </c>
      <c r="Q437">
        <f t="shared" si="40"/>
        <v>1</v>
      </c>
      <c r="R437">
        <f t="shared" si="41"/>
        <v>2</v>
      </c>
    </row>
    <row r="438" spans="1:18" x14ac:dyDescent="0.25">
      <c r="A438">
        <f>Raw_data!A438</f>
        <v>437</v>
      </c>
      <c r="B438" t="str">
        <f>Raw_data!B438</f>
        <v>C1412</v>
      </c>
      <c r="C438" t="str">
        <f>Raw_data!C438</f>
        <v>R2492</v>
      </c>
      <c r="D438" s="3">
        <f>Raw_data!D438</f>
        <v>45322.752604166664</v>
      </c>
      <c r="E438" s="3">
        <f>Raw_data!E438</f>
        <v>45322.796354166669</v>
      </c>
      <c r="F438" s="4">
        <f t="shared" si="36"/>
        <v>4.3750000004365575E-2</v>
      </c>
      <c r="G438" s="6">
        <f>Raw_data!F438</f>
        <v>1329</v>
      </c>
      <c r="H438" s="6">
        <f>Raw_data!G438</f>
        <v>20</v>
      </c>
      <c r="I438" t="str">
        <f>Raw_data!H438</f>
        <v>Credit Card</v>
      </c>
      <c r="J438" s="7" t="str">
        <f>IF(Raw_data!I438=0.1,"10%",Raw_data!I438)</f>
        <v>10%</v>
      </c>
      <c r="K438" s="6">
        <f>Raw_data!J438</f>
        <v>75</v>
      </c>
      <c r="L438" s="6">
        <f>Raw_data!K438</f>
        <v>40</v>
      </c>
      <c r="M438" s="6">
        <f>Raw_data!L438</f>
        <v>50</v>
      </c>
      <c r="N438" s="6">
        <f t="shared" si="37"/>
        <v>1214</v>
      </c>
      <c r="O438" s="6">
        <f t="shared" si="38"/>
        <v>65</v>
      </c>
      <c r="P438" s="6">
        <f t="shared" si="39"/>
        <v>1349</v>
      </c>
      <c r="Q438">
        <f t="shared" si="40"/>
        <v>1</v>
      </c>
      <c r="R438">
        <f t="shared" si="41"/>
        <v>2</v>
      </c>
    </row>
    <row r="439" spans="1:18" x14ac:dyDescent="0.25">
      <c r="A439">
        <f>Raw_data!A439</f>
        <v>438</v>
      </c>
      <c r="B439" t="str">
        <f>Raw_data!B439</f>
        <v>C8543</v>
      </c>
      <c r="C439" t="str">
        <f>Raw_data!C439</f>
        <v>R2365</v>
      </c>
      <c r="D439" s="3">
        <f>Raw_data!D439</f>
        <v>45313.593634259261</v>
      </c>
      <c r="E439" s="3">
        <f>Raw_data!E439</f>
        <v>45313.669328703705</v>
      </c>
      <c r="F439" s="4">
        <f t="shared" si="36"/>
        <v>7.5694444443797693E-2</v>
      </c>
      <c r="G439" s="6">
        <f>Raw_data!F439</f>
        <v>1667</v>
      </c>
      <c r="H439" s="6">
        <f>Raw_data!G439</f>
        <v>0</v>
      </c>
      <c r="I439" t="str">
        <f>Raw_data!H439</f>
        <v>Digital Wallet</v>
      </c>
      <c r="J439" s="7" t="str">
        <f>IF(Raw_data!I439=0.1,"10%",Raw_data!I439)</f>
        <v>50 off Promo</v>
      </c>
      <c r="K439" s="6">
        <f>Raw_data!J439</f>
        <v>120</v>
      </c>
      <c r="L439" s="6">
        <f>Raw_data!K439</f>
        <v>41</v>
      </c>
      <c r="M439" s="6">
        <f>Raw_data!L439</f>
        <v>0</v>
      </c>
      <c r="N439" s="6">
        <f t="shared" si="37"/>
        <v>1506</v>
      </c>
      <c r="O439" s="6">
        <f t="shared" si="38"/>
        <v>161</v>
      </c>
      <c r="P439" s="6">
        <f t="shared" si="39"/>
        <v>1667</v>
      </c>
      <c r="Q439">
        <f t="shared" si="40"/>
        <v>1</v>
      </c>
      <c r="R439">
        <f t="shared" si="41"/>
        <v>2</v>
      </c>
    </row>
    <row r="440" spans="1:18" x14ac:dyDescent="0.25">
      <c r="A440">
        <f>Raw_data!A440</f>
        <v>439</v>
      </c>
      <c r="B440" t="str">
        <f>Raw_data!B440</f>
        <v>C8587</v>
      </c>
      <c r="C440" t="str">
        <f>Raw_data!C440</f>
        <v>R2329</v>
      </c>
      <c r="D440" s="3">
        <f>Raw_data!D440</f>
        <v>45296.538611111115</v>
      </c>
      <c r="E440" s="3">
        <f>Raw_data!E440</f>
        <v>45296.59</v>
      </c>
      <c r="F440" s="4">
        <f t="shared" si="36"/>
        <v>5.1388888881774619E-2</v>
      </c>
      <c r="G440" s="6">
        <f>Raw_data!F440</f>
        <v>1734</v>
      </c>
      <c r="H440" s="6">
        <f>Raw_data!G440</f>
        <v>20</v>
      </c>
      <c r="I440" t="str">
        <f>Raw_data!H440</f>
        <v>Digital Wallet</v>
      </c>
      <c r="J440" s="7" t="str">
        <f>IF(Raw_data!I440=0.1,"10%",Raw_data!I440)</f>
        <v>5% on App</v>
      </c>
      <c r="K440" s="6">
        <f>Raw_data!J440</f>
        <v>152</v>
      </c>
      <c r="L440" s="6">
        <f>Raw_data!K440</f>
        <v>41</v>
      </c>
      <c r="M440" s="6">
        <f>Raw_data!L440</f>
        <v>0</v>
      </c>
      <c r="N440" s="6">
        <f t="shared" si="37"/>
        <v>1541</v>
      </c>
      <c r="O440" s="6">
        <f t="shared" si="38"/>
        <v>193</v>
      </c>
      <c r="P440" s="6">
        <f t="shared" si="39"/>
        <v>1754</v>
      </c>
      <c r="Q440">
        <f t="shared" si="40"/>
        <v>1</v>
      </c>
      <c r="R440">
        <f t="shared" si="41"/>
        <v>3</v>
      </c>
    </row>
    <row r="441" spans="1:18" x14ac:dyDescent="0.25">
      <c r="A441">
        <f>Raw_data!A441</f>
        <v>440</v>
      </c>
      <c r="B441" t="str">
        <f>Raw_data!B441</f>
        <v>C1728</v>
      </c>
      <c r="C441" t="str">
        <f>Raw_data!C441</f>
        <v>R2106</v>
      </c>
      <c r="D441" s="3">
        <f>Raw_data!D441</f>
        <v>45296.513356481482</v>
      </c>
      <c r="E441" s="3">
        <f>Raw_data!E441</f>
        <v>45296.582800925928</v>
      </c>
      <c r="F441" s="4">
        <f t="shared" si="36"/>
        <v>6.9444444445252884E-2</v>
      </c>
      <c r="G441" s="6">
        <f>Raw_data!F441</f>
        <v>1005</v>
      </c>
      <c r="H441" s="6">
        <f>Raw_data!G441</f>
        <v>0</v>
      </c>
      <c r="I441" t="str">
        <f>Raw_data!H441</f>
        <v>Credit Card</v>
      </c>
      <c r="J441" s="7" t="str">
        <f>IF(Raw_data!I441=0.1,"10%",Raw_data!I441)</f>
        <v>5% on App</v>
      </c>
      <c r="K441" s="6">
        <f>Raw_data!J441</f>
        <v>119</v>
      </c>
      <c r="L441" s="6">
        <f>Raw_data!K441</f>
        <v>50</v>
      </c>
      <c r="M441" s="6">
        <f>Raw_data!L441</f>
        <v>50</v>
      </c>
      <c r="N441" s="6">
        <f t="shared" si="37"/>
        <v>836</v>
      </c>
      <c r="O441" s="6">
        <f t="shared" si="38"/>
        <v>119</v>
      </c>
      <c r="P441" s="6">
        <f t="shared" si="39"/>
        <v>1005</v>
      </c>
      <c r="Q441">
        <f t="shared" si="40"/>
        <v>2</v>
      </c>
      <c r="R441">
        <f t="shared" si="41"/>
        <v>1</v>
      </c>
    </row>
    <row r="442" spans="1:18" x14ac:dyDescent="0.25">
      <c r="A442">
        <f>Raw_data!A442</f>
        <v>441</v>
      </c>
      <c r="B442" t="str">
        <f>Raw_data!B442</f>
        <v>C8164</v>
      </c>
      <c r="C442" t="str">
        <f>Raw_data!C442</f>
        <v>R2225</v>
      </c>
      <c r="D442" s="3">
        <f>Raw_data!D442</f>
        <v>45316.713182870371</v>
      </c>
      <c r="E442" s="3">
        <f>Raw_data!E442</f>
        <v>45316.788877314815</v>
      </c>
      <c r="F442" s="4">
        <f t="shared" si="36"/>
        <v>7.5694444443797693E-2</v>
      </c>
      <c r="G442" s="6">
        <f>Raw_data!F442</f>
        <v>486</v>
      </c>
      <c r="H442" s="6">
        <f>Raw_data!G442</f>
        <v>0</v>
      </c>
      <c r="I442" t="str">
        <f>Raw_data!H442</f>
        <v>Cash on Delivery</v>
      </c>
      <c r="J442" s="7" t="str">
        <f>IF(Raw_data!I442=0.1,"10%",Raw_data!I442)</f>
        <v>50 off Promo</v>
      </c>
      <c r="K442" s="6">
        <f>Raw_data!J442</f>
        <v>156</v>
      </c>
      <c r="L442" s="6">
        <f>Raw_data!K442</f>
        <v>44</v>
      </c>
      <c r="M442" s="6">
        <f>Raw_data!L442</f>
        <v>0</v>
      </c>
      <c r="N442" s="6">
        <f t="shared" si="37"/>
        <v>286</v>
      </c>
      <c r="O442" s="6">
        <f t="shared" si="38"/>
        <v>200</v>
      </c>
      <c r="P442" s="6">
        <f t="shared" si="39"/>
        <v>486</v>
      </c>
      <c r="Q442">
        <f t="shared" si="40"/>
        <v>1</v>
      </c>
      <c r="R442">
        <f t="shared" si="41"/>
        <v>4</v>
      </c>
    </row>
    <row r="443" spans="1:18" x14ac:dyDescent="0.25">
      <c r="A443">
        <f>Raw_data!A443</f>
        <v>442</v>
      </c>
      <c r="B443" t="str">
        <f>Raw_data!B443</f>
        <v>C9867</v>
      </c>
      <c r="C443" t="str">
        <f>Raw_data!C443</f>
        <v>R2824</v>
      </c>
      <c r="D443" s="3">
        <f>Raw_data!D443</f>
        <v>45312.215520833335</v>
      </c>
      <c r="E443" s="3">
        <f>Raw_data!E443</f>
        <v>45312.28496527778</v>
      </c>
      <c r="F443" s="4">
        <f t="shared" si="36"/>
        <v>6.9444444445252884E-2</v>
      </c>
      <c r="G443" s="6">
        <f>Raw_data!F443</f>
        <v>1891</v>
      </c>
      <c r="H443" s="6">
        <f>Raw_data!G443</f>
        <v>20</v>
      </c>
      <c r="I443" t="str">
        <f>Raw_data!H443</f>
        <v>Credit Card</v>
      </c>
      <c r="J443" s="7" t="str">
        <f>IF(Raw_data!I443=0.1,"10%",Raw_data!I443)</f>
        <v>10%</v>
      </c>
      <c r="K443" s="6">
        <f>Raw_data!J443</f>
        <v>156</v>
      </c>
      <c r="L443" s="6">
        <f>Raw_data!K443</f>
        <v>30</v>
      </c>
      <c r="M443" s="6">
        <f>Raw_data!L443</f>
        <v>0</v>
      </c>
      <c r="N443" s="6">
        <f t="shared" si="37"/>
        <v>1705</v>
      </c>
      <c r="O443" s="6">
        <f t="shared" si="38"/>
        <v>186</v>
      </c>
      <c r="P443" s="6">
        <f t="shared" si="39"/>
        <v>1911</v>
      </c>
      <c r="Q443">
        <f t="shared" si="40"/>
        <v>1</v>
      </c>
      <c r="R443">
        <f t="shared" si="41"/>
        <v>2</v>
      </c>
    </row>
    <row r="444" spans="1:18" x14ac:dyDescent="0.25">
      <c r="A444">
        <f>Raw_data!A444</f>
        <v>443</v>
      </c>
      <c r="B444" t="str">
        <f>Raw_data!B444</f>
        <v>C6988</v>
      </c>
      <c r="C444" t="str">
        <f>Raw_data!C444</f>
        <v>R2217</v>
      </c>
      <c r="D444" s="3">
        <f>Raw_data!D444</f>
        <v>45292.209178240744</v>
      </c>
      <c r="E444" s="3">
        <f>Raw_data!E444</f>
        <v>45292.248067129629</v>
      </c>
      <c r="F444" s="4">
        <f t="shared" si="36"/>
        <v>3.8888888884685002E-2</v>
      </c>
      <c r="G444" s="6">
        <f>Raw_data!F444</f>
        <v>798</v>
      </c>
      <c r="H444" s="6">
        <f>Raw_data!G444</f>
        <v>20</v>
      </c>
      <c r="I444" t="str">
        <f>Raw_data!H444</f>
        <v>Cash on Delivery</v>
      </c>
      <c r="J444" s="7" t="str">
        <f>IF(Raw_data!I444=0.1,"10%",Raw_data!I444)</f>
        <v>50 off Promo</v>
      </c>
      <c r="K444" s="6">
        <f>Raw_data!J444</f>
        <v>152</v>
      </c>
      <c r="L444" s="6">
        <f>Raw_data!K444</f>
        <v>19</v>
      </c>
      <c r="M444" s="6">
        <f>Raw_data!L444</f>
        <v>0</v>
      </c>
      <c r="N444" s="6">
        <f t="shared" si="37"/>
        <v>627</v>
      </c>
      <c r="O444" s="6">
        <f t="shared" si="38"/>
        <v>171</v>
      </c>
      <c r="P444" s="6">
        <f t="shared" si="39"/>
        <v>818</v>
      </c>
      <c r="Q444">
        <f t="shared" si="40"/>
        <v>1</v>
      </c>
      <c r="R444">
        <f t="shared" si="41"/>
        <v>1</v>
      </c>
    </row>
    <row r="445" spans="1:18" x14ac:dyDescent="0.25">
      <c r="A445">
        <f>Raw_data!A445</f>
        <v>444</v>
      </c>
      <c r="B445" t="str">
        <f>Raw_data!B445</f>
        <v>C3504</v>
      </c>
      <c r="C445" t="str">
        <f>Raw_data!C445</f>
        <v>R2936</v>
      </c>
      <c r="D445" s="3">
        <f>Raw_data!D445</f>
        <v>45292.417071759257</v>
      </c>
      <c r="E445" s="3">
        <f>Raw_data!E445</f>
        <v>45292.491377314815</v>
      </c>
      <c r="F445" s="4">
        <f t="shared" si="36"/>
        <v>7.4305555557657499E-2</v>
      </c>
      <c r="G445" s="6">
        <f>Raw_data!F445</f>
        <v>1199</v>
      </c>
      <c r="H445" s="6">
        <f>Raw_data!G445</f>
        <v>0</v>
      </c>
      <c r="I445" t="str">
        <f>Raw_data!H445</f>
        <v>Credit Card</v>
      </c>
      <c r="J445" s="7" t="str">
        <f>IF(Raw_data!I445=0.1,"10%",Raw_data!I445)</f>
        <v>None</v>
      </c>
      <c r="K445" s="6">
        <f>Raw_data!J445</f>
        <v>68</v>
      </c>
      <c r="L445" s="6">
        <f>Raw_data!K445</f>
        <v>25</v>
      </c>
      <c r="M445" s="6">
        <f>Raw_data!L445</f>
        <v>0</v>
      </c>
      <c r="N445" s="6">
        <f t="shared" si="37"/>
        <v>1106</v>
      </c>
      <c r="O445" s="6">
        <f t="shared" si="38"/>
        <v>93</v>
      </c>
      <c r="P445" s="6">
        <f t="shared" si="39"/>
        <v>1199</v>
      </c>
      <c r="Q445">
        <f t="shared" si="40"/>
        <v>1</v>
      </c>
      <c r="R445">
        <f t="shared" si="41"/>
        <v>1</v>
      </c>
    </row>
    <row r="446" spans="1:18" x14ac:dyDescent="0.25">
      <c r="A446">
        <f>Raw_data!A446</f>
        <v>445</v>
      </c>
      <c r="B446" t="str">
        <f>Raw_data!B446</f>
        <v>C3967</v>
      </c>
      <c r="C446" t="str">
        <f>Raw_data!C446</f>
        <v>R2752</v>
      </c>
      <c r="D446" s="3">
        <f>Raw_data!D446</f>
        <v>45306.405381944445</v>
      </c>
      <c r="E446" s="3">
        <f>Raw_data!E446</f>
        <v>45306.479687500003</v>
      </c>
      <c r="F446" s="4">
        <f t="shared" si="36"/>
        <v>7.4305555557657499E-2</v>
      </c>
      <c r="G446" s="6">
        <f>Raw_data!F446</f>
        <v>1300</v>
      </c>
      <c r="H446" s="6">
        <f>Raw_data!G446</f>
        <v>50</v>
      </c>
      <c r="I446" t="str">
        <f>Raw_data!H446</f>
        <v>Credit Card</v>
      </c>
      <c r="J446" s="7" t="str">
        <f>IF(Raw_data!I446=0.1,"10%",Raw_data!I446)</f>
        <v>5% on App</v>
      </c>
      <c r="K446" s="6">
        <f>Raw_data!J446</f>
        <v>117</v>
      </c>
      <c r="L446" s="6">
        <f>Raw_data!K446</f>
        <v>16</v>
      </c>
      <c r="M446" s="6">
        <f>Raw_data!L446</f>
        <v>0</v>
      </c>
      <c r="N446" s="6">
        <f t="shared" si="37"/>
        <v>1167</v>
      </c>
      <c r="O446" s="6">
        <f t="shared" si="38"/>
        <v>133</v>
      </c>
      <c r="P446" s="6">
        <f t="shared" si="39"/>
        <v>1350</v>
      </c>
      <c r="Q446">
        <f t="shared" si="40"/>
        <v>1</v>
      </c>
      <c r="R446">
        <f t="shared" si="41"/>
        <v>2</v>
      </c>
    </row>
    <row r="447" spans="1:18" x14ac:dyDescent="0.25">
      <c r="A447">
        <f>Raw_data!A447</f>
        <v>446</v>
      </c>
      <c r="B447" t="str">
        <f>Raw_data!B447</f>
        <v>C3786</v>
      </c>
      <c r="C447" t="str">
        <f>Raw_data!C447</f>
        <v>R2505</v>
      </c>
      <c r="D447" s="3">
        <f>Raw_data!D447</f>
        <v>45294.705810185187</v>
      </c>
      <c r="E447" s="3">
        <f>Raw_data!E447</f>
        <v>45294.756504629629</v>
      </c>
      <c r="F447" s="4">
        <f t="shared" si="36"/>
        <v>5.0694444442342501E-2</v>
      </c>
      <c r="G447" s="6">
        <f>Raw_data!F447</f>
        <v>926</v>
      </c>
      <c r="H447" s="6">
        <f>Raw_data!G447</f>
        <v>20</v>
      </c>
      <c r="I447" t="str">
        <f>Raw_data!H447</f>
        <v>Credit Card</v>
      </c>
      <c r="J447" s="7" t="str">
        <f>IF(Raw_data!I447=0.1,"10%",Raw_data!I447)</f>
        <v>15% New User</v>
      </c>
      <c r="K447" s="6">
        <f>Raw_data!J447</f>
        <v>119</v>
      </c>
      <c r="L447" s="6">
        <f>Raw_data!K447</f>
        <v>13</v>
      </c>
      <c r="M447" s="6">
        <f>Raw_data!L447</f>
        <v>100</v>
      </c>
      <c r="N447" s="6">
        <f t="shared" si="37"/>
        <v>794</v>
      </c>
      <c r="O447" s="6">
        <f t="shared" si="38"/>
        <v>32</v>
      </c>
      <c r="P447" s="6">
        <f t="shared" si="39"/>
        <v>946</v>
      </c>
      <c r="Q447">
        <f t="shared" si="40"/>
        <v>1</v>
      </c>
      <c r="R447">
        <f t="shared" si="41"/>
        <v>2</v>
      </c>
    </row>
    <row r="448" spans="1:18" x14ac:dyDescent="0.25">
      <c r="A448">
        <f>Raw_data!A448</f>
        <v>447</v>
      </c>
      <c r="B448" t="str">
        <f>Raw_data!B448</f>
        <v>C2122</v>
      </c>
      <c r="C448" t="str">
        <f>Raw_data!C448</f>
        <v>R2258</v>
      </c>
      <c r="D448" s="3">
        <f>Raw_data!D448</f>
        <v>45323.386724537035</v>
      </c>
      <c r="E448" s="3">
        <f>Raw_data!E448</f>
        <v>45323.429780092592</v>
      </c>
      <c r="F448" s="4">
        <f t="shared" si="36"/>
        <v>4.3055555557657499E-2</v>
      </c>
      <c r="G448" s="6">
        <f>Raw_data!F448</f>
        <v>1922</v>
      </c>
      <c r="H448" s="6">
        <f>Raw_data!G448</f>
        <v>30</v>
      </c>
      <c r="I448" t="str">
        <f>Raw_data!H448</f>
        <v>Digital Wallet</v>
      </c>
      <c r="J448" s="7" t="str">
        <f>IF(Raw_data!I448=0.1,"10%",Raw_data!I448)</f>
        <v>None</v>
      </c>
      <c r="K448" s="6">
        <f>Raw_data!J448</f>
        <v>162</v>
      </c>
      <c r="L448" s="6">
        <f>Raw_data!K448</f>
        <v>36</v>
      </c>
      <c r="M448" s="6">
        <f>Raw_data!L448</f>
        <v>0</v>
      </c>
      <c r="N448" s="6">
        <f t="shared" si="37"/>
        <v>1724</v>
      </c>
      <c r="O448" s="6">
        <f t="shared" si="38"/>
        <v>198</v>
      </c>
      <c r="P448" s="6">
        <f t="shared" si="39"/>
        <v>1952</v>
      </c>
      <c r="Q448">
        <f t="shared" si="40"/>
        <v>1</v>
      </c>
      <c r="R448">
        <f t="shared" si="41"/>
        <v>1</v>
      </c>
    </row>
    <row r="449" spans="1:18" x14ac:dyDescent="0.25">
      <c r="A449">
        <f>Raw_data!A449</f>
        <v>448</v>
      </c>
      <c r="B449" t="str">
        <f>Raw_data!B449</f>
        <v>C5079</v>
      </c>
      <c r="C449" t="str">
        <f>Raw_data!C449</f>
        <v>R2887</v>
      </c>
      <c r="D449" s="3">
        <f>Raw_data!D449</f>
        <v>45314.203356481485</v>
      </c>
      <c r="E449" s="3">
        <f>Raw_data!E449</f>
        <v>45314.246412037035</v>
      </c>
      <c r="F449" s="4">
        <f t="shared" si="36"/>
        <v>4.3055555550381541E-2</v>
      </c>
      <c r="G449" s="6">
        <f>Raw_data!F449</f>
        <v>448</v>
      </c>
      <c r="H449" s="6">
        <f>Raw_data!G449</f>
        <v>40</v>
      </c>
      <c r="I449" t="str">
        <f>Raw_data!H449</f>
        <v>Cash on Delivery</v>
      </c>
      <c r="J449" s="7" t="str">
        <f>IF(Raw_data!I449=0.1,"10%",Raw_data!I449)</f>
        <v>None</v>
      </c>
      <c r="K449" s="6">
        <f>Raw_data!J449</f>
        <v>106</v>
      </c>
      <c r="L449" s="6">
        <f>Raw_data!K449</f>
        <v>34</v>
      </c>
      <c r="M449" s="6">
        <f>Raw_data!L449</f>
        <v>0</v>
      </c>
      <c r="N449" s="6">
        <f t="shared" si="37"/>
        <v>308</v>
      </c>
      <c r="O449" s="6">
        <f t="shared" si="38"/>
        <v>140</v>
      </c>
      <c r="P449" s="6">
        <f t="shared" si="39"/>
        <v>488</v>
      </c>
      <c r="Q449">
        <f t="shared" si="40"/>
        <v>1</v>
      </c>
      <c r="R449">
        <f t="shared" si="41"/>
        <v>2</v>
      </c>
    </row>
    <row r="450" spans="1:18" x14ac:dyDescent="0.25">
      <c r="A450">
        <f>Raw_data!A450</f>
        <v>449</v>
      </c>
      <c r="B450" t="str">
        <f>Raw_data!B450</f>
        <v>C2571</v>
      </c>
      <c r="C450" t="str">
        <f>Raw_data!C450</f>
        <v>R2773</v>
      </c>
      <c r="D450" s="3">
        <f>Raw_data!D450</f>
        <v>45299.115798611114</v>
      </c>
      <c r="E450" s="3">
        <f>Raw_data!E450</f>
        <v>45299.166493055556</v>
      </c>
      <c r="F450" s="4">
        <f t="shared" si="36"/>
        <v>5.0694444442342501E-2</v>
      </c>
      <c r="G450" s="6">
        <f>Raw_data!F450</f>
        <v>1378</v>
      </c>
      <c r="H450" s="6">
        <f>Raw_data!G450</f>
        <v>0</v>
      </c>
      <c r="I450" t="str">
        <f>Raw_data!H450</f>
        <v>Cash on Delivery</v>
      </c>
      <c r="J450" s="7" t="str">
        <f>IF(Raw_data!I450=0.1,"10%",Raw_data!I450)</f>
        <v>50 off Promo</v>
      </c>
      <c r="K450" s="6">
        <f>Raw_data!J450</f>
        <v>110</v>
      </c>
      <c r="L450" s="6">
        <f>Raw_data!K450</f>
        <v>40</v>
      </c>
      <c r="M450" s="6">
        <f>Raw_data!L450</f>
        <v>0</v>
      </c>
      <c r="N450" s="6">
        <f t="shared" si="37"/>
        <v>1228</v>
      </c>
      <c r="O450" s="6">
        <f t="shared" si="38"/>
        <v>150</v>
      </c>
      <c r="P450" s="6">
        <f t="shared" si="39"/>
        <v>1378</v>
      </c>
      <c r="Q450">
        <f t="shared" si="40"/>
        <v>1</v>
      </c>
      <c r="R450">
        <f t="shared" si="41"/>
        <v>4</v>
      </c>
    </row>
    <row r="451" spans="1:18" x14ac:dyDescent="0.25">
      <c r="A451">
        <f>Raw_data!A451</f>
        <v>450</v>
      </c>
      <c r="B451" t="str">
        <f>Raw_data!B451</f>
        <v>C6073</v>
      </c>
      <c r="C451" t="str">
        <f>Raw_data!C451</f>
        <v>R2516</v>
      </c>
      <c r="D451" s="3">
        <f>Raw_data!D451</f>
        <v>45310.324606481481</v>
      </c>
      <c r="E451" s="3">
        <f>Raw_data!E451</f>
        <v>45310.358634259261</v>
      </c>
      <c r="F451" s="4">
        <f t="shared" ref="F451:F514" si="42">E451-D451</f>
        <v>3.4027777779556345E-2</v>
      </c>
      <c r="G451" s="6">
        <f>Raw_data!F451</f>
        <v>1960</v>
      </c>
      <c r="H451" s="6">
        <f>Raw_data!G451</f>
        <v>0</v>
      </c>
      <c r="I451" t="str">
        <f>Raw_data!H451</f>
        <v>Credit Card</v>
      </c>
      <c r="J451" s="7" t="str">
        <f>IF(Raw_data!I451=0.1,"10%",Raw_data!I451)</f>
        <v>10%</v>
      </c>
      <c r="K451" s="6">
        <f>Raw_data!J451</f>
        <v>141</v>
      </c>
      <c r="L451" s="6">
        <f>Raw_data!K451</f>
        <v>20</v>
      </c>
      <c r="M451" s="6">
        <f>Raw_data!L451</f>
        <v>0</v>
      </c>
      <c r="N451" s="6">
        <f t="shared" ref="N451:N514" si="43">G451-K451-L451</f>
        <v>1799</v>
      </c>
      <c r="O451" s="6">
        <f t="shared" ref="O451:O514" si="44">K451+L451-M451</f>
        <v>161</v>
      </c>
      <c r="P451" s="6">
        <f t="shared" ref="P451:P514" si="45">G451+H451</f>
        <v>1960</v>
      </c>
      <c r="Q451">
        <f t="shared" ref="Q451:Q514" si="46">COUNTIF(B$2:B$1001,B451)</f>
        <v>1</v>
      </c>
      <c r="R451">
        <f t="shared" ref="R451:R514" si="47">COUNTIF(C$2:C$1001,C451)</f>
        <v>1</v>
      </c>
    </row>
    <row r="452" spans="1:18" x14ac:dyDescent="0.25">
      <c r="A452">
        <f>Raw_data!A452</f>
        <v>451</v>
      </c>
      <c r="B452" t="str">
        <f>Raw_data!B452</f>
        <v>C6104</v>
      </c>
      <c r="C452" t="str">
        <f>Raw_data!C452</f>
        <v>R2772</v>
      </c>
      <c r="D452" s="3">
        <f>Raw_data!D452</f>
        <v>45300.406608796293</v>
      </c>
      <c r="E452" s="3">
        <f>Raw_data!E452</f>
        <v>45300.451747685183</v>
      </c>
      <c r="F452" s="4">
        <f t="shared" si="42"/>
        <v>4.5138888890505768E-2</v>
      </c>
      <c r="G452" s="6">
        <f>Raw_data!F452</f>
        <v>1825</v>
      </c>
      <c r="H452" s="6">
        <f>Raw_data!G452</f>
        <v>40</v>
      </c>
      <c r="I452" t="str">
        <f>Raw_data!H452</f>
        <v>Digital Wallet</v>
      </c>
      <c r="J452" s="7" t="str">
        <f>IF(Raw_data!I452=0.1,"10%",Raw_data!I452)</f>
        <v>5% on App</v>
      </c>
      <c r="K452" s="6">
        <f>Raw_data!J452</f>
        <v>79</v>
      </c>
      <c r="L452" s="6">
        <f>Raw_data!K452</f>
        <v>29</v>
      </c>
      <c r="M452" s="6">
        <f>Raw_data!L452</f>
        <v>0</v>
      </c>
      <c r="N452" s="6">
        <f t="shared" si="43"/>
        <v>1717</v>
      </c>
      <c r="O452" s="6">
        <f t="shared" si="44"/>
        <v>108</v>
      </c>
      <c r="P452" s="6">
        <f t="shared" si="45"/>
        <v>1865</v>
      </c>
      <c r="Q452">
        <f t="shared" si="46"/>
        <v>1</v>
      </c>
      <c r="R452">
        <f t="shared" si="47"/>
        <v>1</v>
      </c>
    </row>
    <row r="453" spans="1:18" x14ac:dyDescent="0.25">
      <c r="A453">
        <f>Raw_data!A453</f>
        <v>452</v>
      </c>
      <c r="B453" t="str">
        <f>Raw_data!B453</f>
        <v>C3143</v>
      </c>
      <c r="C453" t="str">
        <f>Raw_data!C453</f>
        <v>R2053</v>
      </c>
      <c r="D453" s="3">
        <f>Raw_data!D453</f>
        <v>45312.767256944448</v>
      </c>
      <c r="E453" s="3">
        <f>Raw_data!E453</f>
        <v>45312.792256944442</v>
      </c>
      <c r="F453" s="4">
        <f t="shared" si="42"/>
        <v>2.4999999994179234E-2</v>
      </c>
      <c r="G453" s="6">
        <f>Raw_data!F453</f>
        <v>407</v>
      </c>
      <c r="H453" s="6">
        <f>Raw_data!G453</f>
        <v>50</v>
      </c>
      <c r="I453" t="str">
        <f>Raw_data!H453</f>
        <v>Digital Wallet</v>
      </c>
      <c r="J453" s="7" t="str">
        <f>IF(Raw_data!I453=0.1,"10%",Raw_data!I453)</f>
        <v>15% New User</v>
      </c>
      <c r="K453" s="6">
        <f>Raw_data!J453</f>
        <v>176</v>
      </c>
      <c r="L453" s="6">
        <f>Raw_data!K453</f>
        <v>45</v>
      </c>
      <c r="M453" s="6">
        <f>Raw_data!L453</f>
        <v>100</v>
      </c>
      <c r="N453" s="6">
        <f t="shared" si="43"/>
        <v>186</v>
      </c>
      <c r="O453" s="6">
        <f t="shared" si="44"/>
        <v>121</v>
      </c>
      <c r="P453" s="6">
        <f t="shared" si="45"/>
        <v>457</v>
      </c>
      <c r="Q453">
        <f t="shared" si="46"/>
        <v>1</v>
      </c>
      <c r="R453">
        <f t="shared" si="47"/>
        <v>2</v>
      </c>
    </row>
    <row r="454" spans="1:18" x14ac:dyDescent="0.25">
      <c r="A454">
        <f>Raw_data!A454</f>
        <v>453</v>
      </c>
      <c r="B454" t="str">
        <f>Raw_data!B454</f>
        <v>C7806</v>
      </c>
      <c r="C454" t="str">
        <f>Raw_data!C454</f>
        <v>R2046</v>
      </c>
      <c r="D454" s="3">
        <f>Raw_data!D454</f>
        <v>45316.989363425928</v>
      </c>
      <c r="E454" s="3">
        <f>Raw_data!E454</f>
        <v>45317.031724537039</v>
      </c>
      <c r="F454" s="4">
        <f t="shared" si="42"/>
        <v>4.2361111110949423E-2</v>
      </c>
      <c r="G454" s="6">
        <f>Raw_data!F454</f>
        <v>1468</v>
      </c>
      <c r="H454" s="6">
        <f>Raw_data!G454</f>
        <v>40</v>
      </c>
      <c r="I454" t="str">
        <f>Raw_data!H454</f>
        <v>Cash on Delivery</v>
      </c>
      <c r="J454" s="7" t="str">
        <f>IF(Raw_data!I454=0.1,"10%",Raw_data!I454)</f>
        <v>None</v>
      </c>
      <c r="K454" s="6">
        <f>Raw_data!J454</f>
        <v>164</v>
      </c>
      <c r="L454" s="6">
        <f>Raw_data!K454</f>
        <v>26</v>
      </c>
      <c r="M454" s="6">
        <f>Raw_data!L454</f>
        <v>150</v>
      </c>
      <c r="N454" s="6">
        <f t="shared" si="43"/>
        <v>1278</v>
      </c>
      <c r="O454" s="6">
        <f t="shared" si="44"/>
        <v>40</v>
      </c>
      <c r="P454" s="6">
        <f t="shared" si="45"/>
        <v>1508</v>
      </c>
      <c r="Q454">
        <f t="shared" si="46"/>
        <v>1</v>
      </c>
      <c r="R454">
        <f t="shared" si="47"/>
        <v>2</v>
      </c>
    </row>
    <row r="455" spans="1:18" x14ac:dyDescent="0.25">
      <c r="A455">
        <f>Raw_data!A455</f>
        <v>454</v>
      </c>
      <c r="B455" t="str">
        <f>Raw_data!B455</f>
        <v>C8357</v>
      </c>
      <c r="C455" t="str">
        <f>Raw_data!C455</f>
        <v>R2726</v>
      </c>
      <c r="D455" s="3">
        <f>Raw_data!D455</f>
        <v>45300.770497685182</v>
      </c>
      <c r="E455" s="3">
        <f>Raw_data!E455</f>
        <v>45300.837164351855</v>
      </c>
      <c r="F455" s="4">
        <f t="shared" si="42"/>
        <v>6.6666666672972497E-2</v>
      </c>
      <c r="G455" s="6">
        <f>Raw_data!F455</f>
        <v>1250</v>
      </c>
      <c r="H455" s="6">
        <f>Raw_data!G455</f>
        <v>20</v>
      </c>
      <c r="I455" t="str">
        <f>Raw_data!H455</f>
        <v>Digital Wallet</v>
      </c>
      <c r="J455" s="7" t="str">
        <f>IF(Raw_data!I455=0.1,"10%",Raw_data!I455)</f>
        <v>15% New User</v>
      </c>
      <c r="K455" s="6">
        <f>Raw_data!J455</f>
        <v>55</v>
      </c>
      <c r="L455" s="6">
        <f>Raw_data!K455</f>
        <v>20</v>
      </c>
      <c r="M455" s="6">
        <f>Raw_data!L455</f>
        <v>0</v>
      </c>
      <c r="N455" s="6">
        <f t="shared" si="43"/>
        <v>1175</v>
      </c>
      <c r="O455" s="6">
        <f t="shared" si="44"/>
        <v>75</v>
      </c>
      <c r="P455" s="6">
        <f t="shared" si="45"/>
        <v>1270</v>
      </c>
      <c r="Q455">
        <f t="shared" si="46"/>
        <v>1</v>
      </c>
      <c r="R455">
        <f t="shared" si="47"/>
        <v>5</v>
      </c>
    </row>
    <row r="456" spans="1:18" x14ac:dyDescent="0.25">
      <c r="A456">
        <f>Raw_data!A456</f>
        <v>455</v>
      </c>
      <c r="B456" t="str">
        <f>Raw_data!B456</f>
        <v>C4440</v>
      </c>
      <c r="C456" t="str">
        <f>Raw_data!C456</f>
        <v>R2688</v>
      </c>
      <c r="D456" s="3">
        <f>Raw_data!D456</f>
        <v>45326.519074074073</v>
      </c>
      <c r="E456" s="3">
        <f>Raw_data!E456</f>
        <v>45326.566296296296</v>
      </c>
      <c r="F456" s="4">
        <f t="shared" si="42"/>
        <v>4.7222222223354038E-2</v>
      </c>
      <c r="G456" s="6">
        <f>Raw_data!F456</f>
        <v>386</v>
      </c>
      <c r="H456" s="6">
        <f>Raw_data!G456</f>
        <v>40</v>
      </c>
      <c r="I456" t="str">
        <f>Raw_data!H456</f>
        <v>Cash on Delivery</v>
      </c>
      <c r="J456" s="7" t="str">
        <f>IF(Raw_data!I456=0.1,"10%",Raw_data!I456)</f>
        <v>10%</v>
      </c>
      <c r="K456" s="6">
        <f>Raw_data!J456</f>
        <v>67</v>
      </c>
      <c r="L456" s="6">
        <f>Raw_data!K456</f>
        <v>39</v>
      </c>
      <c r="M456" s="6">
        <f>Raw_data!L456</f>
        <v>0</v>
      </c>
      <c r="N456" s="6">
        <f t="shared" si="43"/>
        <v>280</v>
      </c>
      <c r="O456" s="6">
        <f t="shared" si="44"/>
        <v>106</v>
      </c>
      <c r="P456" s="6">
        <f t="shared" si="45"/>
        <v>426</v>
      </c>
      <c r="Q456">
        <f t="shared" si="46"/>
        <v>1</v>
      </c>
      <c r="R456">
        <f t="shared" si="47"/>
        <v>3</v>
      </c>
    </row>
    <row r="457" spans="1:18" x14ac:dyDescent="0.25">
      <c r="A457">
        <f>Raw_data!A457</f>
        <v>456</v>
      </c>
      <c r="B457" t="str">
        <f>Raw_data!B457</f>
        <v>C4766</v>
      </c>
      <c r="C457" t="str">
        <f>Raw_data!C457</f>
        <v>R2520</v>
      </c>
      <c r="D457" s="3">
        <f>Raw_data!D457</f>
        <v>45299.727881944447</v>
      </c>
      <c r="E457" s="3">
        <f>Raw_data!E457</f>
        <v>45299.764687499999</v>
      </c>
      <c r="F457" s="4">
        <f t="shared" si="42"/>
        <v>3.6805555551836733E-2</v>
      </c>
      <c r="G457" s="6">
        <f>Raw_data!F457</f>
        <v>865</v>
      </c>
      <c r="H457" s="6">
        <f>Raw_data!G457</f>
        <v>0</v>
      </c>
      <c r="I457" t="str">
        <f>Raw_data!H457</f>
        <v>Cash on Delivery</v>
      </c>
      <c r="J457" s="7" t="str">
        <f>IF(Raw_data!I457=0.1,"10%",Raw_data!I457)</f>
        <v>10%</v>
      </c>
      <c r="K457" s="6">
        <f>Raw_data!J457</f>
        <v>59</v>
      </c>
      <c r="L457" s="6">
        <f>Raw_data!K457</f>
        <v>44</v>
      </c>
      <c r="M457" s="6">
        <f>Raw_data!L457</f>
        <v>0</v>
      </c>
      <c r="N457" s="6">
        <f t="shared" si="43"/>
        <v>762</v>
      </c>
      <c r="O457" s="6">
        <f t="shared" si="44"/>
        <v>103</v>
      </c>
      <c r="P457" s="6">
        <f t="shared" si="45"/>
        <v>865</v>
      </c>
      <c r="Q457">
        <f t="shared" si="46"/>
        <v>1</v>
      </c>
      <c r="R457">
        <f t="shared" si="47"/>
        <v>4</v>
      </c>
    </row>
    <row r="458" spans="1:18" x14ac:dyDescent="0.25">
      <c r="A458">
        <f>Raw_data!A458</f>
        <v>457</v>
      </c>
      <c r="B458" t="str">
        <f>Raw_data!B458</f>
        <v>C6644</v>
      </c>
      <c r="C458" t="str">
        <f>Raw_data!C458</f>
        <v>R2098</v>
      </c>
      <c r="D458" s="3">
        <f>Raw_data!D458</f>
        <v>45325.311539351853</v>
      </c>
      <c r="E458" s="3">
        <f>Raw_data!E458</f>
        <v>45325.391400462962</v>
      </c>
      <c r="F458" s="4">
        <f t="shared" si="42"/>
        <v>7.9861111109494232E-2</v>
      </c>
      <c r="G458" s="6">
        <f>Raw_data!F458</f>
        <v>824</v>
      </c>
      <c r="H458" s="6">
        <f>Raw_data!G458</f>
        <v>40</v>
      </c>
      <c r="I458" t="str">
        <f>Raw_data!H458</f>
        <v>Cash on Delivery</v>
      </c>
      <c r="J458" s="7" t="str">
        <f>IF(Raw_data!I458=0.1,"10%",Raw_data!I458)</f>
        <v>15% New User</v>
      </c>
      <c r="K458" s="6">
        <f>Raw_data!J458</f>
        <v>141</v>
      </c>
      <c r="L458" s="6">
        <f>Raw_data!K458</f>
        <v>50</v>
      </c>
      <c r="M458" s="6">
        <f>Raw_data!L458</f>
        <v>100</v>
      </c>
      <c r="N458" s="6">
        <f t="shared" si="43"/>
        <v>633</v>
      </c>
      <c r="O458" s="6">
        <f t="shared" si="44"/>
        <v>91</v>
      </c>
      <c r="P458" s="6">
        <f t="shared" si="45"/>
        <v>864</v>
      </c>
      <c r="Q458">
        <f t="shared" si="46"/>
        <v>1</v>
      </c>
      <c r="R458">
        <f t="shared" si="47"/>
        <v>2</v>
      </c>
    </row>
    <row r="459" spans="1:18" x14ac:dyDescent="0.25">
      <c r="A459">
        <f>Raw_data!A459</f>
        <v>458</v>
      </c>
      <c r="B459" t="str">
        <f>Raw_data!B459</f>
        <v>C3914</v>
      </c>
      <c r="C459" t="str">
        <f>Raw_data!C459</f>
        <v>R2019</v>
      </c>
      <c r="D459" s="3">
        <f>Raw_data!D459</f>
        <v>45295.325381944444</v>
      </c>
      <c r="E459" s="3">
        <f>Raw_data!E459</f>
        <v>45295.394131944442</v>
      </c>
      <c r="F459" s="4">
        <f t="shared" si="42"/>
        <v>6.8749999998544808E-2</v>
      </c>
      <c r="G459" s="6">
        <f>Raw_data!F459</f>
        <v>861</v>
      </c>
      <c r="H459" s="6">
        <f>Raw_data!G459</f>
        <v>30</v>
      </c>
      <c r="I459" t="str">
        <f>Raw_data!H459</f>
        <v>Digital Wallet</v>
      </c>
      <c r="J459" s="7" t="str">
        <f>IF(Raw_data!I459=0.1,"10%",Raw_data!I459)</f>
        <v>5% on App</v>
      </c>
      <c r="K459" s="6">
        <f>Raw_data!J459</f>
        <v>188</v>
      </c>
      <c r="L459" s="6">
        <f>Raw_data!K459</f>
        <v>47</v>
      </c>
      <c r="M459" s="6">
        <f>Raw_data!L459</f>
        <v>0</v>
      </c>
      <c r="N459" s="6">
        <f t="shared" si="43"/>
        <v>626</v>
      </c>
      <c r="O459" s="6">
        <f t="shared" si="44"/>
        <v>235</v>
      </c>
      <c r="P459" s="6">
        <f t="shared" si="45"/>
        <v>891</v>
      </c>
      <c r="Q459">
        <f t="shared" si="46"/>
        <v>1</v>
      </c>
      <c r="R459">
        <f t="shared" si="47"/>
        <v>1</v>
      </c>
    </row>
    <row r="460" spans="1:18" x14ac:dyDescent="0.25">
      <c r="A460">
        <f>Raw_data!A460</f>
        <v>459</v>
      </c>
      <c r="B460" t="str">
        <f>Raw_data!B460</f>
        <v>C5968</v>
      </c>
      <c r="C460" t="str">
        <f>Raw_data!C460</f>
        <v>R2889</v>
      </c>
      <c r="D460" s="3">
        <f>Raw_data!D460</f>
        <v>45293.012361111112</v>
      </c>
      <c r="E460" s="3">
        <f>Raw_data!E460</f>
        <v>45293.093611111108</v>
      </c>
      <c r="F460" s="4">
        <f t="shared" si="42"/>
        <v>8.1249999995634425E-2</v>
      </c>
      <c r="G460" s="6">
        <f>Raw_data!F460</f>
        <v>1719</v>
      </c>
      <c r="H460" s="6">
        <f>Raw_data!G460</f>
        <v>20</v>
      </c>
      <c r="I460" t="str">
        <f>Raw_data!H460</f>
        <v>Cash on Delivery</v>
      </c>
      <c r="J460" s="7" t="str">
        <f>IF(Raw_data!I460=0.1,"10%",Raw_data!I460)</f>
        <v>10%</v>
      </c>
      <c r="K460" s="6">
        <f>Raw_data!J460</f>
        <v>126</v>
      </c>
      <c r="L460" s="6">
        <f>Raw_data!K460</f>
        <v>31</v>
      </c>
      <c r="M460" s="6">
        <f>Raw_data!L460</f>
        <v>0</v>
      </c>
      <c r="N460" s="6">
        <f t="shared" si="43"/>
        <v>1562</v>
      </c>
      <c r="O460" s="6">
        <f t="shared" si="44"/>
        <v>157</v>
      </c>
      <c r="P460" s="6">
        <f t="shared" si="45"/>
        <v>1739</v>
      </c>
      <c r="Q460">
        <f t="shared" si="46"/>
        <v>1</v>
      </c>
      <c r="R460">
        <f t="shared" si="47"/>
        <v>1</v>
      </c>
    </row>
    <row r="461" spans="1:18" x14ac:dyDescent="0.25">
      <c r="A461">
        <f>Raw_data!A461</f>
        <v>460</v>
      </c>
      <c r="B461" t="str">
        <f>Raw_data!B461</f>
        <v>C6917</v>
      </c>
      <c r="C461" t="str">
        <f>Raw_data!C461</f>
        <v>R2752</v>
      </c>
      <c r="D461" s="3">
        <f>Raw_data!D461</f>
        <v>45328.809282407405</v>
      </c>
      <c r="E461" s="3">
        <f>Raw_data!E461</f>
        <v>45328.889837962961</v>
      </c>
      <c r="F461" s="4">
        <f t="shared" si="42"/>
        <v>8.0555555556202307E-2</v>
      </c>
      <c r="G461" s="6">
        <f>Raw_data!F461</f>
        <v>1610</v>
      </c>
      <c r="H461" s="6">
        <f>Raw_data!G461</f>
        <v>40</v>
      </c>
      <c r="I461" t="str">
        <f>Raw_data!H461</f>
        <v>Cash on Delivery</v>
      </c>
      <c r="J461" s="7" t="str">
        <f>IF(Raw_data!I461=0.1,"10%",Raw_data!I461)</f>
        <v>15% New User</v>
      </c>
      <c r="K461" s="6">
        <f>Raw_data!J461</f>
        <v>150</v>
      </c>
      <c r="L461" s="6">
        <f>Raw_data!K461</f>
        <v>36</v>
      </c>
      <c r="M461" s="6">
        <f>Raw_data!L461</f>
        <v>150</v>
      </c>
      <c r="N461" s="6">
        <f t="shared" si="43"/>
        <v>1424</v>
      </c>
      <c r="O461" s="6">
        <f t="shared" si="44"/>
        <v>36</v>
      </c>
      <c r="P461" s="6">
        <f t="shared" si="45"/>
        <v>1650</v>
      </c>
      <c r="Q461">
        <f t="shared" si="46"/>
        <v>1</v>
      </c>
      <c r="R461">
        <f t="shared" si="47"/>
        <v>2</v>
      </c>
    </row>
    <row r="462" spans="1:18" x14ac:dyDescent="0.25">
      <c r="A462">
        <f>Raw_data!A462</f>
        <v>461</v>
      </c>
      <c r="B462" t="str">
        <f>Raw_data!B462</f>
        <v>C9787</v>
      </c>
      <c r="C462" t="str">
        <f>Raw_data!C462</f>
        <v>R2572</v>
      </c>
      <c r="D462" s="3">
        <f>Raw_data!D462</f>
        <v>45315.646261574075</v>
      </c>
      <c r="E462" s="3">
        <f>Raw_data!E462</f>
        <v>45315.703900462962</v>
      </c>
      <c r="F462" s="4">
        <f t="shared" si="42"/>
        <v>5.7638888887595385E-2</v>
      </c>
      <c r="G462" s="6">
        <f>Raw_data!F462</f>
        <v>482</v>
      </c>
      <c r="H462" s="6">
        <f>Raw_data!G462</f>
        <v>0</v>
      </c>
      <c r="I462" t="str">
        <f>Raw_data!H462</f>
        <v>Credit Card</v>
      </c>
      <c r="J462" s="7" t="str">
        <f>IF(Raw_data!I462=0.1,"10%",Raw_data!I462)</f>
        <v>None</v>
      </c>
      <c r="K462" s="6">
        <f>Raw_data!J462</f>
        <v>133</v>
      </c>
      <c r="L462" s="6">
        <f>Raw_data!K462</f>
        <v>46</v>
      </c>
      <c r="M462" s="6">
        <f>Raw_data!L462</f>
        <v>100</v>
      </c>
      <c r="N462" s="6">
        <f t="shared" si="43"/>
        <v>303</v>
      </c>
      <c r="O462" s="6">
        <f t="shared" si="44"/>
        <v>79</v>
      </c>
      <c r="P462" s="6">
        <f t="shared" si="45"/>
        <v>482</v>
      </c>
      <c r="Q462">
        <f t="shared" si="46"/>
        <v>1</v>
      </c>
      <c r="R462">
        <f t="shared" si="47"/>
        <v>1</v>
      </c>
    </row>
    <row r="463" spans="1:18" x14ac:dyDescent="0.25">
      <c r="A463">
        <f>Raw_data!A463</f>
        <v>462</v>
      </c>
      <c r="B463" t="str">
        <f>Raw_data!B463</f>
        <v>C1728</v>
      </c>
      <c r="C463" t="str">
        <f>Raw_data!C463</f>
        <v>R2890</v>
      </c>
      <c r="D463" s="3">
        <f>Raw_data!D463</f>
        <v>45294.218784722223</v>
      </c>
      <c r="E463" s="3">
        <f>Raw_data!E463</f>
        <v>45294.2653125</v>
      </c>
      <c r="F463" s="4">
        <f t="shared" si="42"/>
        <v>4.6527777776645962E-2</v>
      </c>
      <c r="G463" s="6">
        <f>Raw_data!F463</f>
        <v>1529</v>
      </c>
      <c r="H463" s="6">
        <f>Raw_data!G463</f>
        <v>20</v>
      </c>
      <c r="I463" t="str">
        <f>Raw_data!H463</f>
        <v>Cash on Delivery</v>
      </c>
      <c r="J463" s="7" t="str">
        <f>IF(Raw_data!I463=0.1,"10%",Raw_data!I463)</f>
        <v>15% New User</v>
      </c>
      <c r="K463" s="6">
        <f>Raw_data!J463</f>
        <v>101</v>
      </c>
      <c r="L463" s="6">
        <f>Raw_data!K463</f>
        <v>44</v>
      </c>
      <c r="M463" s="6">
        <f>Raw_data!L463</f>
        <v>100</v>
      </c>
      <c r="N463" s="6">
        <f t="shared" si="43"/>
        <v>1384</v>
      </c>
      <c r="O463" s="6">
        <f t="shared" si="44"/>
        <v>45</v>
      </c>
      <c r="P463" s="6">
        <f t="shared" si="45"/>
        <v>1549</v>
      </c>
      <c r="Q463">
        <f t="shared" si="46"/>
        <v>2</v>
      </c>
      <c r="R463">
        <f t="shared" si="47"/>
        <v>3</v>
      </c>
    </row>
    <row r="464" spans="1:18" x14ac:dyDescent="0.25">
      <c r="A464">
        <f>Raw_data!A464</f>
        <v>463</v>
      </c>
      <c r="B464" t="str">
        <f>Raw_data!B464</f>
        <v>C2365</v>
      </c>
      <c r="C464" t="str">
        <f>Raw_data!C464</f>
        <v>R2489</v>
      </c>
      <c r="D464" s="3">
        <f>Raw_data!D464</f>
        <v>45304.657511574071</v>
      </c>
      <c r="E464" s="3">
        <f>Raw_data!E464</f>
        <v>45304.729039351849</v>
      </c>
      <c r="F464" s="4">
        <f t="shared" si="42"/>
        <v>7.1527777778101154E-2</v>
      </c>
      <c r="G464" s="6">
        <f>Raw_data!F464</f>
        <v>487</v>
      </c>
      <c r="H464" s="6">
        <f>Raw_data!G464</f>
        <v>0</v>
      </c>
      <c r="I464" t="str">
        <f>Raw_data!H464</f>
        <v>Cash on Delivery</v>
      </c>
      <c r="J464" s="7" t="str">
        <f>IF(Raw_data!I464=0.1,"10%",Raw_data!I464)</f>
        <v>15% New User</v>
      </c>
      <c r="K464" s="6">
        <f>Raw_data!J464</f>
        <v>80</v>
      </c>
      <c r="L464" s="6">
        <f>Raw_data!K464</f>
        <v>13</v>
      </c>
      <c r="M464" s="6">
        <f>Raw_data!L464</f>
        <v>50</v>
      </c>
      <c r="N464" s="6">
        <f t="shared" si="43"/>
        <v>394</v>
      </c>
      <c r="O464" s="6">
        <f t="shared" si="44"/>
        <v>43</v>
      </c>
      <c r="P464" s="6">
        <f t="shared" si="45"/>
        <v>487</v>
      </c>
      <c r="Q464">
        <f t="shared" si="46"/>
        <v>2</v>
      </c>
      <c r="R464">
        <f t="shared" si="47"/>
        <v>2</v>
      </c>
    </row>
    <row r="465" spans="1:18" x14ac:dyDescent="0.25">
      <c r="A465">
        <f>Raw_data!A465</f>
        <v>464</v>
      </c>
      <c r="B465" t="str">
        <f>Raw_data!B465</f>
        <v>C5492</v>
      </c>
      <c r="C465" t="str">
        <f>Raw_data!C465</f>
        <v>R2418</v>
      </c>
      <c r="D465" s="3">
        <f>Raw_data!D465</f>
        <v>45327.738668981481</v>
      </c>
      <c r="E465" s="3">
        <f>Raw_data!E465</f>
        <v>45327.814363425925</v>
      </c>
      <c r="F465" s="4">
        <f t="shared" si="42"/>
        <v>7.5694444443797693E-2</v>
      </c>
      <c r="G465" s="6">
        <f>Raw_data!F465</f>
        <v>624</v>
      </c>
      <c r="H465" s="6">
        <f>Raw_data!G465</f>
        <v>50</v>
      </c>
      <c r="I465" t="str">
        <f>Raw_data!H465</f>
        <v>Credit Card</v>
      </c>
      <c r="J465" s="7" t="str">
        <f>IF(Raw_data!I465=0.1,"10%",Raw_data!I465)</f>
        <v>50 off Promo</v>
      </c>
      <c r="K465" s="6">
        <f>Raw_data!J465</f>
        <v>194</v>
      </c>
      <c r="L465" s="6">
        <f>Raw_data!K465</f>
        <v>25</v>
      </c>
      <c r="M465" s="6">
        <f>Raw_data!L465</f>
        <v>0</v>
      </c>
      <c r="N465" s="6">
        <f t="shared" si="43"/>
        <v>405</v>
      </c>
      <c r="O465" s="6">
        <f t="shared" si="44"/>
        <v>219</v>
      </c>
      <c r="P465" s="6">
        <f t="shared" si="45"/>
        <v>674</v>
      </c>
      <c r="Q465">
        <f t="shared" si="46"/>
        <v>1</v>
      </c>
      <c r="R465">
        <f t="shared" si="47"/>
        <v>1</v>
      </c>
    </row>
    <row r="466" spans="1:18" x14ac:dyDescent="0.25">
      <c r="A466">
        <f>Raw_data!A466</f>
        <v>465</v>
      </c>
      <c r="B466" t="str">
        <f>Raw_data!B466</f>
        <v>C1698</v>
      </c>
      <c r="C466" t="str">
        <f>Raw_data!C466</f>
        <v>R2689</v>
      </c>
      <c r="D466" s="3">
        <f>Raw_data!D466</f>
        <v>45304.991168981483</v>
      </c>
      <c r="E466" s="3">
        <f>Raw_data!E466</f>
        <v>45305.063391203701</v>
      </c>
      <c r="F466" s="4">
        <f t="shared" si="42"/>
        <v>7.2222222217533272E-2</v>
      </c>
      <c r="G466" s="6">
        <f>Raw_data!F466</f>
        <v>1680</v>
      </c>
      <c r="H466" s="6">
        <f>Raw_data!G466</f>
        <v>30</v>
      </c>
      <c r="I466" t="str">
        <f>Raw_data!H466</f>
        <v>Credit Card</v>
      </c>
      <c r="J466" s="7" t="str">
        <f>IF(Raw_data!I466=0.1,"10%",Raw_data!I466)</f>
        <v>10%</v>
      </c>
      <c r="K466" s="6">
        <f>Raw_data!J466</f>
        <v>159</v>
      </c>
      <c r="L466" s="6">
        <f>Raw_data!K466</f>
        <v>25</v>
      </c>
      <c r="M466" s="6">
        <f>Raw_data!L466</f>
        <v>150</v>
      </c>
      <c r="N466" s="6">
        <f t="shared" si="43"/>
        <v>1496</v>
      </c>
      <c r="O466" s="6">
        <f t="shared" si="44"/>
        <v>34</v>
      </c>
      <c r="P466" s="6">
        <f t="shared" si="45"/>
        <v>1710</v>
      </c>
      <c r="Q466">
        <f t="shared" si="46"/>
        <v>2</v>
      </c>
      <c r="R466">
        <f t="shared" si="47"/>
        <v>2</v>
      </c>
    </row>
    <row r="467" spans="1:18" x14ac:dyDescent="0.25">
      <c r="A467">
        <f>Raw_data!A467</f>
        <v>466</v>
      </c>
      <c r="B467" t="str">
        <f>Raw_data!B467</f>
        <v>C8186</v>
      </c>
      <c r="C467" t="str">
        <f>Raw_data!C467</f>
        <v>R2849</v>
      </c>
      <c r="D467" s="3">
        <f>Raw_data!D467</f>
        <v>45324.46298611111</v>
      </c>
      <c r="E467" s="3">
        <f>Raw_data!E467</f>
        <v>45324.505347222221</v>
      </c>
      <c r="F467" s="4">
        <f t="shared" si="42"/>
        <v>4.2361111110949423E-2</v>
      </c>
      <c r="G467" s="6">
        <f>Raw_data!F467</f>
        <v>738</v>
      </c>
      <c r="H467" s="6">
        <f>Raw_data!G467</f>
        <v>50</v>
      </c>
      <c r="I467" t="str">
        <f>Raw_data!H467</f>
        <v>Digital Wallet</v>
      </c>
      <c r="J467" s="7" t="str">
        <f>IF(Raw_data!I467=0.1,"10%",Raw_data!I467)</f>
        <v>5% on App</v>
      </c>
      <c r="K467" s="6">
        <f>Raw_data!J467</f>
        <v>142</v>
      </c>
      <c r="L467" s="6">
        <f>Raw_data!K467</f>
        <v>30</v>
      </c>
      <c r="M467" s="6">
        <f>Raw_data!L467</f>
        <v>0</v>
      </c>
      <c r="N467" s="6">
        <f t="shared" si="43"/>
        <v>566</v>
      </c>
      <c r="O467" s="6">
        <f t="shared" si="44"/>
        <v>172</v>
      </c>
      <c r="P467" s="6">
        <f t="shared" si="45"/>
        <v>788</v>
      </c>
      <c r="Q467">
        <f t="shared" si="46"/>
        <v>2</v>
      </c>
      <c r="R467">
        <f t="shared" si="47"/>
        <v>1</v>
      </c>
    </row>
    <row r="468" spans="1:18" x14ac:dyDescent="0.25">
      <c r="A468">
        <f>Raw_data!A468</f>
        <v>467</v>
      </c>
      <c r="B468" t="str">
        <f>Raw_data!B468</f>
        <v>C1395</v>
      </c>
      <c r="C468" t="str">
        <f>Raw_data!C468</f>
        <v>R2061</v>
      </c>
      <c r="D468" s="3">
        <f>Raw_data!D468</f>
        <v>45295.401550925926</v>
      </c>
      <c r="E468" s="3">
        <f>Raw_data!E468</f>
        <v>45295.452939814815</v>
      </c>
      <c r="F468" s="4">
        <f t="shared" si="42"/>
        <v>5.1388888889050577E-2</v>
      </c>
      <c r="G468" s="6">
        <f>Raw_data!F468</f>
        <v>1037</v>
      </c>
      <c r="H468" s="6">
        <f>Raw_data!G468</f>
        <v>30</v>
      </c>
      <c r="I468" t="str">
        <f>Raw_data!H468</f>
        <v>Cash on Delivery</v>
      </c>
      <c r="J468" s="7" t="str">
        <f>IF(Raw_data!I468=0.1,"10%",Raw_data!I468)</f>
        <v>5% on App</v>
      </c>
      <c r="K468" s="6">
        <f>Raw_data!J468</f>
        <v>102</v>
      </c>
      <c r="L468" s="6">
        <f>Raw_data!K468</f>
        <v>35</v>
      </c>
      <c r="M468" s="6">
        <f>Raw_data!L468</f>
        <v>0</v>
      </c>
      <c r="N468" s="6">
        <f t="shared" si="43"/>
        <v>900</v>
      </c>
      <c r="O468" s="6">
        <f t="shared" si="44"/>
        <v>137</v>
      </c>
      <c r="P468" s="6">
        <f t="shared" si="45"/>
        <v>1067</v>
      </c>
      <c r="Q468">
        <f t="shared" si="46"/>
        <v>1</v>
      </c>
      <c r="R468">
        <f t="shared" si="47"/>
        <v>2</v>
      </c>
    </row>
    <row r="469" spans="1:18" x14ac:dyDescent="0.25">
      <c r="A469">
        <f>Raw_data!A469</f>
        <v>468</v>
      </c>
      <c r="B469" t="str">
        <f>Raw_data!B469</f>
        <v>C8400</v>
      </c>
      <c r="C469" t="str">
        <f>Raw_data!C469</f>
        <v>R2144</v>
      </c>
      <c r="D469" s="3">
        <f>Raw_data!D469</f>
        <v>45310.672743055555</v>
      </c>
      <c r="E469" s="3">
        <f>Raw_data!E469</f>
        <v>45310.735243055555</v>
      </c>
      <c r="F469" s="4">
        <f t="shared" si="42"/>
        <v>6.25E-2</v>
      </c>
      <c r="G469" s="6">
        <f>Raw_data!F469</f>
        <v>1749</v>
      </c>
      <c r="H469" s="6">
        <f>Raw_data!G469</f>
        <v>40</v>
      </c>
      <c r="I469" t="str">
        <f>Raw_data!H469</f>
        <v>Digital Wallet</v>
      </c>
      <c r="J469" s="7" t="str">
        <f>IF(Raw_data!I469=0.1,"10%",Raw_data!I469)</f>
        <v>50 off Promo</v>
      </c>
      <c r="K469" s="6">
        <f>Raw_data!J469</f>
        <v>194</v>
      </c>
      <c r="L469" s="6">
        <f>Raw_data!K469</f>
        <v>45</v>
      </c>
      <c r="M469" s="6">
        <f>Raw_data!L469</f>
        <v>100</v>
      </c>
      <c r="N469" s="6">
        <f t="shared" si="43"/>
        <v>1510</v>
      </c>
      <c r="O469" s="6">
        <f t="shared" si="44"/>
        <v>139</v>
      </c>
      <c r="P469" s="6">
        <f t="shared" si="45"/>
        <v>1789</v>
      </c>
      <c r="Q469">
        <f t="shared" si="46"/>
        <v>2</v>
      </c>
      <c r="R469">
        <f t="shared" si="47"/>
        <v>2</v>
      </c>
    </row>
    <row r="470" spans="1:18" x14ac:dyDescent="0.25">
      <c r="A470">
        <f>Raw_data!A470</f>
        <v>469</v>
      </c>
      <c r="B470" t="str">
        <f>Raw_data!B470</f>
        <v>C9082</v>
      </c>
      <c r="C470" t="str">
        <f>Raw_data!C470</f>
        <v>R2215</v>
      </c>
      <c r="D470" s="3">
        <f>Raw_data!D470</f>
        <v>45305.041643518518</v>
      </c>
      <c r="E470" s="3">
        <f>Raw_data!E470</f>
        <v>45305.110393518517</v>
      </c>
      <c r="F470" s="4">
        <f t="shared" si="42"/>
        <v>6.8749999998544808E-2</v>
      </c>
      <c r="G470" s="6">
        <f>Raw_data!F470</f>
        <v>375</v>
      </c>
      <c r="H470" s="6">
        <f>Raw_data!G470</f>
        <v>20</v>
      </c>
      <c r="I470" t="str">
        <f>Raw_data!H470</f>
        <v>Digital Wallet</v>
      </c>
      <c r="J470" s="7" t="str">
        <f>IF(Raw_data!I470=0.1,"10%",Raw_data!I470)</f>
        <v>5% on App</v>
      </c>
      <c r="K470" s="6">
        <f>Raw_data!J470</f>
        <v>135</v>
      </c>
      <c r="L470" s="6">
        <f>Raw_data!K470</f>
        <v>28</v>
      </c>
      <c r="M470" s="6">
        <f>Raw_data!L470</f>
        <v>0</v>
      </c>
      <c r="N470" s="6">
        <f t="shared" si="43"/>
        <v>212</v>
      </c>
      <c r="O470" s="6">
        <f t="shared" si="44"/>
        <v>163</v>
      </c>
      <c r="P470" s="6">
        <f t="shared" si="45"/>
        <v>395</v>
      </c>
      <c r="Q470">
        <f t="shared" si="46"/>
        <v>1</v>
      </c>
      <c r="R470">
        <f t="shared" si="47"/>
        <v>3</v>
      </c>
    </row>
    <row r="471" spans="1:18" x14ac:dyDescent="0.25">
      <c r="A471">
        <f>Raw_data!A471</f>
        <v>470</v>
      </c>
      <c r="B471" t="str">
        <f>Raw_data!B471</f>
        <v>C5171</v>
      </c>
      <c r="C471" t="str">
        <f>Raw_data!C471</f>
        <v>R2002</v>
      </c>
      <c r="D471" s="3">
        <f>Raw_data!D471</f>
        <v>45323.63726851852</v>
      </c>
      <c r="E471" s="3">
        <f>Raw_data!E471</f>
        <v>45323.718518518515</v>
      </c>
      <c r="F471" s="4">
        <f t="shared" si="42"/>
        <v>8.1249999995634425E-2</v>
      </c>
      <c r="G471" s="6">
        <f>Raw_data!F471</f>
        <v>599</v>
      </c>
      <c r="H471" s="6">
        <f>Raw_data!G471</f>
        <v>40</v>
      </c>
      <c r="I471" t="str">
        <f>Raw_data!H471</f>
        <v>Credit Card</v>
      </c>
      <c r="J471" s="7" t="str">
        <f>IF(Raw_data!I471=0.1,"10%",Raw_data!I471)</f>
        <v>15% New User</v>
      </c>
      <c r="K471" s="6">
        <f>Raw_data!J471</f>
        <v>51</v>
      </c>
      <c r="L471" s="6">
        <f>Raw_data!K471</f>
        <v>26</v>
      </c>
      <c r="M471" s="6">
        <f>Raw_data!L471</f>
        <v>50</v>
      </c>
      <c r="N471" s="6">
        <f t="shared" si="43"/>
        <v>522</v>
      </c>
      <c r="O471" s="6">
        <f t="shared" si="44"/>
        <v>27</v>
      </c>
      <c r="P471" s="6">
        <f t="shared" si="45"/>
        <v>639</v>
      </c>
      <c r="Q471">
        <f t="shared" si="46"/>
        <v>1</v>
      </c>
      <c r="R471">
        <f t="shared" si="47"/>
        <v>2</v>
      </c>
    </row>
    <row r="472" spans="1:18" x14ac:dyDescent="0.25">
      <c r="A472">
        <f>Raw_data!A472</f>
        <v>471</v>
      </c>
      <c r="B472" t="str">
        <f>Raw_data!B472</f>
        <v>C5360</v>
      </c>
      <c r="C472" t="str">
        <f>Raw_data!C472</f>
        <v>R2159</v>
      </c>
      <c r="D472" s="3">
        <f>Raw_data!D472</f>
        <v>45313.518912037034</v>
      </c>
      <c r="E472" s="3">
        <f>Raw_data!E472</f>
        <v>45313.575856481482</v>
      </c>
      <c r="F472" s="4">
        <f t="shared" si="42"/>
        <v>5.6944444448163267E-2</v>
      </c>
      <c r="G472" s="6">
        <f>Raw_data!F472</f>
        <v>816</v>
      </c>
      <c r="H472" s="6">
        <f>Raw_data!G472</f>
        <v>30</v>
      </c>
      <c r="I472" t="str">
        <f>Raw_data!H472</f>
        <v>Digital Wallet</v>
      </c>
      <c r="J472" s="7" t="str">
        <f>IF(Raw_data!I472=0.1,"10%",Raw_data!I472)</f>
        <v>50 off Promo</v>
      </c>
      <c r="K472" s="6">
        <f>Raw_data!J472</f>
        <v>135</v>
      </c>
      <c r="L472" s="6">
        <f>Raw_data!K472</f>
        <v>35</v>
      </c>
      <c r="M472" s="6">
        <f>Raw_data!L472</f>
        <v>100</v>
      </c>
      <c r="N472" s="6">
        <f t="shared" si="43"/>
        <v>646</v>
      </c>
      <c r="O472" s="6">
        <f t="shared" si="44"/>
        <v>70</v>
      </c>
      <c r="P472" s="6">
        <f t="shared" si="45"/>
        <v>846</v>
      </c>
      <c r="Q472">
        <f t="shared" si="46"/>
        <v>1</v>
      </c>
      <c r="R472">
        <f t="shared" si="47"/>
        <v>1</v>
      </c>
    </row>
    <row r="473" spans="1:18" x14ac:dyDescent="0.25">
      <c r="A473">
        <f>Raw_data!A473</f>
        <v>472</v>
      </c>
      <c r="B473" t="str">
        <f>Raw_data!B473</f>
        <v>C3502</v>
      </c>
      <c r="C473" t="str">
        <f>Raw_data!C473</f>
        <v>R2738</v>
      </c>
      <c r="D473" s="3">
        <f>Raw_data!D473</f>
        <v>45325.452604166669</v>
      </c>
      <c r="E473" s="3">
        <f>Raw_data!E473</f>
        <v>45325.508159722223</v>
      </c>
      <c r="F473" s="4">
        <f t="shared" si="42"/>
        <v>5.5555555554747116E-2</v>
      </c>
      <c r="G473" s="6">
        <f>Raw_data!F473</f>
        <v>436</v>
      </c>
      <c r="H473" s="6">
        <f>Raw_data!G473</f>
        <v>30</v>
      </c>
      <c r="I473" t="str">
        <f>Raw_data!H473</f>
        <v>Cash on Delivery</v>
      </c>
      <c r="J473" s="7" t="str">
        <f>IF(Raw_data!I473=0.1,"10%",Raw_data!I473)</f>
        <v>None</v>
      </c>
      <c r="K473" s="6">
        <f>Raw_data!J473</f>
        <v>182</v>
      </c>
      <c r="L473" s="6">
        <f>Raw_data!K473</f>
        <v>31</v>
      </c>
      <c r="M473" s="6">
        <f>Raw_data!L473</f>
        <v>0</v>
      </c>
      <c r="N473" s="6">
        <f t="shared" si="43"/>
        <v>223</v>
      </c>
      <c r="O473" s="6">
        <f t="shared" si="44"/>
        <v>213</v>
      </c>
      <c r="P473" s="6">
        <f t="shared" si="45"/>
        <v>466</v>
      </c>
      <c r="Q473">
        <f t="shared" si="46"/>
        <v>1</v>
      </c>
      <c r="R473">
        <f t="shared" si="47"/>
        <v>4</v>
      </c>
    </row>
    <row r="474" spans="1:18" x14ac:dyDescent="0.25">
      <c r="A474">
        <f>Raw_data!A474</f>
        <v>473</v>
      </c>
      <c r="B474" t="str">
        <f>Raw_data!B474</f>
        <v>C1717</v>
      </c>
      <c r="C474" t="str">
        <f>Raw_data!C474</f>
        <v>R2997</v>
      </c>
      <c r="D474" s="3">
        <f>Raw_data!D474</f>
        <v>45315.405486111114</v>
      </c>
      <c r="E474" s="3">
        <f>Raw_data!E474</f>
        <v>45315.478402777779</v>
      </c>
      <c r="F474" s="4">
        <f t="shared" si="42"/>
        <v>7.2916666664241347E-2</v>
      </c>
      <c r="G474" s="6">
        <f>Raw_data!F474</f>
        <v>1031</v>
      </c>
      <c r="H474" s="6">
        <f>Raw_data!G474</f>
        <v>30</v>
      </c>
      <c r="I474" t="str">
        <f>Raw_data!H474</f>
        <v>Credit Card</v>
      </c>
      <c r="J474" s="7" t="str">
        <f>IF(Raw_data!I474=0.1,"10%",Raw_data!I474)</f>
        <v>10%</v>
      </c>
      <c r="K474" s="6">
        <f>Raw_data!J474</f>
        <v>53</v>
      </c>
      <c r="L474" s="6">
        <f>Raw_data!K474</f>
        <v>37</v>
      </c>
      <c r="M474" s="6">
        <f>Raw_data!L474</f>
        <v>0</v>
      </c>
      <c r="N474" s="6">
        <f t="shared" si="43"/>
        <v>941</v>
      </c>
      <c r="O474" s="6">
        <f t="shared" si="44"/>
        <v>90</v>
      </c>
      <c r="P474" s="6">
        <f t="shared" si="45"/>
        <v>1061</v>
      </c>
      <c r="Q474">
        <f t="shared" si="46"/>
        <v>1</v>
      </c>
      <c r="R474">
        <f t="shared" si="47"/>
        <v>2</v>
      </c>
    </row>
    <row r="475" spans="1:18" x14ac:dyDescent="0.25">
      <c r="A475">
        <f>Raw_data!A475</f>
        <v>474</v>
      </c>
      <c r="B475" t="str">
        <f>Raw_data!B475</f>
        <v>C3782</v>
      </c>
      <c r="C475" t="str">
        <f>Raw_data!C475</f>
        <v>R2780</v>
      </c>
      <c r="D475" s="3">
        <f>Raw_data!D475</f>
        <v>45322.579270833332</v>
      </c>
      <c r="E475" s="3">
        <f>Raw_data!E475</f>
        <v>45322.638298611113</v>
      </c>
      <c r="F475" s="4">
        <f t="shared" si="42"/>
        <v>5.9027777781011537E-2</v>
      </c>
      <c r="G475" s="6">
        <f>Raw_data!F475</f>
        <v>580</v>
      </c>
      <c r="H475" s="6">
        <f>Raw_data!G475</f>
        <v>0</v>
      </c>
      <c r="I475" t="str">
        <f>Raw_data!H475</f>
        <v>Cash on Delivery</v>
      </c>
      <c r="J475" s="7" t="str">
        <f>IF(Raw_data!I475=0.1,"10%",Raw_data!I475)</f>
        <v>10%</v>
      </c>
      <c r="K475" s="6">
        <f>Raw_data!J475</f>
        <v>55</v>
      </c>
      <c r="L475" s="6">
        <f>Raw_data!K475</f>
        <v>10</v>
      </c>
      <c r="M475" s="6">
        <f>Raw_data!L475</f>
        <v>100</v>
      </c>
      <c r="N475" s="6">
        <f t="shared" si="43"/>
        <v>515</v>
      </c>
      <c r="O475" s="6">
        <f t="shared" si="44"/>
        <v>-35</v>
      </c>
      <c r="P475" s="6">
        <f t="shared" si="45"/>
        <v>580</v>
      </c>
      <c r="Q475">
        <f t="shared" si="46"/>
        <v>1</v>
      </c>
      <c r="R475">
        <f t="shared" si="47"/>
        <v>3</v>
      </c>
    </row>
    <row r="476" spans="1:18" x14ac:dyDescent="0.25">
      <c r="A476">
        <f>Raw_data!A476</f>
        <v>475</v>
      </c>
      <c r="B476" t="str">
        <f>Raw_data!B476</f>
        <v>C5946</v>
      </c>
      <c r="C476" t="str">
        <f>Raw_data!C476</f>
        <v>R2119</v>
      </c>
      <c r="D476" s="3">
        <f>Raw_data!D476</f>
        <v>45311.715011574073</v>
      </c>
      <c r="E476" s="3">
        <f>Raw_data!E476</f>
        <v>45311.753900462965</v>
      </c>
      <c r="F476" s="4">
        <f t="shared" si="42"/>
        <v>3.888888889196096E-2</v>
      </c>
      <c r="G476" s="6">
        <f>Raw_data!F476</f>
        <v>1010</v>
      </c>
      <c r="H476" s="6">
        <f>Raw_data!G476</f>
        <v>20</v>
      </c>
      <c r="I476" t="str">
        <f>Raw_data!H476</f>
        <v>Cash on Delivery</v>
      </c>
      <c r="J476" s="7" t="str">
        <f>IF(Raw_data!I476=0.1,"10%",Raw_data!I476)</f>
        <v>10%</v>
      </c>
      <c r="K476" s="6">
        <f>Raw_data!J476</f>
        <v>198</v>
      </c>
      <c r="L476" s="6">
        <f>Raw_data!K476</f>
        <v>45</v>
      </c>
      <c r="M476" s="6">
        <f>Raw_data!L476</f>
        <v>0</v>
      </c>
      <c r="N476" s="6">
        <f t="shared" si="43"/>
        <v>767</v>
      </c>
      <c r="O476" s="6">
        <f t="shared" si="44"/>
        <v>243</v>
      </c>
      <c r="P476" s="6">
        <f t="shared" si="45"/>
        <v>1030</v>
      </c>
      <c r="Q476">
        <f t="shared" si="46"/>
        <v>1</v>
      </c>
      <c r="R476">
        <f t="shared" si="47"/>
        <v>3</v>
      </c>
    </row>
    <row r="477" spans="1:18" x14ac:dyDescent="0.25">
      <c r="A477">
        <f>Raw_data!A477</f>
        <v>476</v>
      </c>
      <c r="B477" t="str">
        <f>Raw_data!B477</f>
        <v>C6486</v>
      </c>
      <c r="C477" t="str">
        <f>Raw_data!C477</f>
        <v>R2892</v>
      </c>
      <c r="D477" s="3">
        <f>Raw_data!D477</f>
        <v>45306.497187499997</v>
      </c>
      <c r="E477" s="3">
        <f>Raw_data!E477</f>
        <v>45306.543715277781</v>
      </c>
      <c r="F477" s="4">
        <f t="shared" si="42"/>
        <v>4.652777778392192E-2</v>
      </c>
      <c r="G477" s="6">
        <f>Raw_data!F477</f>
        <v>1396</v>
      </c>
      <c r="H477" s="6">
        <f>Raw_data!G477</f>
        <v>40</v>
      </c>
      <c r="I477" t="str">
        <f>Raw_data!H477</f>
        <v>Credit Card</v>
      </c>
      <c r="J477" s="7" t="str">
        <f>IF(Raw_data!I477=0.1,"10%",Raw_data!I477)</f>
        <v>15% New User</v>
      </c>
      <c r="K477" s="6">
        <f>Raw_data!J477</f>
        <v>167</v>
      </c>
      <c r="L477" s="6">
        <f>Raw_data!K477</f>
        <v>46</v>
      </c>
      <c r="M477" s="6">
        <f>Raw_data!L477</f>
        <v>0</v>
      </c>
      <c r="N477" s="6">
        <f t="shared" si="43"/>
        <v>1183</v>
      </c>
      <c r="O477" s="6">
        <f t="shared" si="44"/>
        <v>213</v>
      </c>
      <c r="P477" s="6">
        <f t="shared" si="45"/>
        <v>1436</v>
      </c>
      <c r="Q477">
        <f t="shared" si="46"/>
        <v>2</v>
      </c>
      <c r="R477">
        <f t="shared" si="47"/>
        <v>1</v>
      </c>
    </row>
    <row r="478" spans="1:18" x14ac:dyDescent="0.25">
      <c r="A478">
        <f>Raw_data!A478</f>
        <v>477</v>
      </c>
      <c r="B478" t="str">
        <f>Raw_data!B478</f>
        <v>C9335</v>
      </c>
      <c r="C478" t="str">
        <f>Raw_data!C478</f>
        <v>R2088</v>
      </c>
      <c r="D478" s="3">
        <f>Raw_data!D478</f>
        <v>45293.206145833334</v>
      </c>
      <c r="E478" s="3">
        <f>Raw_data!E478</f>
        <v>45293.26934027778</v>
      </c>
      <c r="F478" s="4">
        <f t="shared" si="42"/>
        <v>6.3194444446708076E-2</v>
      </c>
      <c r="G478" s="6">
        <f>Raw_data!F478</f>
        <v>1181</v>
      </c>
      <c r="H478" s="6">
        <f>Raw_data!G478</f>
        <v>40</v>
      </c>
      <c r="I478" t="str">
        <f>Raw_data!H478</f>
        <v>Cash on Delivery</v>
      </c>
      <c r="J478" s="7" t="str">
        <f>IF(Raw_data!I478=0.1,"10%",Raw_data!I478)</f>
        <v>None</v>
      </c>
      <c r="K478" s="6">
        <f>Raw_data!J478</f>
        <v>138</v>
      </c>
      <c r="L478" s="6">
        <f>Raw_data!K478</f>
        <v>11</v>
      </c>
      <c r="M478" s="6">
        <f>Raw_data!L478</f>
        <v>100</v>
      </c>
      <c r="N478" s="6">
        <f t="shared" si="43"/>
        <v>1032</v>
      </c>
      <c r="O478" s="6">
        <f t="shared" si="44"/>
        <v>49</v>
      </c>
      <c r="P478" s="6">
        <f t="shared" si="45"/>
        <v>1221</v>
      </c>
      <c r="Q478">
        <f t="shared" si="46"/>
        <v>1</v>
      </c>
      <c r="R478">
        <f t="shared" si="47"/>
        <v>2</v>
      </c>
    </row>
    <row r="479" spans="1:18" x14ac:dyDescent="0.25">
      <c r="A479">
        <f>Raw_data!A479</f>
        <v>478</v>
      </c>
      <c r="B479" t="str">
        <f>Raw_data!B479</f>
        <v>C5980</v>
      </c>
      <c r="C479" t="str">
        <f>Raw_data!C479</f>
        <v>R2328</v>
      </c>
      <c r="D479" s="3">
        <f>Raw_data!D479</f>
        <v>45309.253321759257</v>
      </c>
      <c r="E479" s="3">
        <f>Raw_data!E479</f>
        <v>45309.285960648151</v>
      </c>
      <c r="F479" s="4">
        <f t="shared" si="42"/>
        <v>3.2638888893416151E-2</v>
      </c>
      <c r="G479" s="6">
        <f>Raw_data!F479</f>
        <v>1451</v>
      </c>
      <c r="H479" s="6">
        <f>Raw_data!G479</f>
        <v>50</v>
      </c>
      <c r="I479" t="str">
        <f>Raw_data!H479</f>
        <v>Credit Card</v>
      </c>
      <c r="J479" s="7" t="str">
        <f>IF(Raw_data!I479=0.1,"10%",Raw_data!I479)</f>
        <v>50 off Promo</v>
      </c>
      <c r="K479" s="6">
        <f>Raw_data!J479</f>
        <v>63</v>
      </c>
      <c r="L479" s="6">
        <f>Raw_data!K479</f>
        <v>26</v>
      </c>
      <c r="M479" s="6">
        <f>Raw_data!L479</f>
        <v>0</v>
      </c>
      <c r="N479" s="6">
        <f t="shared" si="43"/>
        <v>1362</v>
      </c>
      <c r="O479" s="6">
        <f t="shared" si="44"/>
        <v>89</v>
      </c>
      <c r="P479" s="6">
        <f t="shared" si="45"/>
        <v>1501</v>
      </c>
      <c r="Q479">
        <f t="shared" si="46"/>
        <v>1</v>
      </c>
      <c r="R479">
        <f t="shared" si="47"/>
        <v>1</v>
      </c>
    </row>
    <row r="480" spans="1:18" x14ac:dyDescent="0.25">
      <c r="A480">
        <f>Raw_data!A480</f>
        <v>479</v>
      </c>
      <c r="B480" t="str">
        <f>Raw_data!B480</f>
        <v>C8266</v>
      </c>
      <c r="C480" t="str">
        <f>Raw_data!C480</f>
        <v>R2579</v>
      </c>
      <c r="D480" s="3">
        <f>Raw_data!D480</f>
        <v>45297.644548611112</v>
      </c>
      <c r="E480" s="3">
        <f>Raw_data!E480</f>
        <v>45297.709131944444</v>
      </c>
      <c r="F480" s="4">
        <f t="shared" si="42"/>
        <v>6.4583333332848269E-2</v>
      </c>
      <c r="G480" s="6">
        <f>Raw_data!F480</f>
        <v>1854</v>
      </c>
      <c r="H480" s="6">
        <f>Raw_data!G480</f>
        <v>30</v>
      </c>
      <c r="I480" t="str">
        <f>Raw_data!H480</f>
        <v>Cash on Delivery</v>
      </c>
      <c r="J480" s="7" t="str">
        <f>IF(Raw_data!I480=0.1,"10%",Raw_data!I480)</f>
        <v>50 off Promo</v>
      </c>
      <c r="K480" s="6">
        <f>Raw_data!J480</f>
        <v>105</v>
      </c>
      <c r="L480" s="6">
        <f>Raw_data!K480</f>
        <v>49</v>
      </c>
      <c r="M480" s="6">
        <f>Raw_data!L480</f>
        <v>150</v>
      </c>
      <c r="N480" s="6">
        <f t="shared" si="43"/>
        <v>1700</v>
      </c>
      <c r="O480" s="6">
        <f t="shared" si="44"/>
        <v>4</v>
      </c>
      <c r="P480" s="6">
        <f t="shared" si="45"/>
        <v>1884</v>
      </c>
      <c r="Q480">
        <f t="shared" si="46"/>
        <v>2</v>
      </c>
      <c r="R480">
        <f t="shared" si="47"/>
        <v>1</v>
      </c>
    </row>
    <row r="481" spans="1:18" x14ac:dyDescent="0.25">
      <c r="A481">
        <f>Raw_data!A481</f>
        <v>480</v>
      </c>
      <c r="B481" t="str">
        <f>Raw_data!B481</f>
        <v>C5491</v>
      </c>
      <c r="C481" t="str">
        <f>Raw_data!C481</f>
        <v>R2909</v>
      </c>
      <c r="D481" s="3">
        <f>Raw_data!D481</f>
        <v>45302.68472222222</v>
      </c>
      <c r="E481" s="3">
        <f>Raw_data!E481</f>
        <v>45302.758333333331</v>
      </c>
      <c r="F481" s="4">
        <f t="shared" si="42"/>
        <v>7.3611111110949423E-2</v>
      </c>
      <c r="G481" s="6">
        <f>Raw_data!F481</f>
        <v>208</v>
      </c>
      <c r="H481" s="6">
        <f>Raw_data!G481</f>
        <v>30</v>
      </c>
      <c r="I481" t="str">
        <f>Raw_data!H481</f>
        <v>Credit Card</v>
      </c>
      <c r="J481" s="7" t="str">
        <f>IF(Raw_data!I481=0.1,"10%",Raw_data!I481)</f>
        <v>10%</v>
      </c>
      <c r="K481" s="6">
        <f>Raw_data!J481</f>
        <v>130</v>
      </c>
      <c r="L481" s="6">
        <f>Raw_data!K481</f>
        <v>47</v>
      </c>
      <c r="M481" s="6">
        <f>Raw_data!L481</f>
        <v>100</v>
      </c>
      <c r="N481" s="6">
        <f t="shared" si="43"/>
        <v>31</v>
      </c>
      <c r="O481" s="6">
        <f t="shared" si="44"/>
        <v>77</v>
      </c>
      <c r="P481" s="6">
        <f t="shared" si="45"/>
        <v>238</v>
      </c>
      <c r="Q481">
        <f t="shared" si="46"/>
        <v>1</v>
      </c>
      <c r="R481">
        <f t="shared" si="47"/>
        <v>2</v>
      </c>
    </row>
    <row r="482" spans="1:18" x14ac:dyDescent="0.25">
      <c r="A482">
        <f>Raw_data!A482</f>
        <v>481</v>
      </c>
      <c r="B482" t="str">
        <f>Raw_data!B482</f>
        <v>C8192</v>
      </c>
      <c r="C482" t="str">
        <f>Raw_data!C482</f>
        <v>R2356</v>
      </c>
      <c r="D482" s="3">
        <f>Raw_data!D482</f>
        <v>45326.237314814818</v>
      </c>
      <c r="E482" s="3">
        <f>Raw_data!E482</f>
        <v>45326.278287037036</v>
      </c>
      <c r="F482" s="4">
        <f t="shared" si="42"/>
        <v>4.0972222217533272E-2</v>
      </c>
      <c r="G482" s="6">
        <f>Raw_data!F482</f>
        <v>1402</v>
      </c>
      <c r="H482" s="6">
        <f>Raw_data!G482</f>
        <v>30</v>
      </c>
      <c r="I482" t="str">
        <f>Raw_data!H482</f>
        <v>Digital Wallet</v>
      </c>
      <c r="J482" s="7" t="str">
        <f>IF(Raw_data!I482=0.1,"10%",Raw_data!I482)</f>
        <v>None</v>
      </c>
      <c r="K482" s="6">
        <f>Raw_data!J482</f>
        <v>198</v>
      </c>
      <c r="L482" s="6">
        <f>Raw_data!K482</f>
        <v>30</v>
      </c>
      <c r="M482" s="6">
        <f>Raw_data!L482</f>
        <v>0</v>
      </c>
      <c r="N482" s="6">
        <f t="shared" si="43"/>
        <v>1174</v>
      </c>
      <c r="O482" s="6">
        <f t="shared" si="44"/>
        <v>228</v>
      </c>
      <c r="P482" s="6">
        <f t="shared" si="45"/>
        <v>1432</v>
      </c>
      <c r="Q482">
        <f t="shared" si="46"/>
        <v>1</v>
      </c>
      <c r="R482">
        <f t="shared" si="47"/>
        <v>1</v>
      </c>
    </row>
    <row r="483" spans="1:18" x14ac:dyDescent="0.25">
      <c r="A483">
        <f>Raw_data!A483</f>
        <v>482</v>
      </c>
      <c r="B483" t="str">
        <f>Raw_data!B483</f>
        <v>C6588</v>
      </c>
      <c r="C483" t="str">
        <f>Raw_data!C483</f>
        <v>R2609</v>
      </c>
      <c r="D483" s="3">
        <f>Raw_data!D483</f>
        <v>45326.119131944448</v>
      </c>
      <c r="E483" s="3">
        <f>Raw_data!E483</f>
        <v>45326.173298611109</v>
      </c>
      <c r="F483" s="4">
        <f t="shared" si="42"/>
        <v>5.4166666661330964E-2</v>
      </c>
      <c r="G483" s="6">
        <f>Raw_data!F483</f>
        <v>1809</v>
      </c>
      <c r="H483" s="6">
        <f>Raw_data!G483</f>
        <v>40</v>
      </c>
      <c r="I483" t="str">
        <f>Raw_data!H483</f>
        <v>Cash on Delivery</v>
      </c>
      <c r="J483" s="7" t="str">
        <f>IF(Raw_data!I483=0.1,"10%",Raw_data!I483)</f>
        <v>None</v>
      </c>
      <c r="K483" s="6">
        <f>Raw_data!J483</f>
        <v>95</v>
      </c>
      <c r="L483" s="6">
        <f>Raw_data!K483</f>
        <v>18</v>
      </c>
      <c r="M483" s="6">
        <f>Raw_data!L483</f>
        <v>0</v>
      </c>
      <c r="N483" s="6">
        <f t="shared" si="43"/>
        <v>1696</v>
      </c>
      <c r="O483" s="6">
        <f t="shared" si="44"/>
        <v>113</v>
      </c>
      <c r="P483" s="6">
        <f t="shared" si="45"/>
        <v>1849</v>
      </c>
      <c r="Q483">
        <f t="shared" si="46"/>
        <v>2</v>
      </c>
      <c r="R483">
        <f t="shared" si="47"/>
        <v>3</v>
      </c>
    </row>
    <row r="484" spans="1:18" x14ac:dyDescent="0.25">
      <c r="A484">
        <f>Raw_data!A484</f>
        <v>483</v>
      </c>
      <c r="B484" t="str">
        <f>Raw_data!B484</f>
        <v>C8651</v>
      </c>
      <c r="C484" t="str">
        <f>Raw_data!C484</f>
        <v>R2266</v>
      </c>
      <c r="D484" s="3">
        <f>Raw_data!D484</f>
        <v>45304.48333333333</v>
      </c>
      <c r="E484" s="3">
        <f>Raw_data!E484</f>
        <v>45304.531944444447</v>
      </c>
      <c r="F484" s="4">
        <f t="shared" si="42"/>
        <v>4.8611111116770189E-2</v>
      </c>
      <c r="G484" s="6">
        <f>Raw_data!F484</f>
        <v>427</v>
      </c>
      <c r="H484" s="6">
        <f>Raw_data!G484</f>
        <v>50</v>
      </c>
      <c r="I484" t="str">
        <f>Raw_data!H484</f>
        <v>Credit Card</v>
      </c>
      <c r="J484" s="7" t="str">
        <f>IF(Raw_data!I484=0.1,"10%",Raw_data!I484)</f>
        <v>None</v>
      </c>
      <c r="K484" s="6">
        <f>Raw_data!J484</f>
        <v>193</v>
      </c>
      <c r="L484" s="6">
        <f>Raw_data!K484</f>
        <v>22</v>
      </c>
      <c r="M484" s="6">
        <f>Raw_data!L484</f>
        <v>0</v>
      </c>
      <c r="N484" s="6">
        <f t="shared" si="43"/>
        <v>212</v>
      </c>
      <c r="O484" s="6">
        <f t="shared" si="44"/>
        <v>215</v>
      </c>
      <c r="P484" s="6">
        <f t="shared" si="45"/>
        <v>477</v>
      </c>
      <c r="Q484">
        <f t="shared" si="46"/>
        <v>1</v>
      </c>
      <c r="R484">
        <f t="shared" si="47"/>
        <v>1</v>
      </c>
    </row>
    <row r="485" spans="1:18" x14ac:dyDescent="0.25">
      <c r="A485">
        <f>Raw_data!A485</f>
        <v>484</v>
      </c>
      <c r="B485" t="str">
        <f>Raw_data!B485</f>
        <v>C4636</v>
      </c>
      <c r="C485" t="str">
        <f>Raw_data!C485</f>
        <v>R2616</v>
      </c>
      <c r="D485" s="3">
        <f>Raw_data!D485</f>
        <v>45328.477187500001</v>
      </c>
      <c r="E485" s="3">
        <f>Raw_data!E485</f>
        <v>45328.506354166668</v>
      </c>
      <c r="F485" s="4">
        <f t="shared" si="42"/>
        <v>2.9166666667151731E-2</v>
      </c>
      <c r="G485" s="6">
        <f>Raw_data!F485</f>
        <v>1899</v>
      </c>
      <c r="H485" s="6">
        <f>Raw_data!G485</f>
        <v>0</v>
      </c>
      <c r="I485" t="str">
        <f>Raw_data!H485</f>
        <v>Cash on Delivery</v>
      </c>
      <c r="J485" s="7" t="str">
        <f>IF(Raw_data!I485=0.1,"10%",Raw_data!I485)</f>
        <v>5% on App</v>
      </c>
      <c r="K485" s="6">
        <f>Raw_data!J485</f>
        <v>65</v>
      </c>
      <c r="L485" s="6">
        <f>Raw_data!K485</f>
        <v>20</v>
      </c>
      <c r="M485" s="6">
        <f>Raw_data!L485</f>
        <v>0</v>
      </c>
      <c r="N485" s="6">
        <f t="shared" si="43"/>
        <v>1814</v>
      </c>
      <c r="O485" s="6">
        <f t="shared" si="44"/>
        <v>85</v>
      </c>
      <c r="P485" s="6">
        <f t="shared" si="45"/>
        <v>1899</v>
      </c>
      <c r="Q485">
        <f t="shared" si="46"/>
        <v>2</v>
      </c>
      <c r="R485">
        <f t="shared" si="47"/>
        <v>2</v>
      </c>
    </row>
    <row r="486" spans="1:18" x14ac:dyDescent="0.25">
      <c r="A486">
        <f>Raw_data!A486</f>
        <v>485</v>
      </c>
      <c r="B486" t="str">
        <f>Raw_data!B486</f>
        <v>C2167</v>
      </c>
      <c r="C486" t="str">
        <f>Raw_data!C486</f>
        <v>R2951</v>
      </c>
      <c r="D486" s="3">
        <f>Raw_data!D486</f>
        <v>45318.154814814814</v>
      </c>
      <c r="E486" s="3">
        <f>Raw_data!E486</f>
        <v>45318.198564814818</v>
      </c>
      <c r="F486" s="4">
        <f t="shared" si="42"/>
        <v>4.3750000004365575E-2</v>
      </c>
      <c r="G486" s="6">
        <f>Raw_data!F486</f>
        <v>414</v>
      </c>
      <c r="H486" s="6">
        <f>Raw_data!G486</f>
        <v>20</v>
      </c>
      <c r="I486" t="str">
        <f>Raw_data!H486</f>
        <v>Cash on Delivery</v>
      </c>
      <c r="J486" s="7" t="str">
        <f>IF(Raw_data!I486=0.1,"10%",Raw_data!I486)</f>
        <v>5% on App</v>
      </c>
      <c r="K486" s="6">
        <f>Raw_data!J486</f>
        <v>169</v>
      </c>
      <c r="L486" s="6">
        <f>Raw_data!K486</f>
        <v>25</v>
      </c>
      <c r="M486" s="6">
        <f>Raw_data!L486</f>
        <v>0</v>
      </c>
      <c r="N486" s="6">
        <f t="shared" si="43"/>
        <v>220</v>
      </c>
      <c r="O486" s="6">
        <f t="shared" si="44"/>
        <v>194</v>
      </c>
      <c r="P486" s="6">
        <f t="shared" si="45"/>
        <v>434</v>
      </c>
      <c r="Q486">
        <f t="shared" si="46"/>
        <v>1</v>
      </c>
      <c r="R486">
        <f t="shared" si="47"/>
        <v>1</v>
      </c>
    </row>
    <row r="487" spans="1:18" x14ac:dyDescent="0.25">
      <c r="A487">
        <f>Raw_data!A487</f>
        <v>486</v>
      </c>
      <c r="B487" t="str">
        <f>Raw_data!B487</f>
        <v>C2062</v>
      </c>
      <c r="C487" t="str">
        <f>Raw_data!C487</f>
        <v>R2322</v>
      </c>
      <c r="D487" s="3">
        <f>Raw_data!D487</f>
        <v>45300.021354166667</v>
      </c>
      <c r="E487" s="3">
        <f>Raw_data!E487</f>
        <v>45300.058854166666</v>
      </c>
      <c r="F487" s="4">
        <f t="shared" si="42"/>
        <v>3.7499999998544808E-2</v>
      </c>
      <c r="G487" s="6">
        <f>Raw_data!F487</f>
        <v>1597</v>
      </c>
      <c r="H487" s="6">
        <f>Raw_data!G487</f>
        <v>0</v>
      </c>
      <c r="I487" t="str">
        <f>Raw_data!H487</f>
        <v>Cash on Delivery</v>
      </c>
      <c r="J487" s="7" t="str">
        <f>IF(Raw_data!I487=0.1,"10%",Raw_data!I487)</f>
        <v>10%</v>
      </c>
      <c r="K487" s="6">
        <f>Raw_data!J487</f>
        <v>133</v>
      </c>
      <c r="L487" s="6">
        <f>Raw_data!K487</f>
        <v>25</v>
      </c>
      <c r="M487" s="6">
        <f>Raw_data!L487</f>
        <v>0</v>
      </c>
      <c r="N487" s="6">
        <f t="shared" si="43"/>
        <v>1439</v>
      </c>
      <c r="O487" s="6">
        <f t="shared" si="44"/>
        <v>158</v>
      </c>
      <c r="P487" s="6">
        <f t="shared" si="45"/>
        <v>1597</v>
      </c>
      <c r="Q487">
        <f t="shared" si="46"/>
        <v>2</v>
      </c>
      <c r="R487">
        <f t="shared" si="47"/>
        <v>2</v>
      </c>
    </row>
    <row r="488" spans="1:18" x14ac:dyDescent="0.25">
      <c r="A488">
        <f>Raw_data!A488</f>
        <v>487</v>
      </c>
      <c r="B488" t="str">
        <f>Raw_data!B488</f>
        <v>C3156</v>
      </c>
      <c r="C488" t="str">
        <f>Raw_data!C488</f>
        <v>R2634</v>
      </c>
      <c r="D488" s="3">
        <f>Raw_data!D488</f>
        <v>45303.475335648145</v>
      </c>
      <c r="E488" s="3">
        <f>Raw_data!E488</f>
        <v>45303.541307870371</v>
      </c>
      <c r="F488" s="4">
        <f t="shared" si="42"/>
        <v>6.5972222226264421E-2</v>
      </c>
      <c r="G488" s="6">
        <f>Raw_data!F488</f>
        <v>1234</v>
      </c>
      <c r="H488" s="6">
        <f>Raw_data!G488</f>
        <v>40</v>
      </c>
      <c r="I488" t="str">
        <f>Raw_data!H488</f>
        <v>Credit Card</v>
      </c>
      <c r="J488" s="7" t="str">
        <f>IF(Raw_data!I488=0.1,"10%",Raw_data!I488)</f>
        <v>None</v>
      </c>
      <c r="K488" s="6">
        <f>Raw_data!J488</f>
        <v>57</v>
      </c>
      <c r="L488" s="6">
        <f>Raw_data!K488</f>
        <v>11</v>
      </c>
      <c r="M488" s="6">
        <f>Raw_data!L488</f>
        <v>50</v>
      </c>
      <c r="N488" s="6">
        <f t="shared" si="43"/>
        <v>1166</v>
      </c>
      <c r="O488" s="6">
        <f t="shared" si="44"/>
        <v>18</v>
      </c>
      <c r="P488" s="6">
        <f t="shared" si="45"/>
        <v>1274</v>
      </c>
      <c r="Q488">
        <f t="shared" si="46"/>
        <v>1</v>
      </c>
      <c r="R488">
        <f t="shared" si="47"/>
        <v>2</v>
      </c>
    </row>
    <row r="489" spans="1:18" x14ac:dyDescent="0.25">
      <c r="A489">
        <f>Raw_data!A489</f>
        <v>488</v>
      </c>
      <c r="B489" t="str">
        <f>Raw_data!B489</f>
        <v>C8860</v>
      </c>
      <c r="C489" t="str">
        <f>Raw_data!C489</f>
        <v>R2987</v>
      </c>
      <c r="D489" s="3">
        <f>Raw_data!D489</f>
        <v>45293.687361111108</v>
      </c>
      <c r="E489" s="3">
        <f>Raw_data!E489</f>
        <v>45293.72</v>
      </c>
      <c r="F489" s="4">
        <f t="shared" si="42"/>
        <v>3.2638888893416151E-2</v>
      </c>
      <c r="G489" s="6">
        <f>Raw_data!F489</f>
        <v>798</v>
      </c>
      <c r="H489" s="6">
        <f>Raw_data!G489</f>
        <v>30</v>
      </c>
      <c r="I489" t="str">
        <f>Raw_data!H489</f>
        <v>Digital Wallet</v>
      </c>
      <c r="J489" s="7" t="str">
        <f>IF(Raw_data!I489=0.1,"10%",Raw_data!I489)</f>
        <v>None</v>
      </c>
      <c r="K489" s="6">
        <f>Raw_data!J489</f>
        <v>137</v>
      </c>
      <c r="L489" s="6">
        <f>Raw_data!K489</f>
        <v>17</v>
      </c>
      <c r="M489" s="6">
        <f>Raw_data!L489</f>
        <v>0</v>
      </c>
      <c r="N489" s="6">
        <f t="shared" si="43"/>
        <v>644</v>
      </c>
      <c r="O489" s="6">
        <f t="shared" si="44"/>
        <v>154</v>
      </c>
      <c r="P489" s="6">
        <f t="shared" si="45"/>
        <v>828</v>
      </c>
      <c r="Q489">
        <f t="shared" si="46"/>
        <v>1</v>
      </c>
      <c r="R489">
        <f t="shared" si="47"/>
        <v>1</v>
      </c>
    </row>
    <row r="490" spans="1:18" x14ac:dyDescent="0.25">
      <c r="A490">
        <f>Raw_data!A490</f>
        <v>489</v>
      </c>
      <c r="B490" t="str">
        <f>Raw_data!B490</f>
        <v>C6161</v>
      </c>
      <c r="C490" t="str">
        <f>Raw_data!C490</f>
        <v>R2540</v>
      </c>
      <c r="D490" s="3">
        <f>Raw_data!D490</f>
        <v>45299.388738425929</v>
      </c>
      <c r="E490" s="3">
        <f>Raw_data!E490</f>
        <v>45299.412349537037</v>
      </c>
      <c r="F490" s="4">
        <f t="shared" si="42"/>
        <v>2.361111110803904E-2</v>
      </c>
      <c r="G490" s="6">
        <f>Raw_data!F490</f>
        <v>880</v>
      </c>
      <c r="H490" s="6">
        <f>Raw_data!G490</f>
        <v>20</v>
      </c>
      <c r="I490" t="str">
        <f>Raw_data!H490</f>
        <v>Digital Wallet</v>
      </c>
      <c r="J490" s="7" t="str">
        <f>IF(Raw_data!I490=0.1,"10%",Raw_data!I490)</f>
        <v>50 off Promo</v>
      </c>
      <c r="K490" s="6">
        <f>Raw_data!J490</f>
        <v>180</v>
      </c>
      <c r="L490" s="6">
        <f>Raw_data!K490</f>
        <v>22</v>
      </c>
      <c r="M490" s="6">
        <f>Raw_data!L490</f>
        <v>0</v>
      </c>
      <c r="N490" s="6">
        <f t="shared" si="43"/>
        <v>678</v>
      </c>
      <c r="O490" s="6">
        <f t="shared" si="44"/>
        <v>202</v>
      </c>
      <c r="P490" s="6">
        <f t="shared" si="45"/>
        <v>900</v>
      </c>
      <c r="Q490">
        <f t="shared" si="46"/>
        <v>1</v>
      </c>
      <c r="R490">
        <f t="shared" si="47"/>
        <v>1</v>
      </c>
    </row>
    <row r="491" spans="1:18" x14ac:dyDescent="0.25">
      <c r="A491">
        <f>Raw_data!A491</f>
        <v>490</v>
      </c>
      <c r="B491" t="str">
        <f>Raw_data!B491</f>
        <v>C6305</v>
      </c>
      <c r="C491" t="str">
        <f>Raw_data!C491</f>
        <v>R2648</v>
      </c>
      <c r="D491" s="3">
        <f>Raw_data!D491</f>
        <v>45322.469652777778</v>
      </c>
      <c r="E491" s="3">
        <f>Raw_data!E491</f>
        <v>45322.502986111111</v>
      </c>
      <c r="F491" s="4">
        <f t="shared" si="42"/>
        <v>3.3333333332848269E-2</v>
      </c>
      <c r="G491" s="6">
        <f>Raw_data!F491</f>
        <v>1352</v>
      </c>
      <c r="H491" s="6">
        <f>Raw_data!G491</f>
        <v>40</v>
      </c>
      <c r="I491" t="str">
        <f>Raw_data!H491</f>
        <v>Digital Wallet</v>
      </c>
      <c r="J491" s="7" t="str">
        <f>IF(Raw_data!I491=0.1,"10%",Raw_data!I491)</f>
        <v>50 off Promo</v>
      </c>
      <c r="K491" s="6">
        <f>Raw_data!J491</f>
        <v>68</v>
      </c>
      <c r="L491" s="6">
        <f>Raw_data!K491</f>
        <v>26</v>
      </c>
      <c r="M491" s="6">
        <f>Raw_data!L491</f>
        <v>50</v>
      </c>
      <c r="N491" s="6">
        <f t="shared" si="43"/>
        <v>1258</v>
      </c>
      <c r="O491" s="6">
        <f t="shared" si="44"/>
        <v>44</v>
      </c>
      <c r="P491" s="6">
        <f t="shared" si="45"/>
        <v>1392</v>
      </c>
      <c r="Q491">
        <f t="shared" si="46"/>
        <v>1</v>
      </c>
      <c r="R491">
        <f t="shared" si="47"/>
        <v>1</v>
      </c>
    </row>
    <row r="492" spans="1:18" x14ac:dyDescent="0.25">
      <c r="A492">
        <f>Raw_data!A492</f>
        <v>491</v>
      </c>
      <c r="B492" t="str">
        <f>Raw_data!B492</f>
        <v>C7541</v>
      </c>
      <c r="C492" t="str">
        <f>Raw_data!C492</f>
        <v>R2194</v>
      </c>
      <c r="D492" s="3">
        <f>Raw_data!D492</f>
        <v>45324.266319444447</v>
      </c>
      <c r="E492" s="3">
        <f>Raw_data!E492</f>
        <v>45324.315625000003</v>
      </c>
      <c r="F492" s="4">
        <f t="shared" si="42"/>
        <v>4.9305555556202307E-2</v>
      </c>
      <c r="G492" s="6">
        <f>Raw_data!F492</f>
        <v>1620</v>
      </c>
      <c r="H492" s="6">
        <f>Raw_data!G492</f>
        <v>40</v>
      </c>
      <c r="I492" t="str">
        <f>Raw_data!H492</f>
        <v>Credit Card</v>
      </c>
      <c r="J492" s="7" t="str">
        <f>IF(Raw_data!I492=0.1,"10%",Raw_data!I492)</f>
        <v>10%</v>
      </c>
      <c r="K492" s="6">
        <f>Raw_data!J492</f>
        <v>146</v>
      </c>
      <c r="L492" s="6">
        <f>Raw_data!K492</f>
        <v>48</v>
      </c>
      <c r="M492" s="6">
        <f>Raw_data!L492</f>
        <v>0</v>
      </c>
      <c r="N492" s="6">
        <f t="shared" si="43"/>
        <v>1426</v>
      </c>
      <c r="O492" s="6">
        <f t="shared" si="44"/>
        <v>194</v>
      </c>
      <c r="P492" s="6">
        <f t="shared" si="45"/>
        <v>1660</v>
      </c>
      <c r="Q492">
        <f t="shared" si="46"/>
        <v>1</v>
      </c>
      <c r="R492">
        <f t="shared" si="47"/>
        <v>1</v>
      </c>
    </row>
    <row r="493" spans="1:18" x14ac:dyDescent="0.25">
      <c r="A493">
        <f>Raw_data!A493</f>
        <v>492</v>
      </c>
      <c r="B493" t="str">
        <f>Raw_data!B493</f>
        <v>C5729</v>
      </c>
      <c r="C493" t="str">
        <f>Raw_data!C493</f>
        <v>R2920</v>
      </c>
      <c r="D493" s="3">
        <f>Raw_data!D493</f>
        <v>45303.210833333331</v>
      </c>
      <c r="E493" s="3">
        <f>Raw_data!E493</f>
        <v>45303.243472222224</v>
      </c>
      <c r="F493" s="4">
        <f t="shared" si="42"/>
        <v>3.2638888893416151E-2</v>
      </c>
      <c r="G493" s="6">
        <f>Raw_data!F493</f>
        <v>255</v>
      </c>
      <c r="H493" s="6">
        <f>Raw_data!G493</f>
        <v>40</v>
      </c>
      <c r="I493" t="str">
        <f>Raw_data!H493</f>
        <v>Digital Wallet</v>
      </c>
      <c r="J493" s="7" t="str">
        <f>IF(Raw_data!I493=0.1,"10%",Raw_data!I493)</f>
        <v>None</v>
      </c>
      <c r="K493" s="6">
        <f>Raw_data!J493</f>
        <v>115</v>
      </c>
      <c r="L493" s="6">
        <f>Raw_data!K493</f>
        <v>33</v>
      </c>
      <c r="M493" s="6">
        <f>Raw_data!L493</f>
        <v>0</v>
      </c>
      <c r="N493" s="6">
        <f t="shared" si="43"/>
        <v>107</v>
      </c>
      <c r="O493" s="6">
        <f t="shared" si="44"/>
        <v>148</v>
      </c>
      <c r="P493" s="6">
        <f t="shared" si="45"/>
        <v>295</v>
      </c>
      <c r="Q493">
        <f t="shared" si="46"/>
        <v>1</v>
      </c>
      <c r="R493">
        <f t="shared" si="47"/>
        <v>3</v>
      </c>
    </row>
    <row r="494" spans="1:18" x14ac:dyDescent="0.25">
      <c r="A494">
        <f>Raw_data!A494</f>
        <v>493</v>
      </c>
      <c r="B494" t="str">
        <f>Raw_data!B494</f>
        <v>C8330</v>
      </c>
      <c r="C494" t="str">
        <f>Raw_data!C494</f>
        <v>R2737</v>
      </c>
      <c r="D494" s="3">
        <f>Raw_data!D494</f>
        <v>45292.271168981482</v>
      </c>
      <c r="E494" s="3">
        <f>Raw_data!E494</f>
        <v>45292.313530092593</v>
      </c>
      <c r="F494" s="4">
        <f t="shared" si="42"/>
        <v>4.2361111110949423E-2</v>
      </c>
      <c r="G494" s="6">
        <f>Raw_data!F494</f>
        <v>1596</v>
      </c>
      <c r="H494" s="6">
        <f>Raw_data!G494</f>
        <v>20</v>
      </c>
      <c r="I494" t="str">
        <f>Raw_data!H494</f>
        <v>Credit Card</v>
      </c>
      <c r="J494" s="7" t="str">
        <f>IF(Raw_data!I494=0.1,"10%",Raw_data!I494)</f>
        <v>10%</v>
      </c>
      <c r="K494" s="6">
        <f>Raw_data!J494</f>
        <v>128</v>
      </c>
      <c r="L494" s="6">
        <f>Raw_data!K494</f>
        <v>12</v>
      </c>
      <c r="M494" s="6">
        <f>Raw_data!L494</f>
        <v>0</v>
      </c>
      <c r="N494" s="6">
        <f t="shared" si="43"/>
        <v>1456</v>
      </c>
      <c r="O494" s="6">
        <f t="shared" si="44"/>
        <v>140</v>
      </c>
      <c r="P494" s="6">
        <f t="shared" si="45"/>
        <v>1616</v>
      </c>
      <c r="Q494">
        <f t="shared" si="46"/>
        <v>1</v>
      </c>
      <c r="R494">
        <f t="shared" si="47"/>
        <v>2</v>
      </c>
    </row>
    <row r="495" spans="1:18" x14ac:dyDescent="0.25">
      <c r="A495">
        <f>Raw_data!A495</f>
        <v>494</v>
      </c>
      <c r="B495" t="str">
        <f>Raw_data!B495</f>
        <v>C6334</v>
      </c>
      <c r="C495" t="str">
        <f>Raw_data!C495</f>
        <v>R2331</v>
      </c>
      <c r="D495" s="3">
        <f>Raw_data!D495</f>
        <v>45306.47865740741</v>
      </c>
      <c r="E495" s="3">
        <f>Raw_data!E495</f>
        <v>45306.513379629629</v>
      </c>
      <c r="F495" s="4">
        <f t="shared" si="42"/>
        <v>3.4722222218988463E-2</v>
      </c>
      <c r="G495" s="6">
        <f>Raw_data!F495</f>
        <v>1824</v>
      </c>
      <c r="H495" s="6">
        <f>Raw_data!G495</f>
        <v>20</v>
      </c>
      <c r="I495" t="str">
        <f>Raw_data!H495</f>
        <v>Cash on Delivery</v>
      </c>
      <c r="J495" s="7" t="str">
        <f>IF(Raw_data!I495=0.1,"10%",Raw_data!I495)</f>
        <v>50 off Promo</v>
      </c>
      <c r="K495" s="6">
        <f>Raw_data!J495</f>
        <v>135</v>
      </c>
      <c r="L495" s="6">
        <f>Raw_data!K495</f>
        <v>39</v>
      </c>
      <c r="M495" s="6">
        <f>Raw_data!L495</f>
        <v>0</v>
      </c>
      <c r="N495" s="6">
        <f t="shared" si="43"/>
        <v>1650</v>
      </c>
      <c r="O495" s="6">
        <f t="shared" si="44"/>
        <v>174</v>
      </c>
      <c r="P495" s="6">
        <f t="shared" si="45"/>
        <v>1844</v>
      </c>
      <c r="Q495">
        <f t="shared" si="46"/>
        <v>1</v>
      </c>
      <c r="R495">
        <f t="shared" si="47"/>
        <v>2</v>
      </c>
    </row>
    <row r="496" spans="1:18" x14ac:dyDescent="0.25">
      <c r="A496">
        <f>Raw_data!A496</f>
        <v>495</v>
      </c>
      <c r="B496" t="str">
        <f>Raw_data!B496</f>
        <v>C9924</v>
      </c>
      <c r="C496" t="str">
        <f>Raw_data!C496</f>
        <v>R2169</v>
      </c>
      <c r="D496" s="3">
        <f>Raw_data!D496</f>
        <v>45309.245787037034</v>
      </c>
      <c r="E496" s="3">
        <f>Raw_data!E496</f>
        <v>45309.272870370369</v>
      </c>
      <c r="F496" s="4">
        <f t="shared" si="42"/>
        <v>2.7083333334303461E-2</v>
      </c>
      <c r="G496" s="6">
        <f>Raw_data!F496</f>
        <v>1395</v>
      </c>
      <c r="H496" s="6">
        <f>Raw_data!G496</f>
        <v>50</v>
      </c>
      <c r="I496" t="str">
        <f>Raw_data!H496</f>
        <v>Cash on Delivery</v>
      </c>
      <c r="J496" s="7" t="str">
        <f>IF(Raw_data!I496=0.1,"10%",Raw_data!I496)</f>
        <v>50 off Promo</v>
      </c>
      <c r="K496" s="6">
        <f>Raw_data!J496</f>
        <v>173</v>
      </c>
      <c r="L496" s="6">
        <f>Raw_data!K496</f>
        <v>22</v>
      </c>
      <c r="M496" s="6">
        <f>Raw_data!L496</f>
        <v>150</v>
      </c>
      <c r="N496" s="6">
        <f t="shared" si="43"/>
        <v>1200</v>
      </c>
      <c r="O496" s="6">
        <f t="shared" si="44"/>
        <v>45</v>
      </c>
      <c r="P496" s="6">
        <f t="shared" si="45"/>
        <v>1445</v>
      </c>
      <c r="Q496">
        <f t="shared" si="46"/>
        <v>1</v>
      </c>
      <c r="R496">
        <f t="shared" si="47"/>
        <v>3</v>
      </c>
    </row>
    <row r="497" spans="1:18" x14ac:dyDescent="0.25">
      <c r="A497">
        <f>Raw_data!A497</f>
        <v>496</v>
      </c>
      <c r="B497" t="str">
        <f>Raw_data!B497</f>
        <v>C5330</v>
      </c>
      <c r="C497" t="str">
        <f>Raw_data!C497</f>
        <v>R2520</v>
      </c>
      <c r="D497" s="3">
        <f>Raw_data!D497</f>
        <v>45325.214456018519</v>
      </c>
      <c r="E497" s="3">
        <f>Raw_data!E497</f>
        <v>45325.260289351849</v>
      </c>
      <c r="F497" s="4">
        <f t="shared" si="42"/>
        <v>4.5833333329937886E-2</v>
      </c>
      <c r="G497" s="6">
        <f>Raw_data!F497</f>
        <v>986</v>
      </c>
      <c r="H497" s="6">
        <f>Raw_data!G497</f>
        <v>50</v>
      </c>
      <c r="I497" t="str">
        <f>Raw_data!H497</f>
        <v>Digital Wallet</v>
      </c>
      <c r="J497" s="7" t="str">
        <f>IF(Raw_data!I497=0.1,"10%",Raw_data!I497)</f>
        <v>5% on App</v>
      </c>
      <c r="K497" s="6">
        <f>Raw_data!J497</f>
        <v>199</v>
      </c>
      <c r="L497" s="6">
        <f>Raw_data!K497</f>
        <v>28</v>
      </c>
      <c r="M497" s="6">
        <f>Raw_data!L497</f>
        <v>0</v>
      </c>
      <c r="N497" s="6">
        <f t="shared" si="43"/>
        <v>759</v>
      </c>
      <c r="O497" s="6">
        <f t="shared" si="44"/>
        <v>227</v>
      </c>
      <c r="P497" s="6">
        <f t="shared" si="45"/>
        <v>1036</v>
      </c>
      <c r="Q497">
        <f t="shared" si="46"/>
        <v>1</v>
      </c>
      <c r="R497">
        <f t="shared" si="47"/>
        <v>4</v>
      </c>
    </row>
    <row r="498" spans="1:18" x14ac:dyDescent="0.25">
      <c r="A498">
        <f>Raw_data!A498</f>
        <v>497</v>
      </c>
      <c r="B498" t="str">
        <f>Raw_data!B498</f>
        <v>C9010</v>
      </c>
      <c r="C498" t="str">
        <f>Raw_data!C498</f>
        <v>R2462</v>
      </c>
      <c r="D498" s="3">
        <f>Raw_data!D498</f>
        <v>45326.546898148146</v>
      </c>
      <c r="E498" s="3">
        <f>Raw_data!E498</f>
        <v>45326.601064814815</v>
      </c>
      <c r="F498" s="4">
        <f t="shared" si="42"/>
        <v>5.4166666668606922E-2</v>
      </c>
      <c r="G498" s="6">
        <f>Raw_data!F498</f>
        <v>1125</v>
      </c>
      <c r="H498" s="6">
        <f>Raw_data!G498</f>
        <v>0</v>
      </c>
      <c r="I498" t="str">
        <f>Raw_data!H498</f>
        <v>Credit Card</v>
      </c>
      <c r="J498" s="7" t="str">
        <f>IF(Raw_data!I498=0.1,"10%",Raw_data!I498)</f>
        <v>10%</v>
      </c>
      <c r="K498" s="6">
        <f>Raw_data!J498</f>
        <v>95</v>
      </c>
      <c r="L498" s="6">
        <f>Raw_data!K498</f>
        <v>16</v>
      </c>
      <c r="M498" s="6">
        <f>Raw_data!L498</f>
        <v>50</v>
      </c>
      <c r="N498" s="6">
        <f t="shared" si="43"/>
        <v>1014</v>
      </c>
      <c r="O498" s="6">
        <f t="shared" si="44"/>
        <v>61</v>
      </c>
      <c r="P498" s="6">
        <f t="shared" si="45"/>
        <v>1125</v>
      </c>
      <c r="Q498">
        <f t="shared" si="46"/>
        <v>1</v>
      </c>
      <c r="R498">
        <f t="shared" si="47"/>
        <v>2</v>
      </c>
    </row>
    <row r="499" spans="1:18" x14ac:dyDescent="0.25">
      <c r="A499">
        <f>Raw_data!A499</f>
        <v>498</v>
      </c>
      <c r="B499" t="str">
        <f>Raw_data!B499</f>
        <v>C7801</v>
      </c>
      <c r="C499" t="str">
        <f>Raw_data!C499</f>
        <v>R2039</v>
      </c>
      <c r="D499" s="3">
        <f>Raw_data!D499</f>
        <v>45312.941863425927</v>
      </c>
      <c r="E499" s="3">
        <f>Raw_data!E499</f>
        <v>45313.021724537037</v>
      </c>
      <c r="F499" s="4">
        <f t="shared" si="42"/>
        <v>7.9861111109494232E-2</v>
      </c>
      <c r="G499" s="6">
        <f>Raw_data!F499</f>
        <v>857</v>
      </c>
      <c r="H499" s="6">
        <f>Raw_data!G499</f>
        <v>20</v>
      </c>
      <c r="I499" t="str">
        <f>Raw_data!H499</f>
        <v>Cash on Delivery</v>
      </c>
      <c r="J499" s="7" t="str">
        <f>IF(Raw_data!I499=0.1,"10%",Raw_data!I499)</f>
        <v>10%</v>
      </c>
      <c r="K499" s="6">
        <f>Raw_data!J499</f>
        <v>162</v>
      </c>
      <c r="L499" s="6">
        <f>Raw_data!K499</f>
        <v>18</v>
      </c>
      <c r="M499" s="6">
        <f>Raw_data!L499</f>
        <v>0</v>
      </c>
      <c r="N499" s="6">
        <f t="shared" si="43"/>
        <v>677</v>
      </c>
      <c r="O499" s="6">
        <f t="shared" si="44"/>
        <v>180</v>
      </c>
      <c r="P499" s="6">
        <f t="shared" si="45"/>
        <v>877</v>
      </c>
      <c r="Q499">
        <f t="shared" si="46"/>
        <v>1</v>
      </c>
      <c r="R499">
        <f t="shared" si="47"/>
        <v>4</v>
      </c>
    </row>
    <row r="500" spans="1:18" x14ac:dyDescent="0.25">
      <c r="A500">
        <f>Raw_data!A500</f>
        <v>499</v>
      </c>
      <c r="B500" t="str">
        <f>Raw_data!B500</f>
        <v>C5846</v>
      </c>
      <c r="C500" t="str">
        <f>Raw_data!C500</f>
        <v>R2536</v>
      </c>
      <c r="D500" s="3">
        <f>Raw_data!D500</f>
        <v>45304.337071759262</v>
      </c>
      <c r="E500" s="3">
        <f>Raw_data!E500</f>
        <v>45304.366238425922</v>
      </c>
      <c r="F500" s="4">
        <f t="shared" si="42"/>
        <v>2.9166666659875773E-2</v>
      </c>
      <c r="G500" s="6">
        <f>Raw_data!F500</f>
        <v>821</v>
      </c>
      <c r="H500" s="6">
        <f>Raw_data!G500</f>
        <v>20</v>
      </c>
      <c r="I500" t="str">
        <f>Raw_data!H500</f>
        <v>Credit Card</v>
      </c>
      <c r="J500" s="7" t="str">
        <f>IF(Raw_data!I500=0.1,"10%",Raw_data!I500)</f>
        <v>None</v>
      </c>
      <c r="K500" s="6">
        <f>Raw_data!J500</f>
        <v>140</v>
      </c>
      <c r="L500" s="6">
        <f>Raw_data!K500</f>
        <v>28</v>
      </c>
      <c r="M500" s="6">
        <f>Raw_data!L500</f>
        <v>50</v>
      </c>
      <c r="N500" s="6">
        <f t="shared" si="43"/>
        <v>653</v>
      </c>
      <c r="O500" s="6">
        <f t="shared" si="44"/>
        <v>118</v>
      </c>
      <c r="P500" s="6">
        <f t="shared" si="45"/>
        <v>841</v>
      </c>
      <c r="Q500">
        <f t="shared" si="46"/>
        <v>1</v>
      </c>
      <c r="R500">
        <f t="shared" si="47"/>
        <v>3</v>
      </c>
    </row>
    <row r="501" spans="1:18" x14ac:dyDescent="0.25">
      <c r="A501">
        <f>Raw_data!A501</f>
        <v>500</v>
      </c>
      <c r="B501" t="str">
        <f>Raw_data!B501</f>
        <v>C7731</v>
      </c>
      <c r="C501" t="str">
        <f>Raw_data!C501</f>
        <v>R2260</v>
      </c>
      <c r="D501" s="3">
        <f>Raw_data!D501</f>
        <v>45311.917314814818</v>
      </c>
      <c r="E501" s="3">
        <f>Raw_data!E501</f>
        <v>45311.975648148145</v>
      </c>
      <c r="F501" s="4">
        <f t="shared" si="42"/>
        <v>5.8333333327027503E-2</v>
      </c>
      <c r="G501" s="6">
        <f>Raw_data!F501</f>
        <v>1634</v>
      </c>
      <c r="H501" s="6">
        <f>Raw_data!G501</f>
        <v>20</v>
      </c>
      <c r="I501" t="str">
        <f>Raw_data!H501</f>
        <v>Credit Card</v>
      </c>
      <c r="J501" s="7" t="str">
        <f>IF(Raw_data!I501=0.1,"10%",Raw_data!I501)</f>
        <v>None</v>
      </c>
      <c r="K501" s="6">
        <f>Raw_data!J501</f>
        <v>190</v>
      </c>
      <c r="L501" s="6">
        <f>Raw_data!K501</f>
        <v>49</v>
      </c>
      <c r="M501" s="6">
        <f>Raw_data!L501</f>
        <v>150</v>
      </c>
      <c r="N501" s="6">
        <f t="shared" si="43"/>
        <v>1395</v>
      </c>
      <c r="O501" s="6">
        <f t="shared" si="44"/>
        <v>89</v>
      </c>
      <c r="P501" s="6">
        <f t="shared" si="45"/>
        <v>1654</v>
      </c>
      <c r="Q501">
        <f t="shared" si="46"/>
        <v>1</v>
      </c>
      <c r="R501">
        <f t="shared" si="47"/>
        <v>2</v>
      </c>
    </row>
    <row r="502" spans="1:18" x14ac:dyDescent="0.25">
      <c r="A502">
        <f>Raw_data!A502</f>
        <v>501</v>
      </c>
      <c r="B502" t="str">
        <f>Raw_data!B502</f>
        <v>C8241</v>
      </c>
      <c r="C502" t="str">
        <f>Raw_data!C502</f>
        <v>R2394</v>
      </c>
      <c r="D502" s="3">
        <f>Raw_data!D502</f>
        <v>45298.43645833333</v>
      </c>
      <c r="E502" s="3">
        <f>Raw_data!E502</f>
        <v>45298.468402777777</v>
      </c>
      <c r="F502" s="4">
        <f t="shared" si="42"/>
        <v>3.1944444446708076E-2</v>
      </c>
      <c r="G502" s="6">
        <f>Raw_data!F502</f>
        <v>1012</v>
      </c>
      <c r="H502" s="6">
        <f>Raw_data!G502</f>
        <v>50</v>
      </c>
      <c r="I502" t="str">
        <f>Raw_data!H502</f>
        <v>Cash on Delivery</v>
      </c>
      <c r="J502" s="7" t="str">
        <f>IF(Raw_data!I502=0.1,"10%",Raw_data!I502)</f>
        <v>5% on App</v>
      </c>
      <c r="K502" s="6">
        <f>Raw_data!J502</f>
        <v>82</v>
      </c>
      <c r="L502" s="6">
        <f>Raw_data!K502</f>
        <v>31</v>
      </c>
      <c r="M502" s="6">
        <f>Raw_data!L502</f>
        <v>100</v>
      </c>
      <c r="N502" s="6">
        <f t="shared" si="43"/>
        <v>899</v>
      </c>
      <c r="O502" s="6">
        <f t="shared" si="44"/>
        <v>13</v>
      </c>
      <c r="P502" s="6">
        <f t="shared" si="45"/>
        <v>1062</v>
      </c>
      <c r="Q502">
        <f t="shared" si="46"/>
        <v>1</v>
      </c>
      <c r="R502">
        <f t="shared" si="47"/>
        <v>2</v>
      </c>
    </row>
    <row r="503" spans="1:18" x14ac:dyDescent="0.25">
      <c r="A503">
        <f>Raw_data!A503</f>
        <v>502</v>
      </c>
      <c r="B503" t="str">
        <f>Raw_data!B503</f>
        <v>C1953</v>
      </c>
      <c r="C503" t="str">
        <f>Raw_data!C503</f>
        <v>R2954</v>
      </c>
      <c r="D503" s="3">
        <f>Raw_data!D503</f>
        <v>45303.15929398148</v>
      </c>
      <c r="E503" s="3">
        <f>Raw_data!E503</f>
        <v>45303.185682870368</v>
      </c>
      <c r="F503" s="4">
        <f t="shared" si="42"/>
        <v>2.6388888887595385E-2</v>
      </c>
      <c r="G503" s="6">
        <f>Raw_data!F503</f>
        <v>1409</v>
      </c>
      <c r="H503" s="6">
        <f>Raw_data!G503</f>
        <v>40</v>
      </c>
      <c r="I503" t="str">
        <f>Raw_data!H503</f>
        <v>Credit Card</v>
      </c>
      <c r="J503" s="7" t="str">
        <f>IF(Raw_data!I503=0.1,"10%",Raw_data!I503)</f>
        <v>15% New User</v>
      </c>
      <c r="K503" s="6">
        <f>Raw_data!J503</f>
        <v>182</v>
      </c>
      <c r="L503" s="6">
        <f>Raw_data!K503</f>
        <v>27</v>
      </c>
      <c r="M503" s="6">
        <f>Raw_data!L503</f>
        <v>50</v>
      </c>
      <c r="N503" s="6">
        <f t="shared" si="43"/>
        <v>1200</v>
      </c>
      <c r="O503" s="6">
        <f t="shared" si="44"/>
        <v>159</v>
      </c>
      <c r="P503" s="6">
        <f t="shared" si="45"/>
        <v>1449</v>
      </c>
      <c r="Q503">
        <f t="shared" si="46"/>
        <v>1</v>
      </c>
      <c r="R503">
        <f t="shared" si="47"/>
        <v>3</v>
      </c>
    </row>
    <row r="504" spans="1:18" x14ac:dyDescent="0.25">
      <c r="A504">
        <f>Raw_data!A504</f>
        <v>503</v>
      </c>
      <c r="B504" t="str">
        <f>Raw_data!B504</f>
        <v>C3539</v>
      </c>
      <c r="C504" t="str">
        <f>Raw_data!C504</f>
        <v>R2225</v>
      </c>
      <c r="D504" s="3">
        <f>Raw_data!D504</f>
        <v>45326.867349537039</v>
      </c>
      <c r="E504" s="3">
        <f>Raw_data!E504</f>
        <v>45326.948599537034</v>
      </c>
      <c r="F504" s="4">
        <f t="shared" si="42"/>
        <v>8.1249999995634425E-2</v>
      </c>
      <c r="G504" s="6">
        <f>Raw_data!F504</f>
        <v>970</v>
      </c>
      <c r="H504" s="6">
        <f>Raw_data!G504</f>
        <v>30</v>
      </c>
      <c r="I504" t="str">
        <f>Raw_data!H504</f>
        <v>Cash on Delivery</v>
      </c>
      <c r="J504" s="7" t="str">
        <f>IF(Raw_data!I504=0.1,"10%",Raw_data!I504)</f>
        <v>15% New User</v>
      </c>
      <c r="K504" s="6">
        <f>Raw_data!J504</f>
        <v>126</v>
      </c>
      <c r="L504" s="6">
        <f>Raw_data!K504</f>
        <v>32</v>
      </c>
      <c r="M504" s="6">
        <f>Raw_data!L504</f>
        <v>0</v>
      </c>
      <c r="N504" s="6">
        <f t="shared" si="43"/>
        <v>812</v>
      </c>
      <c r="O504" s="6">
        <f t="shared" si="44"/>
        <v>158</v>
      </c>
      <c r="P504" s="6">
        <f t="shared" si="45"/>
        <v>1000</v>
      </c>
      <c r="Q504">
        <f t="shared" si="46"/>
        <v>1</v>
      </c>
      <c r="R504">
        <f t="shared" si="47"/>
        <v>4</v>
      </c>
    </row>
    <row r="505" spans="1:18" x14ac:dyDescent="0.25">
      <c r="A505">
        <f>Raw_data!A505</f>
        <v>504</v>
      </c>
      <c r="B505" t="str">
        <f>Raw_data!B505</f>
        <v>C8056</v>
      </c>
      <c r="C505" t="str">
        <f>Raw_data!C505</f>
        <v>R2983</v>
      </c>
      <c r="D505" s="3">
        <f>Raw_data!D505</f>
        <v>45309.718645833331</v>
      </c>
      <c r="E505" s="3">
        <f>Raw_data!E505</f>
        <v>45309.76934027778</v>
      </c>
      <c r="F505" s="4">
        <f t="shared" si="42"/>
        <v>5.0694444449618459E-2</v>
      </c>
      <c r="G505" s="6">
        <f>Raw_data!F505</f>
        <v>112</v>
      </c>
      <c r="H505" s="6">
        <f>Raw_data!G505</f>
        <v>50</v>
      </c>
      <c r="I505" t="str">
        <f>Raw_data!H505</f>
        <v>Cash on Delivery</v>
      </c>
      <c r="J505" s="7" t="str">
        <f>IF(Raw_data!I505=0.1,"10%",Raw_data!I505)</f>
        <v>15% New User</v>
      </c>
      <c r="K505" s="6">
        <f>Raw_data!J505</f>
        <v>170</v>
      </c>
      <c r="L505" s="6">
        <f>Raw_data!K505</f>
        <v>11</v>
      </c>
      <c r="M505" s="6">
        <f>Raw_data!L505</f>
        <v>0</v>
      </c>
      <c r="N505" s="6">
        <f t="shared" si="43"/>
        <v>-69</v>
      </c>
      <c r="O505" s="6">
        <f t="shared" si="44"/>
        <v>181</v>
      </c>
      <c r="P505" s="6">
        <f t="shared" si="45"/>
        <v>162</v>
      </c>
      <c r="Q505">
        <f t="shared" si="46"/>
        <v>1</v>
      </c>
      <c r="R505">
        <f t="shared" si="47"/>
        <v>2</v>
      </c>
    </row>
    <row r="506" spans="1:18" x14ac:dyDescent="0.25">
      <c r="A506">
        <f>Raw_data!A506</f>
        <v>505</v>
      </c>
      <c r="B506" t="str">
        <f>Raw_data!B506</f>
        <v>C2542</v>
      </c>
      <c r="C506" t="str">
        <f>Raw_data!C506</f>
        <v>R2123</v>
      </c>
      <c r="D506" s="3">
        <f>Raw_data!D506</f>
        <v>45292.092210648145</v>
      </c>
      <c r="E506" s="3">
        <f>Raw_data!E506</f>
        <v>45292.166516203702</v>
      </c>
      <c r="F506" s="4">
        <f t="shared" si="42"/>
        <v>7.4305555557657499E-2</v>
      </c>
      <c r="G506" s="6">
        <f>Raw_data!F506</f>
        <v>707</v>
      </c>
      <c r="H506" s="6">
        <f>Raw_data!G506</f>
        <v>20</v>
      </c>
      <c r="I506" t="str">
        <f>Raw_data!H506</f>
        <v>Cash on Delivery</v>
      </c>
      <c r="J506" s="7" t="str">
        <f>IF(Raw_data!I506=0.1,"10%",Raw_data!I506)</f>
        <v>10%</v>
      </c>
      <c r="K506" s="6">
        <f>Raw_data!J506</f>
        <v>177</v>
      </c>
      <c r="L506" s="6">
        <f>Raw_data!K506</f>
        <v>20</v>
      </c>
      <c r="M506" s="6">
        <f>Raw_data!L506</f>
        <v>0</v>
      </c>
      <c r="N506" s="6">
        <f t="shared" si="43"/>
        <v>510</v>
      </c>
      <c r="O506" s="6">
        <f t="shared" si="44"/>
        <v>197</v>
      </c>
      <c r="P506" s="6">
        <f t="shared" si="45"/>
        <v>727</v>
      </c>
      <c r="Q506">
        <f t="shared" si="46"/>
        <v>1</v>
      </c>
      <c r="R506">
        <f t="shared" si="47"/>
        <v>1</v>
      </c>
    </row>
    <row r="507" spans="1:18" x14ac:dyDescent="0.25">
      <c r="A507">
        <f>Raw_data!A507</f>
        <v>506</v>
      </c>
      <c r="B507" t="str">
        <f>Raw_data!B507</f>
        <v>C6293</v>
      </c>
      <c r="C507" t="str">
        <f>Raw_data!C507</f>
        <v>R2974</v>
      </c>
      <c r="D507" s="3">
        <f>Raw_data!D507</f>
        <v>45318.881053240744</v>
      </c>
      <c r="E507" s="3">
        <f>Raw_data!E507</f>
        <v>45318.933136574073</v>
      </c>
      <c r="F507" s="4">
        <f t="shared" si="42"/>
        <v>5.2083333328482695E-2</v>
      </c>
      <c r="G507" s="6">
        <f>Raw_data!F507</f>
        <v>597</v>
      </c>
      <c r="H507" s="6">
        <f>Raw_data!G507</f>
        <v>50</v>
      </c>
      <c r="I507" t="str">
        <f>Raw_data!H507</f>
        <v>Credit Card</v>
      </c>
      <c r="J507" s="7" t="str">
        <f>IF(Raw_data!I507=0.1,"10%",Raw_data!I507)</f>
        <v>10%</v>
      </c>
      <c r="K507" s="6">
        <f>Raw_data!J507</f>
        <v>127</v>
      </c>
      <c r="L507" s="6">
        <f>Raw_data!K507</f>
        <v>40</v>
      </c>
      <c r="M507" s="6">
        <f>Raw_data!L507</f>
        <v>50</v>
      </c>
      <c r="N507" s="6">
        <f t="shared" si="43"/>
        <v>430</v>
      </c>
      <c r="O507" s="6">
        <f t="shared" si="44"/>
        <v>117</v>
      </c>
      <c r="P507" s="6">
        <f t="shared" si="45"/>
        <v>647</v>
      </c>
      <c r="Q507">
        <f t="shared" si="46"/>
        <v>1</v>
      </c>
      <c r="R507">
        <f t="shared" si="47"/>
        <v>2</v>
      </c>
    </row>
    <row r="508" spans="1:18" x14ac:dyDescent="0.25">
      <c r="A508">
        <f>Raw_data!A508</f>
        <v>507</v>
      </c>
      <c r="B508" t="str">
        <f>Raw_data!B508</f>
        <v>C2191</v>
      </c>
      <c r="C508" t="str">
        <f>Raw_data!C508</f>
        <v>R2037</v>
      </c>
      <c r="D508" s="3">
        <f>Raw_data!D508</f>
        <v>45306.549768518518</v>
      </c>
      <c r="E508" s="3">
        <f>Raw_data!E508</f>
        <v>45306.575462962966</v>
      </c>
      <c r="F508" s="4">
        <f t="shared" si="42"/>
        <v>2.5694444448163267E-2</v>
      </c>
      <c r="G508" s="6">
        <f>Raw_data!F508</f>
        <v>1856</v>
      </c>
      <c r="H508" s="6">
        <f>Raw_data!G508</f>
        <v>0</v>
      </c>
      <c r="I508" t="str">
        <f>Raw_data!H508</f>
        <v>Cash on Delivery</v>
      </c>
      <c r="J508" s="7" t="str">
        <f>IF(Raw_data!I508=0.1,"10%",Raw_data!I508)</f>
        <v>50 off Promo</v>
      </c>
      <c r="K508" s="6">
        <f>Raw_data!J508</f>
        <v>116</v>
      </c>
      <c r="L508" s="6">
        <f>Raw_data!K508</f>
        <v>42</v>
      </c>
      <c r="M508" s="6">
        <f>Raw_data!L508</f>
        <v>0</v>
      </c>
      <c r="N508" s="6">
        <f t="shared" si="43"/>
        <v>1698</v>
      </c>
      <c r="O508" s="6">
        <f t="shared" si="44"/>
        <v>158</v>
      </c>
      <c r="P508" s="6">
        <f t="shared" si="45"/>
        <v>1856</v>
      </c>
      <c r="Q508">
        <f t="shared" si="46"/>
        <v>1</v>
      </c>
      <c r="R508">
        <f t="shared" si="47"/>
        <v>1</v>
      </c>
    </row>
    <row r="509" spans="1:18" x14ac:dyDescent="0.25">
      <c r="A509">
        <f>Raw_data!A509</f>
        <v>508</v>
      </c>
      <c r="B509" t="str">
        <f>Raw_data!B509</f>
        <v>C7313</v>
      </c>
      <c r="C509" t="str">
        <f>Raw_data!C509</f>
        <v>R2327</v>
      </c>
      <c r="D509" s="3">
        <f>Raw_data!D509</f>
        <v>45306.042372685188</v>
      </c>
      <c r="E509" s="3">
        <f>Raw_data!E509</f>
        <v>45306.088206018518</v>
      </c>
      <c r="F509" s="4">
        <f t="shared" si="42"/>
        <v>4.5833333329937886E-2</v>
      </c>
      <c r="G509" s="6">
        <f>Raw_data!F509</f>
        <v>337</v>
      </c>
      <c r="H509" s="6">
        <f>Raw_data!G509</f>
        <v>20</v>
      </c>
      <c r="I509" t="str">
        <f>Raw_data!H509</f>
        <v>Credit Card</v>
      </c>
      <c r="J509" s="7" t="str">
        <f>IF(Raw_data!I509=0.1,"10%",Raw_data!I509)</f>
        <v>10%</v>
      </c>
      <c r="K509" s="6">
        <f>Raw_data!J509</f>
        <v>164</v>
      </c>
      <c r="L509" s="6">
        <f>Raw_data!K509</f>
        <v>23</v>
      </c>
      <c r="M509" s="6">
        <f>Raw_data!L509</f>
        <v>0</v>
      </c>
      <c r="N509" s="6">
        <f t="shared" si="43"/>
        <v>150</v>
      </c>
      <c r="O509" s="6">
        <f t="shared" si="44"/>
        <v>187</v>
      </c>
      <c r="P509" s="6">
        <f t="shared" si="45"/>
        <v>357</v>
      </c>
      <c r="Q509">
        <f t="shared" si="46"/>
        <v>1</v>
      </c>
      <c r="R509">
        <f t="shared" si="47"/>
        <v>2</v>
      </c>
    </row>
    <row r="510" spans="1:18" x14ac:dyDescent="0.25">
      <c r="A510">
        <f>Raw_data!A510</f>
        <v>509</v>
      </c>
      <c r="B510" t="str">
        <f>Raw_data!B510</f>
        <v>C7938</v>
      </c>
      <c r="C510" t="str">
        <f>Raw_data!C510</f>
        <v>R2250</v>
      </c>
      <c r="D510" s="3">
        <f>Raw_data!D510</f>
        <v>45298.394293981481</v>
      </c>
      <c r="E510" s="3">
        <f>Raw_data!E510</f>
        <v>45298.427627314813</v>
      </c>
      <c r="F510" s="4">
        <f t="shared" si="42"/>
        <v>3.3333333332848269E-2</v>
      </c>
      <c r="G510" s="6">
        <f>Raw_data!F510</f>
        <v>1217</v>
      </c>
      <c r="H510" s="6">
        <f>Raw_data!G510</f>
        <v>0</v>
      </c>
      <c r="I510" t="str">
        <f>Raw_data!H510</f>
        <v>Cash on Delivery</v>
      </c>
      <c r="J510" s="7" t="str">
        <f>IF(Raw_data!I510=0.1,"10%",Raw_data!I510)</f>
        <v>10%</v>
      </c>
      <c r="K510" s="6">
        <f>Raw_data!J510</f>
        <v>112</v>
      </c>
      <c r="L510" s="6">
        <f>Raw_data!K510</f>
        <v>25</v>
      </c>
      <c r="M510" s="6">
        <f>Raw_data!L510</f>
        <v>0</v>
      </c>
      <c r="N510" s="6">
        <f t="shared" si="43"/>
        <v>1080</v>
      </c>
      <c r="O510" s="6">
        <f t="shared" si="44"/>
        <v>137</v>
      </c>
      <c r="P510" s="6">
        <f t="shared" si="45"/>
        <v>1217</v>
      </c>
      <c r="Q510">
        <f t="shared" si="46"/>
        <v>3</v>
      </c>
      <c r="R510">
        <f t="shared" si="47"/>
        <v>3</v>
      </c>
    </row>
    <row r="511" spans="1:18" x14ac:dyDescent="0.25">
      <c r="A511">
        <f>Raw_data!A511</f>
        <v>510</v>
      </c>
      <c r="B511" t="str">
        <f>Raw_data!B511</f>
        <v>C3681</v>
      </c>
      <c r="C511" t="str">
        <f>Raw_data!C511</f>
        <v>R2900</v>
      </c>
      <c r="D511" s="3">
        <f>Raw_data!D511</f>
        <v>45294.911307870374</v>
      </c>
      <c r="E511" s="3">
        <f>Raw_data!E511</f>
        <v>45294.97519675926</v>
      </c>
      <c r="F511" s="4">
        <f t="shared" si="42"/>
        <v>6.3888888886140194E-2</v>
      </c>
      <c r="G511" s="6">
        <f>Raw_data!F511</f>
        <v>1461</v>
      </c>
      <c r="H511" s="6">
        <f>Raw_data!G511</f>
        <v>20</v>
      </c>
      <c r="I511" t="str">
        <f>Raw_data!H511</f>
        <v>Cash on Delivery</v>
      </c>
      <c r="J511" s="7" t="str">
        <f>IF(Raw_data!I511=0.1,"10%",Raw_data!I511)</f>
        <v>10%</v>
      </c>
      <c r="K511" s="6">
        <f>Raw_data!J511</f>
        <v>162</v>
      </c>
      <c r="L511" s="6">
        <f>Raw_data!K511</f>
        <v>20</v>
      </c>
      <c r="M511" s="6">
        <f>Raw_data!L511</f>
        <v>0</v>
      </c>
      <c r="N511" s="6">
        <f t="shared" si="43"/>
        <v>1279</v>
      </c>
      <c r="O511" s="6">
        <f t="shared" si="44"/>
        <v>182</v>
      </c>
      <c r="P511" s="6">
        <f t="shared" si="45"/>
        <v>1481</v>
      </c>
      <c r="Q511">
        <f t="shared" si="46"/>
        <v>1</v>
      </c>
      <c r="R511">
        <f t="shared" si="47"/>
        <v>1</v>
      </c>
    </row>
    <row r="512" spans="1:18" x14ac:dyDescent="0.25">
      <c r="A512">
        <f>Raw_data!A512</f>
        <v>511</v>
      </c>
      <c r="B512" t="str">
        <f>Raw_data!B512</f>
        <v>C2540</v>
      </c>
      <c r="C512" t="str">
        <f>Raw_data!C512</f>
        <v>R2175</v>
      </c>
      <c r="D512" s="3">
        <f>Raw_data!D512</f>
        <v>45312.325509259259</v>
      </c>
      <c r="E512" s="3">
        <f>Raw_data!E512</f>
        <v>45312.377592592595</v>
      </c>
      <c r="F512" s="4">
        <f t="shared" si="42"/>
        <v>5.2083333335758653E-2</v>
      </c>
      <c r="G512" s="6">
        <f>Raw_data!F512</f>
        <v>880</v>
      </c>
      <c r="H512" s="6">
        <f>Raw_data!G512</f>
        <v>50</v>
      </c>
      <c r="I512" t="str">
        <f>Raw_data!H512</f>
        <v>Digital Wallet</v>
      </c>
      <c r="J512" s="7" t="str">
        <f>IF(Raw_data!I512=0.1,"10%",Raw_data!I512)</f>
        <v>5% on App</v>
      </c>
      <c r="K512" s="6">
        <f>Raw_data!J512</f>
        <v>143</v>
      </c>
      <c r="L512" s="6">
        <f>Raw_data!K512</f>
        <v>42</v>
      </c>
      <c r="M512" s="6">
        <f>Raw_data!L512</f>
        <v>0</v>
      </c>
      <c r="N512" s="6">
        <f t="shared" si="43"/>
        <v>695</v>
      </c>
      <c r="O512" s="6">
        <f t="shared" si="44"/>
        <v>185</v>
      </c>
      <c r="P512" s="6">
        <f t="shared" si="45"/>
        <v>930</v>
      </c>
      <c r="Q512">
        <f t="shared" si="46"/>
        <v>1</v>
      </c>
      <c r="R512">
        <f t="shared" si="47"/>
        <v>1</v>
      </c>
    </row>
    <row r="513" spans="1:18" x14ac:dyDescent="0.25">
      <c r="A513">
        <f>Raw_data!A513</f>
        <v>512</v>
      </c>
      <c r="B513" t="str">
        <f>Raw_data!B513</f>
        <v>C7172</v>
      </c>
      <c r="C513" t="str">
        <f>Raw_data!C513</f>
        <v>R2601</v>
      </c>
      <c r="D513" s="3">
        <f>Raw_data!D513</f>
        <v>45301.739942129629</v>
      </c>
      <c r="E513" s="3">
        <f>Raw_data!E513</f>
        <v>45301.809386574074</v>
      </c>
      <c r="F513" s="4">
        <f t="shared" si="42"/>
        <v>6.9444444445252884E-2</v>
      </c>
      <c r="G513" s="6">
        <f>Raw_data!F513</f>
        <v>1294</v>
      </c>
      <c r="H513" s="6">
        <f>Raw_data!G513</f>
        <v>40</v>
      </c>
      <c r="I513" t="str">
        <f>Raw_data!H513</f>
        <v>Digital Wallet</v>
      </c>
      <c r="J513" s="7" t="str">
        <f>IF(Raw_data!I513=0.1,"10%",Raw_data!I513)</f>
        <v>10%</v>
      </c>
      <c r="K513" s="6">
        <f>Raw_data!J513</f>
        <v>97</v>
      </c>
      <c r="L513" s="6">
        <f>Raw_data!K513</f>
        <v>16</v>
      </c>
      <c r="M513" s="6">
        <f>Raw_data!L513</f>
        <v>0</v>
      </c>
      <c r="N513" s="6">
        <f t="shared" si="43"/>
        <v>1181</v>
      </c>
      <c r="O513" s="6">
        <f t="shared" si="44"/>
        <v>113</v>
      </c>
      <c r="P513" s="6">
        <f t="shared" si="45"/>
        <v>1334</v>
      </c>
      <c r="Q513">
        <f t="shared" si="46"/>
        <v>1</v>
      </c>
      <c r="R513">
        <f t="shared" si="47"/>
        <v>1</v>
      </c>
    </row>
    <row r="514" spans="1:18" x14ac:dyDescent="0.25">
      <c r="A514">
        <f>Raw_data!A514</f>
        <v>513</v>
      </c>
      <c r="B514" t="str">
        <f>Raw_data!B514</f>
        <v>C6541</v>
      </c>
      <c r="C514" t="str">
        <f>Raw_data!C514</f>
        <v>R2913</v>
      </c>
      <c r="D514" s="3">
        <f>Raw_data!D514</f>
        <v>45302.007465277777</v>
      </c>
      <c r="E514" s="3">
        <f>Raw_data!E514</f>
        <v>45302.045659722222</v>
      </c>
      <c r="F514" s="4">
        <f t="shared" si="42"/>
        <v>3.8194444445252884E-2</v>
      </c>
      <c r="G514" s="6">
        <f>Raw_data!F514</f>
        <v>705</v>
      </c>
      <c r="H514" s="6">
        <f>Raw_data!G514</f>
        <v>30</v>
      </c>
      <c r="I514" t="str">
        <f>Raw_data!H514</f>
        <v>Digital Wallet</v>
      </c>
      <c r="J514" s="7" t="str">
        <f>IF(Raw_data!I514=0.1,"10%",Raw_data!I514)</f>
        <v>None</v>
      </c>
      <c r="K514" s="6">
        <f>Raw_data!J514</f>
        <v>61</v>
      </c>
      <c r="L514" s="6">
        <f>Raw_data!K514</f>
        <v>40</v>
      </c>
      <c r="M514" s="6">
        <f>Raw_data!L514</f>
        <v>0</v>
      </c>
      <c r="N514" s="6">
        <f t="shared" si="43"/>
        <v>604</v>
      </c>
      <c r="O514" s="6">
        <f t="shared" si="44"/>
        <v>101</v>
      </c>
      <c r="P514" s="6">
        <f t="shared" si="45"/>
        <v>735</v>
      </c>
      <c r="Q514">
        <f t="shared" si="46"/>
        <v>1</v>
      </c>
      <c r="R514">
        <f t="shared" si="47"/>
        <v>2</v>
      </c>
    </row>
    <row r="515" spans="1:18" x14ac:dyDescent="0.25">
      <c r="A515">
        <f>Raw_data!A515</f>
        <v>514</v>
      </c>
      <c r="B515" t="str">
        <f>Raw_data!B515</f>
        <v>C2365</v>
      </c>
      <c r="C515" t="str">
        <f>Raw_data!C515</f>
        <v>R2453</v>
      </c>
      <c r="D515" s="3">
        <f>Raw_data!D515</f>
        <v>45308.529247685183</v>
      </c>
      <c r="E515" s="3">
        <f>Raw_data!E515</f>
        <v>45308.581331018519</v>
      </c>
      <c r="F515" s="4">
        <f t="shared" ref="F515:F578" si="48">E515-D515</f>
        <v>5.2083333335758653E-2</v>
      </c>
      <c r="G515" s="6">
        <f>Raw_data!F515</f>
        <v>760</v>
      </c>
      <c r="H515" s="6">
        <f>Raw_data!G515</f>
        <v>0</v>
      </c>
      <c r="I515" t="str">
        <f>Raw_data!H515</f>
        <v>Credit Card</v>
      </c>
      <c r="J515" s="7" t="str">
        <f>IF(Raw_data!I515=0.1,"10%",Raw_data!I515)</f>
        <v>None</v>
      </c>
      <c r="K515" s="6">
        <f>Raw_data!J515</f>
        <v>194</v>
      </c>
      <c r="L515" s="6">
        <f>Raw_data!K515</f>
        <v>23</v>
      </c>
      <c r="M515" s="6">
        <f>Raw_data!L515</f>
        <v>150</v>
      </c>
      <c r="N515" s="6">
        <f t="shared" ref="N515:N578" si="49">G515-K515-L515</f>
        <v>543</v>
      </c>
      <c r="O515" s="6">
        <f t="shared" ref="O515:O578" si="50">K515+L515-M515</f>
        <v>67</v>
      </c>
      <c r="P515" s="6">
        <f t="shared" ref="P515:P578" si="51">G515+H515</f>
        <v>760</v>
      </c>
      <c r="Q515">
        <f t="shared" ref="Q515:Q578" si="52">COUNTIF(B$2:B$1001,B515)</f>
        <v>2</v>
      </c>
      <c r="R515">
        <f t="shared" ref="R515:R578" si="53">COUNTIF(C$2:C$1001,C515)</f>
        <v>1</v>
      </c>
    </row>
    <row r="516" spans="1:18" x14ac:dyDescent="0.25">
      <c r="A516">
        <f>Raw_data!A516</f>
        <v>515</v>
      </c>
      <c r="B516" t="str">
        <f>Raw_data!B516</f>
        <v>C9691</v>
      </c>
      <c r="C516" t="str">
        <f>Raw_data!C516</f>
        <v>R2036</v>
      </c>
      <c r="D516" s="3">
        <f>Raw_data!D516</f>
        <v>45302.830694444441</v>
      </c>
      <c r="E516" s="3">
        <f>Raw_data!E516</f>
        <v>45302.882777777777</v>
      </c>
      <c r="F516" s="4">
        <f t="shared" si="48"/>
        <v>5.2083333335758653E-2</v>
      </c>
      <c r="G516" s="6">
        <f>Raw_data!F516</f>
        <v>1747</v>
      </c>
      <c r="H516" s="6">
        <f>Raw_data!G516</f>
        <v>50</v>
      </c>
      <c r="I516" t="str">
        <f>Raw_data!H516</f>
        <v>Credit Card</v>
      </c>
      <c r="J516" s="7" t="str">
        <f>IF(Raw_data!I516=0.1,"10%",Raw_data!I516)</f>
        <v>50 off Promo</v>
      </c>
      <c r="K516" s="6">
        <f>Raw_data!J516</f>
        <v>89</v>
      </c>
      <c r="L516" s="6">
        <f>Raw_data!K516</f>
        <v>37</v>
      </c>
      <c r="M516" s="6">
        <f>Raw_data!L516</f>
        <v>0</v>
      </c>
      <c r="N516" s="6">
        <f t="shared" si="49"/>
        <v>1621</v>
      </c>
      <c r="O516" s="6">
        <f t="shared" si="50"/>
        <v>126</v>
      </c>
      <c r="P516" s="6">
        <f t="shared" si="51"/>
        <v>1797</v>
      </c>
      <c r="Q516">
        <f t="shared" si="52"/>
        <v>1</v>
      </c>
      <c r="R516">
        <f t="shared" si="53"/>
        <v>2</v>
      </c>
    </row>
    <row r="517" spans="1:18" x14ac:dyDescent="0.25">
      <c r="A517">
        <f>Raw_data!A517</f>
        <v>516</v>
      </c>
      <c r="B517" t="str">
        <f>Raw_data!B517</f>
        <v>C9702</v>
      </c>
      <c r="C517" t="str">
        <f>Raw_data!C517</f>
        <v>R2315</v>
      </c>
      <c r="D517" s="3">
        <f>Raw_data!D517</f>
        <v>45297.452337962961</v>
      </c>
      <c r="E517" s="3">
        <f>Raw_data!E517</f>
        <v>45297.524560185186</v>
      </c>
      <c r="F517" s="4">
        <f t="shared" si="48"/>
        <v>7.2222222224809229E-2</v>
      </c>
      <c r="G517" s="6">
        <f>Raw_data!F517</f>
        <v>1690</v>
      </c>
      <c r="H517" s="6">
        <f>Raw_data!G517</f>
        <v>40</v>
      </c>
      <c r="I517" t="str">
        <f>Raw_data!H517</f>
        <v>Cash on Delivery</v>
      </c>
      <c r="J517" s="7" t="str">
        <f>IF(Raw_data!I517=0.1,"10%",Raw_data!I517)</f>
        <v>5% on App</v>
      </c>
      <c r="K517" s="6">
        <f>Raw_data!J517</f>
        <v>134</v>
      </c>
      <c r="L517" s="6">
        <f>Raw_data!K517</f>
        <v>25</v>
      </c>
      <c r="M517" s="6">
        <f>Raw_data!L517</f>
        <v>50</v>
      </c>
      <c r="N517" s="6">
        <f t="shared" si="49"/>
        <v>1531</v>
      </c>
      <c r="O517" s="6">
        <f t="shared" si="50"/>
        <v>109</v>
      </c>
      <c r="P517" s="6">
        <f t="shared" si="51"/>
        <v>1730</v>
      </c>
      <c r="Q517">
        <f t="shared" si="52"/>
        <v>2</v>
      </c>
      <c r="R517">
        <f t="shared" si="53"/>
        <v>1</v>
      </c>
    </row>
    <row r="518" spans="1:18" x14ac:dyDescent="0.25">
      <c r="A518">
        <f>Raw_data!A518</f>
        <v>517</v>
      </c>
      <c r="B518" t="str">
        <f>Raw_data!B518</f>
        <v>C8494</v>
      </c>
      <c r="C518" t="str">
        <f>Raw_data!C518</f>
        <v>R2687</v>
      </c>
      <c r="D518" s="3">
        <f>Raw_data!D518</f>
        <v>45314.237002314818</v>
      </c>
      <c r="E518" s="3">
        <f>Raw_data!E518</f>
        <v>45314.266863425924</v>
      </c>
      <c r="F518" s="4">
        <f t="shared" si="48"/>
        <v>2.9861111106583849E-2</v>
      </c>
      <c r="G518" s="6">
        <f>Raw_data!F518</f>
        <v>948</v>
      </c>
      <c r="H518" s="6">
        <f>Raw_data!G518</f>
        <v>50</v>
      </c>
      <c r="I518" t="str">
        <f>Raw_data!H518</f>
        <v>Cash on Delivery</v>
      </c>
      <c r="J518" s="7" t="str">
        <f>IF(Raw_data!I518=0.1,"10%",Raw_data!I518)</f>
        <v>None</v>
      </c>
      <c r="K518" s="6">
        <f>Raw_data!J518</f>
        <v>106</v>
      </c>
      <c r="L518" s="6">
        <f>Raw_data!K518</f>
        <v>28</v>
      </c>
      <c r="M518" s="6">
        <f>Raw_data!L518</f>
        <v>0</v>
      </c>
      <c r="N518" s="6">
        <f t="shared" si="49"/>
        <v>814</v>
      </c>
      <c r="O518" s="6">
        <f t="shared" si="50"/>
        <v>134</v>
      </c>
      <c r="P518" s="6">
        <f t="shared" si="51"/>
        <v>998</v>
      </c>
      <c r="Q518">
        <f t="shared" si="52"/>
        <v>1</v>
      </c>
      <c r="R518">
        <f t="shared" si="53"/>
        <v>2</v>
      </c>
    </row>
    <row r="519" spans="1:18" x14ac:dyDescent="0.25">
      <c r="A519">
        <f>Raw_data!A519</f>
        <v>518</v>
      </c>
      <c r="B519" t="str">
        <f>Raw_data!B519</f>
        <v>C5312</v>
      </c>
      <c r="C519" t="str">
        <f>Raw_data!C519</f>
        <v>R2972</v>
      </c>
      <c r="D519" s="3">
        <f>Raw_data!D519</f>
        <v>45292.700752314813</v>
      </c>
      <c r="E519" s="3">
        <f>Raw_data!E519</f>
        <v>45292.779918981483</v>
      </c>
      <c r="F519" s="4">
        <f t="shared" si="48"/>
        <v>7.9166666670062114E-2</v>
      </c>
      <c r="G519" s="6">
        <f>Raw_data!F519</f>
        <v>1035</v>
      </c>
      <c r="H519" s="6">
        <f>Raw_data!G519</f>
        <v>0</v>
      </c>
      <c r="I519" t="str">
        <f>Raw_data!H519</f>
        <v>Cash on Delivery</v>
      </c>
      <c r="J519" s="7" t="str">
        <f>IF(Raw_data!I519=0.1,"10%",Raw_data!I519)</f>
        <v>5% on App</v>
      </c>
      <c r="K519" s="6">
        <f>Raw_data!J519</f>
        <v>136</v>
      </c>
      <c r="L519" s="6">
        <f>Raw_data!K519</f>
        <v>26</v>
      </c>
      <c r="M519" s="6">
        <f>Raw_data!L519</f>
        <v>150</v>
      </c>
      <c r="N519" s="6">
        <f t="shared" si="49"/>
        <v>873</v>
      </c>
      <c r="O519" s="6">
        <f t="shared" si="50"/>
        <v>12</v>
      </c>
      <c r="P519" s="6">
        <f t="shared" si="51"/>
        <v>1035</v>
      </c>
      <c r="Q519">
        <f t="shared" si="52"/>
        <v>1</v>
      </c>
      <c r="R519">
        <f t="shared" si="53"/>
        <v>4</v>
      </c>
    </row>
    <row r="520" spans="1:18" x14ac:dyDescent="0.25">
      <c r="A520">
        <f>Raw_data!A520</f>
        <v>519</v>
      </c>
      <c r="B520" t="str">
        <f>Raw_data!B520</f>
        <v>C2324</v>
      </c>
      <c r="C520" t="str">
        <f>Raw_data!C520</f>
        <v>R2795</v>
      </c>
      <c r="D520" s="3">
        <f>Raw_data!D520</f>
        <v>45318.863958333335</v>
      </c>
      <c r="E520" s="3">
        <f>Raw_data!E520</f>
        <v>45318.927847222221</v>
      </c>
      <c r="F520" s="4">
        <f t="shared" si="48"/>
        <v>6.3888888886140194E-2</v>
      </c>
      <c r="G520" s="6">
        <f>Raw_data!F520</f>
        <v>1590</v>
      </c>
      <c r="H520" s="6">
        <f>Raw_data!G520</f>
        <v>30</v>
      </c>
      <c r="I520" t="str">
        <f>Raw_data!H520</f>
        <v>Cash on Delivery</v>
      </c>
      <c r="J520" s="7" t="str">
        <f>IF(Raw_data!I520=0.1,"10%",Raw_data!I520)</f>
        <v>5% on App</v>
      </c>
      <c r="K520" s="6">
        <f>Raw_data!J520</f>
        <v>133</v>
      </c>
      <c r="L520" s="6">
        <f>Raw_data!K520</f>
        <v>35</v>
      </c>
      <c r="M520" s="6">
        <f>Raw_data!L520</f>
        <v>100</v>
      </c>
      <c r="N520" s="6">
        <f t="shared" si="49"/>
        <v>1422</v>
      </c>
      <c r="O520" s="6">
        <f t="shared" si="50"/>
        <v>68</v>
      </c>
      <c r="P520" s="6">
        <f t="shared" si="51"/>
        <v>1620</v>
      </c>
      <c r="Q520">
        <f t="shared" si="52"/>
        <v>1</v>
      </c>
      <c r="R520">
        <f t="shared" si="53"/>
        <v>1</v>
      </c>
    </row>
    <row r="521" spans="1:18" x14ac:dyDescent="0.25">
      <c r="A521">
        <f>Raw_data!A521</f>
        <v>520</v>
      </c>
      <c r="B521" t="str">
        <f>Raw_data!B521</f>
        <v>C4141</v>
      </c>
      <c r="C521" t="str">
        <f>Raw_data!C521</f>
        <v>R2964</v>
      </c>
      <c r="D521" s="3">
        <f>Raw_data!D521</f>
        <v>45324.692800925928</v>
      </c>
      <c r="E521" s="3">
        <f>Raw_data!E521</f>
        <v>45324.762939814813</v>
      </c>
      <c r="F521" s="4">
        <f t="shared" si="48"/>
        <v>7.0138888884685002E-2</v>
      </c>
      <c r="G521" s="6">
        <f>Raw_data!F521</f>
        <v>727</v>
      </c>
      <c r="H521" s="6">
        <f>Raw_data!G521</f>
        <v>50</v>
      </c>
      <c r="I521" t="str">
        <f>Raw_data!H521</f>
        <v>Credit Card</v>
      </c>
      <c r="J521" s="7" t="str">
        <f>IF(Raw_data!I521=0.1,"10%",Raw_data!I521)</f>
        <v>50 off Promo</v>
      </c>
      <c r="K521" s="6">
        <f>Raw_data!J521</f>
        <v>170</v>
      </c>
      <c r="L521" s="6">
        <f>Raw_data!K521</f>
        <v>15</v>
      </c>
      <c r="M521" s="6">
        <f>Raw_data!L521</f>
        <v>100</v>
      </c>
      <c r="N521" s="6">
        <f t="shared" si="49"/>
        <v>542</v>
      </c>
      <c r="O521" s="6">
        <f t="shared" si="50"/>
        <v>85</v>
      </c>
      <c r="P521" s="6">
        <f t="shared" si="51"/>
        <v>777</v>
      </c>
      <c r="Q521">
        <f t="shared" si="52"/>
        <v>1</v>
      </c>
      <c r="R521">
        <f t="shared" si="53"/>
        <v>1</v>
      </c>
    </row>
    <row r="522" spans="1:18" x14ac:dyDescent="0.25">
      <c r="A522">
        <f>Raw_data!A522</f>
        <v>521</v>
      </c>
      <c r="B522" t="str">
        <f>Raw_data!B522</f>
        <v>C8419</v>
      </c>
      <c r="C522" t="str">
        <f>Raw_data!C522</f>
        <v>R2972</v>
      </c>
      <c r="D522" s="3">
        <f>Raw_data!D522</f>
        <v>45327.724791666667</v>
      </c>
      <c r="E522" s="3">
        <f>Raw_data!E522</f>
        <v>45327.747013888889</v>
      </c>
      <c r="F522" s="4">
        <f t="shared" si="48"/>
        <v>2.2222222221898846E-2</v>
      </c>
      <c r="G522" s="6">
        <f>Raw_data!F522</f>
        <v>242</v>
      </c>
      <c r="H522" s="6">
        <f>Raw_data!G522</f>
        <v>20</v>
      </c>
      <c r="I522" t="str">
        <f>Raw_data!H522</f>
        <v>Cash on Delivery</v>
      </c>
      <c r="J522" s="7" t="str">
        <f>IF(Raw_data!I522=0.1,"10%",Raw_data!I522)</f>
        <v>5% on App</v>
      </c>
      <c r="K522" s="6">
        <f>Raw_data!J522</f>
        <v>123</v>
      </c>
      <c r="L522" s="6">
        <f>Raw_data!K522</f>
        <v>18</v>
      </c>
      <c r="M522" s="6">
        <f>Raw_data!L522</f>
        <v>100</v>
      </c>
      <c r="N522" s="6">
        <f t="shared" si="49"/>
        <v>101</v>
      </c>
      <c r="O522" s="6">
        <f t="shared" si="50"/>
        <v>41</v>
      </c>
      <c r="P522" s="6">
        <f t="shared" si="51"/>
        <v>262</v>
      </c>
      <c r="Q522">
        <f t="shared" si="52"/>
        <v>1</v>
      </c>
      <c r="R522">
        <f t="shared" si="53"/>
        <v>4</v>
      </c>
    </row>
    <row r="523" spans="1:18" x14ac:dyDescent="0.25">
      <c r="A523">
        <f>Raw_data!A523</f>
        <v>522</v>
      </c>
      <c r="B523" t="str">
        <f>Raw_data!B523</f>
        <v>C4486</v>
      </c>
      <c r="C523" t="str">
        <f>Raw_data!C523</f>
        <v>R2592</v>
      </c>
      <c r="D523" s="3">
        <f>Raw_data!D523</f>
        <v>45316.266134259262</v>
      </c>
      <c r="E523" s="3">
        <f>Raw_data!E523</f>
        <v>45316.305717592593</v>
      </c>
      <c r="F523" s="4">
        <f t="shared" si="48"/>
        <v>3.9583333331393078E-2</v>
      </c>
      <c r="G523" s="6">
        <f>Raw_data!F523</f>
        <v>1324</v>
      </c>
      <c r="H523" s="6">
        <f>Raw_data!G523</f>
        <v>40</v>
      </c>
      <c r="I523" t="str">
        <f>Raw_data!H523</f>
        <v>Cash on Delivery</v>
      </c>
      <c r="J523" s="7" t="str">
        <f>IF(Raw_data!I523=0.1,"10%",Raw_data!I523)</f>
        <v>10%</v>
      </c>
      <c r="K523" s="6">
        <f>Raw_data!J523</f>
        <v>156</v>
      </c>
      <c r="L523" s="6">
        <f>Raw_data!K523</f>
        <v>26</v>
      </c>
      <c r="M523" s="6">
        <f>Raw_data!L523</f>
        <v>0</v>
      </c>
      <c r="N523" s="6">
        <f t="shared" si="49"/>
        <v>1142</v>
      </c>
      <c r="O523" s="6">
        <f t="shared" si="50"/>
        <v>182</v>
      </c>
      <c r="P523" s="6">
        <f t="shared" si="51"/>
        <v>1364</v>
      </c>
      <c r="Q523">
        <f t="shared" si="52"/>
        <v>2</v>
      </c>
      <c r="R523">
        <f t="shared" si="53"/>
        <v>2</v>
      </c>
    </row>
    <row r="524" spans="1:18" x14ac:dyDescent="0.25">
      <c r="A524">
        <f>Raw_data!A524</f>
        <v>523</v>
      </c>
      <c r="B524" t="str">
        <f>Raw_data!B524</f>
        <v>C2810</v>
      </c>
      <c r="C524" t="str">
        <f>Raw_data!C524</f>
        <v>R2113</v>
      </c>
      <c r="D524" s="3">
        <f>Raw_data!D524</f>
        <v>45310.701122685183</v>
      </c>
      <c r="E524" s="3">
        <f>Raw_data!E524</f>
        <v>45310.741400462961</v>
      </c>
      <c r="F524" s="4">
        <f t="shared" si="48"/>
        <v>4.0277777778101154E-2</v>
      </c>
      <c r="G524" s="6">
        <f>Raw_data!F524</f>
        <v>1303</v>
      </c>
      <c r="H524" s="6">
        <f>Raw_data!G524</f>
        <v>50</v>
      </c>
      <c r="I524" t="str">
        <f>Raw_data!H524</f>
        <v>Digital Wallet</v>
      </c>
      <c r="J524" s="7" t="str">
        <f>IF(Raw_data!I524=0.1,"10%",Raw_data!I524)</f>
        <v>5% on App</v>
      </c>
      <c r="K524" s="6">
        <f>Raw_data!J524</f>
        <v>173</v>
      </c>
      <c r="L524" s="6">
        <f>Raw_data!K524</f>
        <v>40</v>
      </c>
      <c r="M524" s="6">
        <f>Raw_data!L524</f>
        <v>100</v>
      </c>
      <c r="N524" s="6">
        <f t="shared" si="49"/>
        <v>1090</v>
      </c>
      <c r="O524" s="6">
        <f t="shared" si="50"/>
        <v>113</v>
      </c>
      <c r="P524" s="6">
        <f t="shared" si="51"/>
        <v>1353</v>
      </c>
      <c r="Q524">
        <f t="shared" si="52"/>
        <v>1</v>
      </c>
      <c r="R524">
        <f t="shared" si="53"/>
        <v>1</v>
      </c>
    </row>
    <row r="525" spans="1:18" x14ac:dyDescent="0.25">
      <c r="A525">
        <f>Raw_data!A525</f>
        <v>524</v>
      </c>
      <c r="B525" t="str">
        <f>Raw_data!B525</f>
        <v>C7588</v>
      </c>
      <c r="C525" t="str">
        <f>Raw_data!C525</f>
        <v>R2039</v>
      </c>
      <c r="D525" s="3">
        <f>Raw_data!D525</f>
        <v>45319.171863425923</v>
      </c>
      <c r="E525" s="3">
        <f>Raw_data!E525</f>
        <v>45319.252418981479</v>
      </c>
      <c r="F525" s="4">
        <f t="shared" si="48"/>
        <v>8.0555555556202307E-2</v>
      </c>
      <c r="G525" s="6">
        <f>Raw_data!F525</f>
        <v>813</v>
      </c>
      <c r="H525" s="6">
        <f>Raw_data!G525</f>
        <v>40</v>
      </c>
      <c r="I525" t="str">
        <f>Raw_data!H525</f>
        <v>Cash on Delivery</v>
      </c>
      <c r="J525" s="7" t="str">
        <f>IF(Raw_data!I525=0.1,"10%",Raw_data!I525)</f>
        <v>50 off Promo</v>
      </c>
      <c r="K525" s="6">
        <f>Raw_data!J525</f>
        <v>149</v>
      </c>
      <c r="L525" s="6">
        <f>Raw_data!K525</f>
        <v>21</v>
      </c>
      <c r="M525" s="6">
        <f>Raw_data!L525</f>
        <v>0</v>
      </c>
      <c r="N525" s="6">
        <f t="shared" si="49"/>
        <v>643</v>
      </c>
      <c r="O525" s="6">
        <f t="shared" si="50"/>
        <v>170</v>
      </c>
      <c r="P525" s="6">
        <f t="shared" si="51"/>
        <v>853</v>
      </c>
      <c r="Q525">
        <f t="shared" si="52"/>
        <v>1</v>
      </c>
      <c r="R525">
        <f t="shared" si="53"/>
        <v>4</v>
      </c>
    </row>
    <row r="526" spans="1:18" x14ac:dyDescent="0.25">
      <c r="A526">
        <f>Raw_data!A526</f>
        <v>525</v>
      </c>
      <c r="B526" t="str">
        <f>Raw_data!B526</f>
        <v>C3923</v>
      </c>
      <c r="C526" t="str">
        <f>Raw_data!C526</f>
        <v>R2300</v>
      </c>
      <c r="D526" s="3">
        <f>Raw_data!D526</f>
        <v>45303.263668981483</v>
      </c>
      <c r="E526" s="3">
        <f>Raw_data!E526</f>
        <v>45303.296307870369</v>
      </c>
      <c r="F526" s="4">
        <f t="shared" si="48"/>
        <v>3.2638888886140194E-2</v>
      </c>
      <c r="G526" s="6">
        <f>Raw_data!F526</f>
        <v>1487</v>
      </c>
      <c r="H526" s="6">
        <f>Raw_data!G526</f>
        <v>20</v>
      </c>
      <c r="I526" t="str">
        <f>Raw_data!H526</f>
        <v>Cash on Delivery</v>
      </c>
      <c r="J526" s="7" t="str">
        <f>IF(Raw_data!I526=0.1,"10%",Raw_data!I526)</f>
        <v>50 off Promo</v>
      </c>
      <c r="K526" s="6">
        <f>Raw_data!J526</f>
        <v>92</v>
      </c>
      <c r="L526" s="6">
        <f>Raw_data!K526</f>
        <v>32</v>
      </c>
      <c r="M526" s="6">
        <f>Raw_data!L526</f>
        <v>0</v>
      </c>
      <c r="N526" s="6">
        <f t="shared" si="49"/>
        <v>1363</v>
      </c>
      <c r="O526" s="6">
        <f t="shared" si="50"/>
        <v>124</v>
      </c>
      <c r="P526" s="6">
        <f t="shared" si="51"/>
        <v>1507</v>
      </c>
      <c r="Q526">
        <f t="shared" si="52"/>
        <v>1</v>
      </c>
      <c r="R526">
        <f t="shared" si="53"/>
        <v>3</v>
      </c>
    </row>
    <row r="527" spans="1:18" x14ac:dyDescent="0.25">
      <c r="A527">
        <f>Raw_data!A527</f>
        <v>526</v>
      </c>
      <c r="B527" t="str">
        <f>Raw_data!B527</f>
        <v>C6301</v>
      </c>
      <c r="C527" t="str">
        <f>Raw_data!C527</f>
        <v>R2223</v>
      </c>
      <c r="D527" s="3">
        <f>Raw_data!D527</f>
        <v>45328.074189814812</v>
      </c>
      <c r="E527" s="3">
        <f>Raw_data!E527</f>
        <v>45328.118634259263</v>
      </c>
      <c r="F527" s="4">
        <f t="shared" si="48"/>
        <v>4.444444445107365E-2</v>
      </c>
      <c r="G527" s="6">
        <f>Raw_data!F527</f>
        <v>578</v>
      </c>
      <c r="H527" s="6">
        <f>Raw_data!G527</f>
        <v>30</v>
      </c>
      <c r="I527" t="str">
        <f>Raw_data!H527</f>
        <v>Cash on Delivery</v>
      </c>
      <c r="J527" s="7" t="str">
        <f>IF(Raw_data!I527=0.1,"10%",Raw_data!I527)</f>
        <v>50 off Promo</v>
      </c>
      <c r="K527" s="6">
        <f>Raw_data!J527</f>
        <v>168</v>
      </c>
      <c r="L527" s="6">
        <f>Raw_data!K527</f>
        <v>14</v>
      </c>
      <c r="M527" s="6">
        <f>Raw_data!L527</f>
        <v>0</v>
      </c>
      <c r="N527" s="6">
        <f t="shared" si="49"/>
        <v>396</v>
      </c>
      <c r="O527" s="6">
        <f t="shared" si="50"/>
        <v>182</v>
      </c>
      <c r="P527" s="6">
        <f t="shared" si="51"/>
        <v>608</v>
      </c>
      <c r="Q527">
        <f t="shared" si="52"/>
        <v>1</v>
      </c>
      <c r="R527">
        <f t="shared" si="53"/>
        <v>3</v>
      </c>
    </row>
    <row r="528" spans="1:18" x14ac:dyDescent="0.25">
      <c r="A528">
        <f>Raw_data!A528</f>
        <v>527</v>
      </c>
      <c r="B528" t="str">
        <f>Raw_data!B528</f>
        <v>C5186</v>
      </c>
      <c r="C528" t="str">
        <f>Raw_data!C528</f>
        <v>R2317</v>
      </c>
      <c r="D528" s="3">
        <f>Raw_data!D528</f>
        <v>45309.264270833337</v>
      </c>
      <c r="E528" s="3">
        <f>Raw_data!E528</f>
        <v>45309.337881944448</v>
      </c>
      <c r="F528" s="4">
        <f t="shared" si="48"/>
        <v>7.3611111110949423E-2</v>
      </c>
      <c r="G528" s="6">
        <f>Raw_data!F528</f>
        <v>664</v>
      </c>
      <c r="H528" s="6">
        <f>Raw_data!G528</f>
        <v>30</v>
      </c>
      <c r="I528" t="str">
        <f>Raw_data!H528</f>
        <v>Credit Card</v>
      </c>
      <c r="J528" s="7" t="str">
        <f>IF(Raw_data!I528=0.1,"10%",Raw_data!I528)</f>
        <v>None</v>
      </c>
      <c r="K528" s="6">
        <f>Raw_data!J528</f>
        <v>72</v>
      </c>
      <c r="L528" s="6">
        <f>Raw_data!K528</f>
        <v>45</v>
      </c>
      <c r="M528" s="6">
        <f>Raw_data!L528</f>
        <v>100</v>
      </c>
      <c r="N528" s="6">
        <f t="shared" si="49"/>
        <v>547</v>
      </c>
      <c r="O528" s="6">
        <f t="shared" si="50"/>
        <v>17</v>
      </c>
      <c r="P528" s="6">
        <f t="shared" si="51"/>
        <v>694</v>
      </c>
      <c r="Q528">
        <f t="shared" si="52"/>
        <v>1</v>
      </c>
      <c r="R528">
        <f t="shared" si="53"/>
        <v>6</v>
      </c>
    </row>
    <row r="529" spans="1:18" x14ac:dyDescent="0.25">
      <c r="A529">
        <f>Raw_data!A529</f>
        <v>528</v>
      </c>
      <c r="B529" t="str">
        <f>Raw_data!B529</f>
        <v>C9905</v>
      </c>
      <c r="C529" t="str">
        <f>Raw_data!C529</f>
        <v>R2348</v>
      </c>
      <c r="D529" s="3">
        <f>Raw_data!D529</f>
        <v>45300.121435185189</v>
      </c>
      <c r="E529" s="3">
        <f>Raw_data!E529</f>
        <v>45300.194351851853</v>
      </c>
      <c r="F529" s="4">
        <f t="shared" si="48"/>
        <v>7.2916666664241347E-2</v>
      </c>
      <c r="G529" s="6">
        <f>Raw_data!F529</f>
        <v>570</v>
      </c>
      <c r="H529" s="6">
        <f>Raw_data!G529</f>
        <v>20</v>
      </c>
      <c r="I529" t="str">
        <f>Raw_data!H529</f>
        <v>Digital Wallet</v>
      </c>
      <c r="J529" s="7" t="str">
        <f>IF(Raw_data!I529=0.1,"10%",Raw_data!I529)</f>
        <v>10%</v>
      </c>
      <c r="K529" s="6">
        <f>Raw_data!J529</f>
        <v>86</v>
      </c>
      <c r="L529" s="6">
        <f>Raw_data!K529</f>
        <v>45</v>
      </c>
      <c r="M529" s="6">
        <f>Raw_data!L529</f>
        <v>0</v>
      </c>
      <c r="N529" s="6">
        <f t="shared" si="49"/>
        <v>439</v>
      </c>
      <c r="O529" s="6">
        <f t="shared" si="50"/>
        <v>131</v>
      </c>
      <c r="P529" s="6">
        <f t="shared" si="51"/>
        <v>590</v>
      </c>
      <c r="Q529">
        <f t="shared" si="52"/>
        <v>2</v>
      </c>
      <c r="R529">
        <f t="shared" si="53"/>
        <v>4</v>
      </c>
    </row>
    <row r="530" spans="1:18" x14ac:dyDescent="0.25">
      <c r="A530">
        <f>Raw_data!A530</f>
        <v>529</v>
      </c>
      <c r="B530" t="str">
        <f>Raw_data!B530</f>
        <v>C6977</v>
      </c>
      <c r="C530" t="str">
        <f>Raw_data!C530</f>
        <v>R2114</v>
      </c>
      <c r="D530" s="3">
        <f>Raw_data!D530</f>
        <v>45309.752939814818</v>
      </c>
      <c r="E530" s="3">
        <f>Raw_data!E530</f>
        <v>45309.805717592593</v>
      </c>
      <c r="F530" s="4">
        <f t="shared" si="48"/>
        <v>5.2777777775190771E-2</v>
      </c>
      <c r="G530" s="6">
        <f>Raw_data!F530</f>
        <v>483</v>
      </c>
      <c r="H530" s="6">
        <f>Raw_data!G530</f>
        <v>40</v>
      </c>
      <c r="I530" t="str">
        <f>Raw_data!H530</f>
        <v>Cash on Delivery</v>
      </c>
      <c r="J530" s="7" t="str">
        <f>IF(Raw_data!I530=0.1,"10%",Raw_data!I530)</f>
        <v>None</v>
      </c>
      <c r="K530" s="6">
        <f>Raw_data!J530</f>
        <v>183</v>
      </c>
      <c r="L530" s="6">
        <f>Raw_data!K530</f>
        <v>12</v>
      </c>
      <c r="M530" s="6">
        <f>Raw_data!L530</f>
        <v>150</v>
      </c>
      <c r="N530" s="6">
        <f t="shared" si="49"/>
        <v>288</v>
      </c>
      <c r="O530" s="6">
        <f t="shared" si="50"/>
        <v>45</v>
      </c>
      <c r="P530" s="6">
        <f t="shared" si="51"/>
        <v>523</v>
      </c>
      <c r="Q530">
        <f t="shared" si="52"/>
        <v>2</v>
      </c>
      <c r="R530">
        <f t="shared" si="53"/>
        <v>2</v>
      </c>
    </row>
    <row r="531" spans="1:18" x14ac:dyDescent="0.25">
      <c r="A531">
        <f>Raw_data!A531</f>
        <v>530</v>
      </c>
      <c r="B531" t="str">
        <f>Raw_data!B531</f>
        <v>C5268</v>
      </c>
      <c r="C531" t="str">
        <f>Raw_data!C531</f>
        <v>R2697</v>
      </c>
      <c r="D531" s="3">
        <f>Raw_data!D531</f>
        <v>45326.762118055558</v>
      </c>
      <c r="E531" s="3">
        <f>Raw_data!E531</f>
        <v>45326.785729166666</v>
      </c>
      <c r="F531" s="4">
        <f t="shared" si="48"/>
        <v>2.361111110803904E-2</v>
      </c>
      <c r="G531" s="6">
        <f>Raw_data!F531</f>
        <v>1815</v>
      </c>
      <c r="H531" s="6">
        <f>Raw_data!G531</f>
        <v>50</v>
      </c>
      <c r="I531" t="str">
        <f>Raw_data!H531</f>
        <v>Cash on Delivery</v>
      </c>
      <c r="J531" s="7" t="str">
        <f>IF(Raw_data!I531=0.1,"10%",Raw_data!I531)</f>
        <v>15% New User</v>
      </c>
      <c r="K531" s="6">
        <f>Raw_data!J531</f>
        <v>114</v>
      </c>
      <c r="L531" s="6">
        <f>Raw_data!K531</f>
        <v>33</v>
      </c>
      <c r="M531" s="6">
        <f>Raw_data!L531</f>
        <v>0</v>
      </c>
      <c r="N531" s="6">
        <f t="shared" si="49"/>
        <v>1668</v>
      </c>
      <c r="O531" s="6">
        <f t="shared" si="50"/>
        <v>147</v>
      </c>
      <c r="P531" s="6">
        <f t="shared" si="51"/>
        <v>1865</v>
      </c>
      <c r="Q531">
        <f t="shared" si="52"/>
        <v>1</v>
      </c>
      <c r="R531">
        <f t="shared" si="53"/>
        <v>1</v>
      </c>
    </row>
    <row r="532" spans="1:18" x14ac:dyDescent="0.25">
      <c r="A532">
        <f>Raw_data!A532</f>
        <v>531</v>
      </c>
      <c r="B532" t="str">
        <f>Raw_data!B532</f>
        <v>C5748</v>
      </c>
      <c r="C532" t="str">
        <f>Raw_data!C532</f>
        <v>R2322</v>
      </c>
      <c r="D532" s="3">
        <f>Raw_data!D532</f>
        <v>45315.863125000003</v>
      </c>
      <c r="E532" s="3">
        <f>Raw_data!E532</f>
        <v>45315.935347222221</v>
      </c>
      <c r="F532" s="4">
        <f t="shared" si="48"/>
        <v>7.2222222217533272E-2</v>
      </c>
      <c r="G532" s="6">
        <f>Raw_data!F532</f>
        <v>1025</v>
      </c>
      <c r="H532" s="6">
        <f>Raw_data!G532</f>
        <v>20</v>
      </c>
      <c r="I532" t="str">
        <f>Raw_data!H532</f>
        <v>Digital Wallet</v>
      </c>
      <c r="J532" s="7" t="str">
        <f>IF(Raw_data!I532=0.1,"10%",Raw_data!I532)</f>
        <v>10%</v>
      </c>
      <c r="K532" s="6">
        <f>Raw_data!J532</f>
        <v>183</v>
      </c>
      <c r="L532" s="6">
        <f>Raw_data!K532</f>
        <v>26</v>
      </c>
      <c r="M532" s="6">
        <f>Raw_data!L532</f>
        <v>150</v>
      </c>
      <c r="N532" s="6">
        <f t="shared" si="49"/>
        <v>816</v>
      </c>
      <c r="O532" s="6">
        <f t="shared" si="50"/>
        <v>59</v>
      </c>
      <c r="P532" s="6">
        <f t="shared" si="51"/>
        <v>1045</v>
      </c>
      <c r="Q532">
        <f t="shared" si="52"/>
        <v>1</v>
      </c>
      <c r="R532">
        <f t="shared" si="53"/>
        <v>2</v>
      </c>
    </row>
    <row r="533" spans="1:18" x14ac:dyDescent="0.25">
      <c r="A533">
        <f>Raw_data!A533</f>
        <v>532</v>
      </c>
      <c r="B533" t="str">
        <f>Raw_data!B533</f>
        <v>C5849</v>
      </c>
      <c r="C533" t="str">
        <f>Raw_data!C533</f>
        <v>R2567</v>
      </c>
      <c r="D533" s="3">
        <f>Raw_data!D533</f>
        <v>45305.943055555559</v>
      </c>
      <c r="E533" s="3">
        <f>Raw_data!E533</f>
        <v>45306.004166666666</v>
      </c>
      <c r="F533" s="4">
        <f t="shared" si="48"/>
        <v>6.1111111106583849E-2</v>
      </c>
      <c r="G533" s="6">
        <f>Raw_data!F533</f>
        <v>516</v>
      </c>
      <c r="H533" s="6">
        <f>Raw_data!G533</f>
        <v>0</v>
      </c>
      <c r="I533" t="str">
        <f>Raw_data!H533</f>
        <v>Cash on Delivery</v>
      </c>
      <c r="J533" s="7" t="str">
        <f>IF(Raw_data!I533=0.1,"10%",Raw_data!I533)</f>
        <v>5% on App</v>
      </c>
      <c r="K533" s="6">
        <f>Raw_data!J533</f>
        <v>71</v>
      </c>
      <c r="L533" s="6">
        <f>Raw_data!K533</f>
        <v>48</v>
      </c>
      <c r="M533" s="6">
        <f>Raw_data!L533</f>
        <v>50</v>
      </c>
      <c r="N533" s="6">
        <f t="shared" si="49"/>
        <v>397</v>
      </c>
      <c r="O533" s="6">
        <f t="shared" si="50"/>
        <v>69</v>
      </c>
      <c r="P533" s="6">
        <f t="shared" si="51"/>
        <v>516</v>
      </c>
      <c r="Q533">
        <f t="shared" si="52"/>
        <v>1</v>
      </c>
      <c r="R533">
        <f t="shared" si="53"/>
        <v>1</v>
      </c>
    </row>
    <row r="534" spans="1:18" x14ac:dyDescent="0.25">
      <c r="A534">
        <f>Raw_data!A534</f>
        <v>533</v>
      </c>
      <c r="B534" t="str">
        <f>Raw_data!B534</f>
        <v>C4709</v>
      </c>
      <c r="C534" t="str">
        <f>Raw_data!C534</f>
        <v>R2039</v>
      </c>
      <c r="D534" s="3">
        <f>Raw_data!D534</f>
        <v>45324.295810185184</v>
      </c>
      <c r="E534" s="3">
        <f>Raw_data!E534</f>
        <v>45324.368032407408</v>
      </c>
      <c r="F534" s="4">
        <f t="shared" si="48"/>
        <v>7.2222222224809229E-2</v>
      </c>
      <c r="G534" s="6">
        <f>Raw_data!F534</f>
        <v>1948</v>
      </c>
      <c r="H534" s="6">
        <f>Raw_data!G534</f>
        <v>40</v>
      </c>
      <c r="I534" t="str">
        <f>Raw_data!H534</f>
        <v>Credit Card</v>
      </c>
      <c r="J534" s="7" t="str">
        <f>IF(Raw_data!I534=0.1,"10%",Raw_data!I534)</f>
        <v>50 off Promo</v>
      </c>
      <c r="K534" s="6">
        <f>Raw_data!J534</f>
        <v>154</v>
      </c>
      <c r="L534" s="6">
        <f>Raw_data!K534</f>
        <v>35</v>
      </c>
      <c r="M534" s="6">
        <f>Raw_data!L534</f>
        <v>150</v>
      </c>
      <c r="N534" s="6">
        <f t="shared" si="49"/>
        <v>1759</v>
      </c>
      <c r="O534" s="6">
        <f t="shared" si="50"/>
        <v>39</v>
      </c>
      <c r="P534" s="6">
        <f t="shared" si="51"/>
        <v>1988</v>
      </c>
      <c r="Q534">
        <f t="shared" si="52"/>
        <v>1</v>
      </c>
      <c r="R534">
        <f t="shared" si="53"/>
        <v>4</v>
      </c>
    </row>
    <row r="535" spans="1:18" x14ac:dyDescent="0.25">
      <c r="A535">
        <f>Raw_data!A535</f>
        <v>534</v>
      </c>
      <c r="B535" t="str">
        <f>Raw_data!B535</f>
        <v>C7619</v>
      </c>
      <c r="C535" t="str">
        <f>Raw_data!C535</f>
        <v>R2865</v>
      </c>
      <c r="D535" s="3">
        <f>Raw_data!D535</f>
        <v>45328.928981481484</v>
      </c>
      <c r="E535" s="3">
        <f>Raw_data!E535</f>
        <v>45328.99009259259</v>
      </c>
      <c r="F535" s="4">
        <f t="shared" si="48"/>
        <v>6.1111111106583849E-2</v>
      </c>
      <c r="G535" s="6">
        <f>Raw_data!F535</f>
        <v>407</v>
      </c>
      <c r="H535" s="6">
        <f>Raw_data!G535</f>
        <v>30</v>
      </c>
      <c r="I535" t="str">
        <f>Raw_data!H535</f>
        <v>Cash on Delivery</v>
      </c>
      <c r="J535" s="7" t="str">
        <f>IF(Raw_data!I535=0.1,"10%",Raw_data!I535)</f>
        <v>15% New User</v>
      </c>
      <c r="K535" s="6">
        <f>Raw_data!J535</f>
        <v>137</v>
      </c>
      <c r="L535" s="6">
        <f>Raw_data!K535</f>
        <v>13</v>
      </c>
      <c r="M535" s="6">
        <f>Raw_data!L535</f>
        <v>0</v>
      </c>
      <c r="N535" s="6">
        <f t="shared" si="49"/>
        <v>257</v>
      </c>
      <c r="O535" s="6">
        <f t="shared" si="50"/>
        <v>150</v>
      </c>
      <c r="P535" s="6">
        <f t="shared" si="51"/>
        <v>437</v>
      </c>
      <c r="Q535">
        <f t="shared" si="52"/>
        <v>1</v>
      </c>
      <c r="R535">
        <f t="shared" si="53"/>
        <v>4</v>
      </c>
    </row>
    <row r="536" spans="1:18" x14ac:dyDescent="0.25">
      <c r="A536">
        <f>Raw_data!A536</f>
        <v>535</v>
      </c>
      <c r="B536" t="str">
        <f>Raw_data!B536</f>
        <v>C9647</v>
      </c>
      <c r="C536" t="str">
        <f>Raw_data!C536</f>
        <v>R2039</v>
      </c>
      <c r="D536" s="3">
        <f>Raw_data!D536</f>
        <v>45324.202615740738</v>
      </c>
      <c r="E536" s="3">
        <f>Raw_data!E536</f>
        <v>45324.255393518521</v>
      </c>
      <c r="F536" s="4">
        <f t="shared" si="48"/>
        <v>5.2777777782466728E-2</v>
      </c>
      <c r="G536" s="6">
        <f>Raw_data!F536</f>
        <v>748</v>
      </c>
      <c r="H536" s="6">
        <f>Raw_data!G536</f>
        <v>20</v>
      </c>
      <c r="I536" t="str">
        <f>Raw_data!H536</f>
        <v>Credit Card</v>
      </c>
      <c r="J536" s="7" t="str">
        <f>IF(Raw_data!I536=0.1,"10%",Raw_data!I536)</f>
        <v>10%</v>
      </c>
      <c r="K536" s="6">
        <f>Raw_data!J536</f>
        <v>174</v>
      </c>
      <c r="L536" s="6">
        <f>Raw_data!K536</f>
        <v>21</v>
      </c>
      <c r="M536" s="6">
        <f>Raw_data!L536</f>
        <v>0</v>
      </c>
      <c r="N536" s="6">
        <f t="shared" si="49"/>
        <v>553</v>
      </c>
      <c r="O536" s="6">
        <f t="shared" si="50"/>
        <v>195</v>
      </c>
      <c r="P536" s="6">
        <f t="shared" si="51"/>
        <v>768</v>
      </c>
      <c r="Q536">
        <f t="shared" si="52"/>
        <v>1</v>
      </c>
      <c r="R536">
        <f t="shared" si="53"/>
        <v>4</v>
      </c>
    </row>
    <row r="537" spans="1:18" x14ac:dyDescent="0.25">
      <c r="A537">
        <f>Raw_data!A537</f>
        <v>536</v>
      </c>
      <c r="B537" t="str">
        <f>Raw_data!B537</f>
        <v>C4072</v>
      </c>
      <c r="C537" t="str">
        <f>Raw_data!C537</f>
        <v>R2858</v>
      </c>
      <c r="D537" s="3">
        <f>Raw_data!D537</f>
        <v>45312.434305555558</v>
      </c>
      <c r="E537" s="3">
        <f>Raw_data!E537</f>
        <v>45312.463472222225</v>
      </c>
      <c r="F537" s="4">
        <f t="shared" si="48"/>
        <v>2.9166666667151731E-2</v>
      </c>
      <c r="G537" s="6">
        <f>Raw_data!F537</f>
        <v>1817</v>
      </c>
      <c r="H537" s="6">
        <f>Raw_data!G537</f>
        <v>30</v>
      </c>
      <c r="I537" t="str">
        <f>Raw_data!H537</f>
        <v>Credit Card</v>
      </c>
      <c r="J537" s="7" t="str">
        <f>IF(Raw_data!I537=0.1,"10%",Raw_data!I537)</f>
        <v>None</v>
      </c>
      <c r="K537" s="6">
        <f>Raw_data!J537</f>
        <v>128</v>
      </c>
      <c r="L537" s="6">
        <f>Raw_data!K537</f>
        <v>10</v>
      </c>
      <c r="M537" s="6">
        <f>Raw_data!L537</f>
        <v>0</v>
      </c>
      <c r="N537" s="6">
        <f t="shared" si="49"/>
        <v>1679</v>
      </c>
      <c r="O537" s="6">
        <f t="shared" si="50"/>
        <v>138</v>
      </c>
      <c r="P537" s="6">
        <f t="shared" si="51"/>
        <v>1847</v>
      </c>
      <c r="Q537">
        <f t="shared" si="52"/>
        <v>2</v>
      </c>
      <c r="R537">
        <f t="shared" si="53"/>
        <v>1</v>
      </c>
    </row>
    <row r="538" spans="1:18" x14ac:dyDescent="0.25">
      <c r="A538">
        <f>Raw_data!A538</f>
        <v>537</v>
      </c>
      <c r="B538" t="str">
        <f>Raw_data!B538</f>
        <v>C7530</v>
      </c>
      <c r="C538" t="str">
        <f>Raw_data!C538</f>
        <v>R2972</v>
      </c>
      <c r="D538" s="3">
        <f>Raw_data!D538</f>
        <v>45306.474907407406</v>
      </c>
      <c r="E538" s="3">
        <f>Raw_data!E538</f>
        <v>45306.549212962964</v>
      </c>
      <c r="F538" s="4">
        <f t="shared" si="48"/>
        <v>7.4305555557657499E-2</v>
      </c>
      <c r="G538" s="6">
        <f>Raw_data!F538</f>
        <v>1490</v>
      </c>
      <c r="H538" s="6">
        <f>Raw_data!G538</f>
        <v>40</v>
      </c>
      <c r="I538" t="str">
        <f>Raw_data!H538</f>
        <v>Cash on Delivery</v>
      </c>
      <c r="J538" s="7" t="str">
        <f>IF(Raw_data!I538=0.1,"10%",Raw_data!I538)</f>
        <v>50 off Promo</v>
      </c>
      <c r="K538" s="6">
        <f>Raw_data!J538</f>
        <v>139</v>
      </c>
      <c r="L538" s="6">
        <f>Raw_data!K538</f>
        <v>30</v>
      </c>
      <c r="M538" s="6">
        <f>Raw_data!L538</f>
        <v>0</v>
      </c>
      <c r="N538" s="6">
        <f t="shared" si="49"/>
        <v>1321</v>
      </c>
      <c r="O538" s="6">
        <f t="shared" si="50"/>
        <v>169</v>
      </c>
      <c r="P538" s="6">
        <f t="shared" si="51"/>
        <v>1530</v>
      </c>
      <c r="Q538">
        <f t="shared" si="52"/>
        <v>1</v>
      </c>
      <c r="R538">
        <f t="shared" si="53"/>
        <v>4</v>
      </c>
    </row>
    <row r="539" spans="1:18" x14ac:dyDescent="0.25">
      <c r="A539">
        <f>Raw_data!A539</f>
        <v>538</v>
      </c>
      <c r="B539" t="str">
        <f>Raw_data!B539</f>
        <v>C1504</v>
      </c>
      <c r="C539" t="str">
        <f>Raw_data!C539</f>
        <v>R2748</v>
      </c>
      <c r="D539" s="3">
        <f>Raw_data!D539</f>
        <v>45315.338090277779</v>
      </c>
      <c r="E539" s="3">
        <f>Raw_data!E539</f>
        <v>45315.420034722221</v>
      </c>
      <c r="F539" s="4">
        <f t="shared" si="48"/>
        <v>8.1944444442342501E-2</v>
      </c>
      <c r="G539" s="6">
        <f>Raw_data!F539</f>
        <v>1124</v>
      </c>
      <c r="H539" s="6">
        <f>Raw_data!G539</f>
        <v>30</v>
      </c>
      <c r="I539" t="str">
        <f>Raw_data!H539</f>
        <v>Digital Wallet</v>
      </c>
      <c r="J539" s="7" t="str">
        <f>IF(Raw_data!I539=0.1,"10%",Raw_data!I539)</f>
        <v>None</v>
      </c>
      <c r="K539" s="6">
        <f>Raw_data!J539</f>
        <v>100</v>
      </c>
      <c r="L539" s="6">
        <f>Raw_data!K539</f>
        <v>28</v>
      </c>
      <c r="M539" s="6">
        <f>Raw_data!L539</f>
        <v>150</v>
      </c>
      <c r="N539" s="6">
        <f t="shared" si="49"/>
        <v>996</v>
      </c>
      <c r="O539" s="6">
        <f t="shared" si="50"/>
        <v>-22</v>
      </c>
      <c r="P539" s="6">
        <f t="shared" si="51"/>
        <v>1154</v>
      </c>
      <c r="Q539">
        <f t="shared" si="52"/>
        <v>1</v>
      </c>
      <c r="R539">
        <f t="shared" si="53"/>
        <v>2</v>
      </c>
    </row>
    <row r="540" spans="1:18" x14ac:dyDescent="0.25">
      <c r="A540">
        <f>Raw_data!A540</f>
        <v>539</v>
      </c>
      <c r="B540" t="str">
        <f>Raw_data!B540</f>
        <v>C2214</v>
      </c>
      <c r="C540" t="str">
        <f>Raw_data!C540</f>
        <v>R2288</v>
      </c>
      <c r="D540" s="3">
        <f>Raw_data!D540</f>
        <v>45318.882187499999</v>
      </c>
      <c r="E540" s="3">
        <f>Raw_data!E540</f>
        <v>45318.925243055557</v>
      </c>
      <c r="F540" s="4">
        <f t="shared" si="48"/>
        <v>4.3055555557657499E-2</v>
      </c>
      <c r="G540" s="6">
        <f>Raw_data!F540</f>
        <v>1167</v>
      </c>
      <c r="H540" s="6">
        <f>Raw_data!G540</f>
        <v>20</v>
      </c>
      <c r="I540" t="str">
        <f>Raw_data!H540</f>
        <v>Credit Card</v>
      </c>
      <c r="J540" s="7" t="str">
        <f>IF(Raw_data!I540=0.1,"10%",Raw_data!I540)</f>
        <v>10%</v>
      </c>
      <c r="K540" s="6">
        <f>Raw_data!J540</f>
        <v>151</v>
      </c>
      <c r="L540" s="6">
        <f>Raw_data!K540</f>
        <v>30</v>
      </c>
      <c r="M540" s="6">
        <f>Raw_data!L540</f>
        <v>0</v>
      </c>
      <c r="N540" s="6">
        <f t="shared" si="49"/>
        <v>986</v>
      </c>
      <c r="O540" s="6">
        <f t="shared" si="50"/>
        <v>181</v>
      </c>
      <c r="P540" s="6">
        <f t="shared" si="51"/>
        <v>1187</v>
      </c>
      <c r="Q540">
        <f t="shared" si="52"/>
        <v>1</v>
      </c>
      <c r="R540">
        <f t="shared" si="53"/>
        <v>2</v>
      </c>
    </row>
    <row r="541" spans="1:18" x14ac:dyDescent="0.25">
      <c r="A541">
        <f>Raw_data!A541</f>
        <v>540</v>
      </c>
      <c r="B541" t="str">
        <f>Raw_data!B541</f>
        <v>C2531</v>
      </c>
      <c r="C541" t="str">
        <f>Raw_data!C541</f>
        <v>R2261</v>
      </c>
      <c r="D541" s="3">
        <f>Raw_data!D541</f>
        <v>45328.734594907408</v>
      </c>
      <c r="E541" s="3">
        <f>Raw_data!E541</f>
        <v>45328.797789351855</v>
      </c>
      <c r="F541" s="4">
        <f t="shared" si="48"/>
        <v>6.3194444446708076E-2</v>
      </c>
      <c r="G541" s="6">
        <f>Raw_data!F541</f>
        <v>838</v>
      </c>
      <c r="H541" s="6">
        <f>Raw_data!G541</f>
        <v>40</v>
      </c>
      <c r="I541" t="str">
        <f>Raw_data!H541</f>
        <v>Digital Wallet</v>
      </c>
      <c r="J541" s="7" t="str">
        <f>IF(Raw_data!I541=0.1,"10%",Raw_data!I541)</f>
        <v>10%</v>
      </c>
      <c r="K541" s="6">
        <f>Raw_data!J541</f>
        <v>155</v>
      </c>
      <c r="L541" s="6">
        <f>Raw_data!K541</f>
        <v>27</v>
      </c>
      <c r="M541" s="6">
        <f>Raw_data!L541</f>
        <v>0</v>
      </c>
      <c r="N541" s="6">
        <f t="shared" si="49"/>
        <v>656</v>
      </c>
      <c r="O541" s="6">
        <f t="shared" si="50"/>
        <v>182</v>
      </c>
      <c r="P541" s="6">
        <f t="shared" si="51"/>
        <v>878</v>
      </c>
      <c r="Q541">
        <f t="shared" si="52"/>
        <v>2</v>
      </c>
      <c r="R541">
        <f t="shared" si="53"/>
        <v>1</v>
      </c>
    </row>
    <row r="542" spans="1:18" x14ac:dyDescent="0.25">
      <c r="A542">
        <f>Raw_data!A542</f>
        <v>541</v>
      </c>
      <c r="B542" t="str">
        <f>Raw_data!B542</f>
        <v>C8576</v>
      </c>
      <c r="C542" t="str">
        <f>Raw_data!C542</f>
        <v>R2215</v>
      </c>
      <c r="D542" s="3">
        <f>Raw_data!D542</f>
        <v>45314.860578703701</v>
      </c>
      <c r="E542" s="3">
        <f>Raw_data!E542</f>
        <v>45314.935578703706</v>
      </c>
      <c r="F542" s="4">
        <f t="shared" si="48"/>
        <v>7.5000000004365575E-2</v>
      </c>
      <c r="G542" s="6">
        <f>Raw_data!F542</f>
        <v>1966</v>
      </c>
      <c r="H542" s="6">
        <f>Raw_data!G542</f>
        <v>0</v>
      </c>
      <c r="I542" t="str">
        <f>Raw_data!H542</f>
        <v>Cash on Delivery</v>
      </c>
      <c r="J542" s="7" t="str">
        <f>IF(Raw_data!I542=0.1,"10%",Raw_data!I542)</f>
        <v>15% New User</v>
      </c>
      <c r="K542" s="6">
        <f>Raw_data!J542</f>
        <v>109</v>
      </c>
      <c r="L542" s="6">
        <f>Raw_data!K542</f>
        <v>12</v>
      </c>
      <c r="M542" s="6">
        <f>Raw_data!L542</f>
        <v>0</v>
      </c>
      <c r="N542" s="6">
        <f t="shared" si="49"/>
        <v>1845</v>
      </c>
      <c r="O542" s="6">
        <f t="shared" si="50"/>
        <v>121</v>
      </c>
      <c r="P542" s="6">
        <f t="shared" si="51"/>
        <v>1966</v>
      </c>
      <c r="Q542">
        <f t="shared" si="52"/>
        <v>1</v>
      </c>
      <c r="R542">
        <f t="shared" si="53"/>
        <v>3</v>
      </c>
    </row>
    <row r="543" spans="1:18" x14ac:dyDescent="0.25">
      <c r="A543">
        <f>Raw_data!A543</f>
        <v>542</v>
      </c>
      <c r="B543" t="str">
        <f>Raw_data!B543</f>
        <v>C1823</v>
      </c>
      <c r="C543" t="str">
        <f>Raw_data!C543</f>
        <v>R2146</v>
      </c>
      <c r="D543" s="3">
        <f>Raw_data!D543</f>
        <v>45293.591180555559</v>
      </c>
      <c r="E543" s="3">
        <f>Raw_data!E543</f>
        <v>45293.622430555559</v>
      </c>
      <c r="F543" s="4">
        <f t="shared" si="48"/>
        <v>3.125E-2</v>
      </c>
      <c r="G543" s="6">
        <f>Raw_data!F543</f>
        <v>1221</v>
      </c>
      <c r="H543" s="6">
        <f>Raw_data!G543</f>
        <v>20</v>
      </c>
      <c r="I543" t="str">
        <f>Raw_data!H543</f>
        <v>Credit Card</v>
      </c>
      <c r="J543" s="7" t="str">
        <f>IF(Raw_data!I543=0.1,"10%",Raw_data!I543)</f>
        <v>5% on App</v>
      </c>
      <c r="K543" s="6">
        <f>Raw_data!J543</f>
        <v>95</v>
      </c>
      <c r="L543" s="6">
        <f>Raw_data!K543</f>
        <v>41</v>
      </c>
      <c r="M543" s="6">
        <f>Raw_data!L543</f>
        <v>0</v>
      </c>
      <c r="N543" s="6">
        <f t="shared" si="49"/>
        <v>1085</v>
      </c>
      <c r="O543" s="6">
        <f t="shared" si="50"/>
        <v>136</v>
      </c>
      <c r="P543" s="6">
        <f t="shared" si="51"/>
        <v>1241</v>
      </c>
      <c r="Q543">
        <f t="shared" si="52"/>
        <v>1</v>
      </c>
      <c r="R543">
        <f t="shared" si="53"/>
        <v>3</v>
      </c>
    </row>
    <row r="544" spans="1:18" x14ac:dyDescent="0.25">
      <c r="A544">
        <f>Raw_data!A544</f>
        <v>543</v>
      </c>
      <c r="B544" t="str">
        <f>Raw_data!B544</f>
        <v>C1928</v>
      </c>
      <c r="C544" t="str">
        <f>Raw_data!C544</f>
        <v>R2335</v>
      </c>
      <c r="D544" s="3">
        <f>Raw_data!D544</f>
        <v>45329.535729166666</v>
      </c>
      <c r="E544" s="3">
        <f>Raw_data!E544</f>
        <v>45329.586423611108</v>
      </c>
      <c r="F544" s="4">
        <f t="shared" si="48"/>
        <v>5.0694444442342501E-2</v>
      </c>
      <c r="G544" s="6">
        <f>Raw_data!F544</f>
        <v>1843</v>
      </c>
      <c r="H544" s="6">
        <f>Raw_data!G544</f>
        <v>50</v>
      </c>
      <c r="I544" t="str">
        <f>Raw_data!H544</f>
        <v>Cash on Delivery</v>
      </c>
      <c r="J544" s="7" t="str">
        <f>IF(Raw_data!I544=0.1,"10%",Raw_data!I544)</f>
        <v>None</v>
      </c>
      <c r="K544" s="6">
        <f>Raw_data!J544</f>
        <v>85</v>
      </c>
      <c r="L544" s="6">
        <f>Raw_data!K544</f>
        <v>19</v>
      </c>
      <c r="M544" s="6">
        <f>Raw_data!L544</f>
        <v>100</v>
      </c>
      <c r="N544" s="6">
        <f t="shared" si="49"/>
        <v>1739</v>
      </c>
      <c r="O544" s="6">
        <f t="shared" si="50"/>
        <v>4</v>
      </c>
      <c r="P544" s="6">
        <f t="shared" si="51"/>
        <v>1893</v>
      </c>
      <c r="Q544">
        <f t="shared" si="52"/>
        <v>1</v>
      </c>
      <c r="R544">
        <f t="shared" si="53"/>
        <v>1</v>
      </c>
    </row>
    <row r="545" spans="1:18" x14ac:dyDescent="0.25">
      <c r="A545">
        <f>Raw_data!A545</f>
        <v>544</v>
      </c>
      <c r="B545" t="str">
        <f>Raw_data!B545</f>
        <v>C6029</v>
      </c>
      <c r="C545" t="str">
        <f>Raw_data!C545</f>
        <v>R2167</v>
      </c>
      <c r="D545" s="3">
        <f>Raw_data!D545</f>
        <v>45302.529062499998</v>
      </c>
      <c r="E545" s="3">
        <f>Raw_data!E545</f>
        <v>45302.589479166665</v>
      </c>
      <c r="F545" s="4">
        <f t="shared" si="48"/>
        <v>6.0416666667151731E-2</v>
      </c>
      <c r="G545" s="6">
        <f>Raw_data!F545</f>
        <v>1388</v>
      </c>
      <c r="H545" s="6">
        <f>Raw_data!G545</f>
        <v>20</v>
      </c>
      <c r="I545" t="str">
        <f>Raw_data!H545</f>
        <v>Digital Wallet</v>
      </c>
      <c r="J545" s="7" t="str">
        <f>IF(Raw_data!I545=0.1,"10%",Raw_data!I545)</f>
        <v>15% New User</v>
      </c>
      <c r="K545" s="6">
        <f>Raw_data!J545</f>
        <v>60</v>
      </c>
      <c r="L545" s="6">
        <f>Raw_data!K545</f>
        <v>49</v>
      </c>
      <c r="M545" s="6">
        <f>Raw_data!L545</f>
        <v>0</v>
      </c>
      <c r="N545" s="6">
        <f t="shared" si="49"/>
        <v>1279</v>
      </c>
      <c r="O545" s="6">
        <f t="shared" si="50"/>
        <v>109</v>
      </c>
      <c r="P545" s="6">
        <f t="shared" si="51"/>
        <v>1408</v>
      </c>
      <c r="Q545">
        <f t="shared" si="52"/>
        <v>1</v>
      </c>
      <c r="R545">
        <f t="shared" si="53"/>
        <v>2</v>
      </c>
    </row>
    <row r="546" spans="1:18" x14ac:dyDescent="0.25">
      <c r="A546">
        <f>Raw_data!A546</f>
        <v>545</v>
      </c>
      <c r="B546" t="str">
        <f>Raw_data!B546</f>
        <v>C1133</v>
      </c>
      <c r="C546" t="str">
        <f>Raw_data!C546</f>
        <v>R2091</v>
      </c>
      <c r="D546" s="3">
        <f>Raw_data!D546</f>
        <v>45323.469664351855</v>
      </c>
      <c r="E546" s="3">
        <f>Raw_data!E546</f>
        <v>45323.493969907409</v>
      </c>
      <c r="F546" s="4">
        <f t="shared" si="48"/>
        <v>2.4305555554747116E-2</v>
      </c>
      <c r="G546" s="6">
        <f>Raw_data!F546</f>
        <v>1923</v>
      </c>
      <c r="H546" s="6">
        <f>Raw_data!G546</f>
        <v>40</v>
      </c>
      <c r="I546" t="str">
        <f>Raw_data!H546</f>
        <v>Cash on Delivery</v>
      </c>
      <c r="J546" s="7" t="str">
        <f>IF(Raw_data!I546=0.1,"10%",Raw_data!I546)</f>
        <v>50 off Promo</v>
      </c>
      <c r="K546" s="6">
        <f>Raw_data!J546</f>
        <v>61</v>
      </c>
      <c r="L546" s="6">
        <f>Raw_data!K546</f>
        <v>24</v>
      </c>
      <c r="M546" s="6">
        <f>Raw_data!L546</f>
        <v>0</v>
      </c>
      <c r="N546" s="6">
        <f t="shared" si="49"/>
        <v>1838</v>
      </c>
      <c r="O546" s="6">
        <f t="shared" si="50"/>
        <v>85</v>
      </c>
      <c r="P546" s="6">
        <f t="shared" si="51"/>
        <v>1963</v>
      </c>
      <c r="Q546">
        <f t="shared" si="52"/>
        <v>1</v>
      </c>
      <c r="R546">
        <f t="shared" si="53"/>
        <v>2</v>
      </c>
    </row>
    <row r="547" spans="1:18" x14ac:dyDescent="0.25">
      <c r="A547">
        <f>Raw_data!A547</f>
        <v>546</v>
      </c>
      <c r="B547" t="str">
        <f>Raw_data!B547</f>
        <v>C3105</v>
      </c>
      <c r="C547" t="str">
        <f>Raw_data!C547</f>
        <v>R2352</v>
      </c>
      <c r="D547" s="3">
        <f>Raw_data!D547</f>
        <v>45310.746701388889</v>
      </c>
      <c r="E547" s="3">
        <f>Raw_data!E547</f>
        <v>45310.828645833331</v>
      </c>
      <c r="F547" s="4">
        <f t="shared" si="48"/>
        <v>8.1944444442342501E-2</v>
      </c>
      <c r="G547" s="6">
        <f>Raw_data!F547</f>
        <v>1906</v>
      </c>
      <c r="H547" s="6">
        <f>Raw_data!G547</f>
        <v>20</v>
      </c>
      <c r="I547" t="str">
        <f>Raw_data!H547</f>
        <v>Cash on Delivery</v>
      </c>
      <c r="J547" s="7" t="str">
        <f>IF(Raw_data!I547=0.1,"10%",Raw_data!I547)</f>
        <v>5% on App</v>
      </c>
      <c r="K547" s="6">
        <f>Raw_data!J547</f>
        <v>88</v>
      </c>
      <c r="L547" s="6">
        <f>Raw_data!K547</f>
        <v>14</v>
      </c>
      <c r="M547" s="6">
        <f>Raw_data!L547</f>
        <v>0</v>
      </c>
      <c r="N547" s="6">
        <f t="shared" si="49"/>
        <v>1804</v>
      </c>
      <c r="O547" s="6">
        <f t="shared" si="50"/>
        <v>102</v>
      </c>
      <c r="P547" s="6">
        <f t="shared" si="51"/>
        <v>1926</v>
      </c>
      <c r="Q547">
        <f t="shared" si="52"/>
        <v>1</v>
      </c>
      <c r="R547">
        <f t="shared" si="53"/>
        <v>2</v>
      </c>
    </row>
    <row r="548" spans="1:18" x14ac:dyDescent="0.25">
      <c r="A548">
        <f>Raw_data!A548</f>
        <v>547</v>
      </c>
      <c r="B548" t="str">
        <f>Raw_data!B548</f>
        <v>C4627</v>
      </c>
      <c r="C548" t="str">
        <f>Raw_data!C548</f>
        <v>R2570</v>
      </c>
      <c r="D548" s="3">
        <f>Raw_data!D548</f>
        <v>45321.980439814812</v>
      </c>
      <c r="E548" s="3">
        <f>Raw_data!E548</f>
        <v>45322.010995370372</v>
      </c>
      <c r="F548" s="4">
        <f t="shared" si="48"/>
        <v>3.0555555560567882E-2</v>
      </c>
      <c r="G548" s="6">
        <f>Raw_data!F548</f>
        <v>239</v>
      </c>
      <c r="H548" s="6">
        <f>Raw_data!G548</f>
        <v>0</v>
      </c>
      <c r="I548" t="str">
        <f>Raw_data!H548</f>
        <v>Credit Card</v>
      </c>
      <c r="J548" s="7" t="str">
        <f>IF(Raw_data!I548=0.1,"10%",Raw_data!I548)</f>
        <v>15% New User</v>
      </c>
      <c r="K548" s="6">
        <f>Raw_data!J548</f>
        <v>188</v>
      </c>
      <c r="L548" s="6">
        <f>Raw_data!K548</f>
        <v>13</v>
      </c>
      <c r="M548" s="6">
        <f>Raw_data!L548</f>
        <v>150</v>
      </c>
      <c r="N548" s="6">
        <f t="shared" si="49"/>
        <v>38</v>
      </c>
      <c r="O548" s="6">
        <f t="shared" si="50"/>
        <v>51</v>
      </c>
      <c r="P548" s="6">
        <f t="shared" si="51"/>
        <v>239</v>
      </c>
      <c r="Q548">
        <f t="shared" si="52"/>
        <v>2</v>
      </c>
      <c r="R548">
        <f t="shared" si="53"/>
        <v>4</v>
      </c>
    </row>
    <row r="549" spans="1:18" x14ac:dyDescent="0.25">
      <c r="A549">
        <f>Raw_data!A549</f>
        <v>548</v>
      </c>
      <c r="B549" t="str">
        <f>Raw_data!B549</f>
        <v>C7316</v>
      </c>
      <c r="C549" t="str">
        <f>Raw_data!C549</f>
        <v>R2570</v>
      </c>
      <c r="D549" s="3">
        <f>Raw_data!D549</f>
        <v>45310.838969907411</v>
      </c>
      <c r="E549" s="3">
        <f>Raw_data!E549</f>
        <v>45310.861886574072</v>
      </c>
      <c r="F549" s="4">
        <f t="shared" si="48"/>
        <v>2.2916666661330964E-2</v>
      </c>
      <c r="G549" s="6">
        <f>Raw_data!F549</f>
        <v>1604</v>
      </c>
      <c r="H549" s="6">
        <f>Raw_data!G549</f>
        <v>0</v>
      </c>
      <c r="I549" t="str">
        <f>Raw_data!H549</f>
        <v>Cash on Delivery</v>
      </c>
      <c r="J549" s="7" t="str">
        <f>IF(Raw_data!I549=0.1,"10%",Raw_data!I549)</f>
        <v>None</v>
      </c>
      <c r="K549" s="6">
        <f>Raw_data!J549</f>
        <v>85</v>
      </c>
      <c r="L549" s="6">
        <f>Raw_data!K549</f>
        <v>37</v>
      </c>
      <c r="M549" s="6">
        <f>Raw_data!L549</f>
        <v>150</v>
      </c>
      <c r="N549" s="6">
        <f t="shared" si="49"/>
        <v>1482</v>
      </c>
      <c r="O549" s="6">
        <f t="shared" si="50"/>
        <v>-28</v>
      </c>
      <c r="P549" s="6">
        <f t="shared" si="51"/>
        <v>1604</v>
      </c>
      <c r="Q549">
        <f t="shared" si="52"/>
        <v>2</v>
      </c>
      <c r="R549">
        <f t="shared" si="53"/>
        <v>4</v>
      </c>
    </row>
    <row r="550" spans="1:18" x14ac:dyDescent="0.25">
      <c r="A550">
        <f>Raw_data!A550</f>
        <v>549</v>
      </c>
      <c r="B550" t="str">
        <f>Raw_data!B550</f>
        <v>C2852</v>
      </c>
      <c r="C550" t="str">
        <f>Raw_data!C550</f>
        <v>R2815</v>
      </c>
      <c r="D550" s="3">
        <f>Raw_data!D550</f>
        <v>45316.542407407411</v>
      </c>
      <c r="E550" s="3">
        <f>Raw_data!E550</f>
        <v>45316.601435185185</v>
      </c>
      <c r="F550" s="4">
        <f t="shared" si="48"/>
        <v>5.9027777773735579E-2</v>
      </c>
      <c r="G550" s="6">
        <f>Raw_data!F550</f>
        <v>1360</v>
      </c>
      <c r="H550" s="6">
        <f>Raw_data!G550</f>
        <v>50</v>
      </c>
      <c r="I550" t="str">
        <f>Raw_data!H550</f>
        <v>Cash on Delivery</v>
      </c>
      <c r="J550" s="7" t="str">
        <f>IF(Raw_data!I550=0.1,"10%",Raw_data!I550)</f>
        <v>10%</v>
      </c>
      <c r="K550" s="6">
        <f>Raw_data!J550</f>
        <v>101</v>
      </c>
      <c r="L550" s="6">
        <f>Raw_data!K550</f>
        <v>13</v>
      </c>
      <c r="M550" s="6">
        <f>Raw_data!L550</f>
        <v>0</v>
      </c>
      <c r="N550" s="6">
        <f t="shared" si="49"/>
        <v>1246</v>
      </c>
      <c r="O550" s="6">
        <f t="shared" si="50"/>
        <v>114</v>
      </c>
      <c r="P550" s="6">
        <f t="shared" si="51"/>
        <v>1410</v>
      </c>
      <c r="Q550">
        <f t="shared" si="52"/>
        <v>1</v>
      </c>
      <c r="R550">
        <f t="shared" si="53"/>
        <v>1</v>
      </c>
    </row>
    <row r="551" spans="1:18" x14ac:dyDescent="0.25">
      <c r="A551">
        <f>Raw_data!A551</f>
        <v>550</v>
      </c>
      <c r="B551" t="str">
        <f>Raw_data!B551</f>
        <v>C5910</v>
      </c>
      <c r="C551" t="str">
        <f>Raw_data!C551</f>
        <v>R2680</v>
      </c>
      <c r="D551" s="3">
        <f>Raw_data!D551</f>
        <v>45303.118194444447</v>
      </c>
      <c r="E551" s="3">
        <f>Raw_data!E551</f>
        <v>45303.18277777778</v>
      </c>
      <c r="F551" s="4">
        <f t="shared" si="48"/>
        <v>6.4583333332848269E-2</v>
      </c>
      <c r="G551" s="6">
        <f>Raw_data!F551</f>
        <v>1073</v>
      </c>
      <c r="H551" s="6">
        <f>Raw_data!G551</f>
        <v>30</v>
      </c>
      <c r="I551" t="str">
        <f>Raw_data!H551</f>
        <v>Cash on Delivery</v>
      </c>
      <c r="J551" s="7" t="str">
        <f>IF(Raw_data!I551=0.1,"10%",Raw_data!I551)</f>
        <v>50 off Promo</v>
      </c>
      <c r="K551" s="6">
        <f>Raw_data!J551</f>
        <v>80</v>
      </c>
      <c r="L551" s="6">
        <f>Raw_data!K551</f>
        <v>24</v>
      </c>
      <c r="M551" s="6">
        <f>Raw_data!L551</f>
        <v>0</v>
      </c>
      <c r="N551" s="6">
        <f t="shared" si="49"/>
        <v>969</v>
      </c>
      <c r="O551" s="6">
        <f t="shared" si="50"/>
        <v>104</v>
      </c>
      <c r="P551" s="6">
        <f t="shared" si="51"/>
        <v>1103</v>
      </c>
      <c r="Q551">
        <f t="shared" si="52"/>
        <v>1</v>
      </c>
      <c r="R551">
        <f t="shared" si="53"/>
        <v>1</v>
      </c>
    </row>
    <row r="552" spans="1:18" x14ac:dyDescent="0.25">
      <c r="A552">
        <f>Raw_data!A552</f>
        <v>551</v>
      </c>
      <c r="B552" t="str">
        <f>Raw_data!B552</f>
        <v>C5175</v>
      </c>
      <c r="C552" t="str">
        <f>Raw_data!C552</f>
        <v>R2780</v>
      </c>
      <c r="D552" s="3">
        <f>Raw_data!D552</f>
        <v>45296.946608796294</v>
      </c>
      <c r="E552" s="3">
        <f>Raw_data!E552</f>
        <v>45297.013969907406</v>
      </c>
      <c r="F552" s="4">
        <f t="shared" si="48"/>
        <v>6.7361111112404615E-2</v>
      </c>
      <c r="G552" s="6">
        <f>Raw_data!F552</f>
        <v>1116</v>
      </c>
      <c r="H552" s="6">
        <f>Raw_data!G552</f>
        <v>40</v>
      </c>
      <c r="I552" t="str">
        <f>Raw_data!H552</f>
        <v>Credit Card</v>
      </c>
      <c r="J552" s="7" t="str">
        <f>IF(Raw_data!I552=0.1,"10%",Raw_data!I552)</f>
        <v>None</v>
      </c>
      <c r="K552" s="6">
        <f>Raw_data!J552</f>
        <v>82</v>
      </c>
      <c r="L552" s="6">
        <f>Raw_data!K552</f>
        <v>26</v>
      </c>
      <c r="M552" s="6">
        <f>Raw_data!L552</f>
        <v>0</v>
      </c>
      <c r="N552" s="6">
        <f t="shared" si="49"/>
        <v>1008</v>
      </c>
      <c r="O552" s="6">
        <f t="shared" si="50"/>
        <v>108</v>
      </c>
      <c r="P552" s="6">
        <f t="shared" si="51"/>
        <v>1156</v>
      </c>
      <c r="Q552">
        <f t="shared" si="52"/>
        <v>1</v>
      </c>
      <c r="R552">
        <f t="shared" si="53"/>
        <v>3</v>
      </c>
    </row>
    <row r="553" spans="1:18" x14ac:dyDescent="0.25">
      <c r="A553">
        <f>Raw_data!A553</f>
        <v>552</v>
      </c>
      <c r="B553" t="str">
        <f>Raw_data!B553</f>
        <v>C6348</v>
      </c>
      <c r="C553" t="str">
        <f>Raw_data!C553</f>
        <v>R2362</v>
      </c>
      <c r="D553" s="3">
        <f>Raw_data!D553</f>
        <v>45321.307256944441</v>
      </c>
      <c r="E553" s="3">
        <f>Raw_data!E553</f>
        <v>45321.351006944446</v>
      </c>
      <c r="F553" s="4">
        <f t="shared" si="48"/>
        <v>4.3750000004365575E-2</v>
      </c>
      <c r="G553" s="6">
        <f>Raw_data!F553</f>
        <v>1052</v>
      </c>
      <c r="H553" s="6">
        <f>Raw_data!G553</f>
        <v>40</v>
      </c>
      <c r="I553" t="str">
        <f>Raw_data!H553</f>
        <v>Digital Wallet</v>
      </c>
      <c r="J553" s="7" t="str">
        <f>IF(Raw_data!I553=0.1,"10%",Raw_data!I553)</f>
        <v>5% on App</v>
      </c>
      <c r="K553" s="6">
        <f>Raw_data!J553</f>
        <v>190</v>
      </c>
      <c r="L553" s="6">
        <f>Raw_data!K553</f>
        <v>12</v>
      </c>
      <c r="M553" s="6">
        <f>Raw_data!L553</f>
        <v>50</v>
      </c>
      <c r="N553" s="6">
        <f t="shared" si="49"/>
        <v>850</v>
      </c>
      <c r="O553" s="6">
        <f t="shared" si="50"/>
        <v>152</v>
      </c>
      <c r="P553" s="6">
        <f t="shared" si="51"/>
        <v>1092</v>
      </c>
      <c r="Q553">
        <f t="shared" si="52"/>
        <v>1</v>
      </c>
      <c r="R553">
        <f t="shared" si="53"/>
        <v>3</v>
      </c>
    </row>
    <row r="554" spans="1:18" x14ac:dyDescent="0.25">
      <c r="A554">
        <f>Raw_data!A554</f>
        <v>553</v>
      </c>
      <c r="B554" t="str">
        <f>Raw_data!B554</f>
        <v>C7190</v>
      </c>
      <c r="C554" t="str">
        <f>Raw_data!C554</f>
        <v>R2556</v>
      </c>
      <c r="D554" s="3">
        <f>Raw_data!D554</f>
        <v>45314.381145833337</v>
      </c>
      <c r="E554" s="3">
        <f>Raw_data!E554</f>
        <v>45314.44017361111</v>
      </c>
      <c r="F554" s="4">
        <f t="shared" si="48"/>
        <v>5.9027777773735579E-2</v>
      </c>
      <c r="G554" s="6">
        <f>Raw_data!F554</f>
        <v>1003</v>
      </c>
      <c r="H554" s="6">
        <f>Raw_data!G554</f>
        <v>30</v>
      </c>
      <c r="I554" t="str">
        <f>Raw_data!H554</f>
        <v>Digital Wallet</v>
      </c>
      <c r="J554" s="7" t="str">
        <f>IF(Raw_data!I554=0.1,"10%",Raw_data!I554)</f>
        <v>5% on App</v>
      </c>
      <c r="K554" s="6">
        <f>Raw_data!J554</f>
        <v>195</v>
      </c>
      <c r="L554" s="6">
        <f>Raw_data!K554</f>
        <v>19</v>
      </c>
      <c r="M554" s="6">
        <f>Raw_data!L554</f>
        <v>0</v>
      </c>
      <c r="N554" s="6">
        <f t="shared" si="49"/>
        <v>789</v>
      </c>
      <c r="O554" s="6">
        <f t="shared" si="50"/>
        <v>214</v>
      </c>
      <c r="P554" s="6">
        <f t="shared" si="51"/>
        <v>1033</v>
      </c>
      <c r="Q554">
        <f t="shared" si="52"/>
        <v>2</v>
      </c>
      <c r="R554">
        <f t="shared" si="53"/>
        <v>2</v>
      </c>
    </row>
    <row r="555" spans="1:18" x14ac:dyDescent="0.25">
      <c r="A555">
        <f>Raw_data!A555</f>
        <v>554</v>
      </c>
      <c r="B555" t="str">
        <f>Raw_data!B555</f>
        <v>C2256</v>
      </c>
      <c r="C555" t="str">
        <f>Raw_data!C555</f>
        <v>R2344</v>
      </c>
      <c r="D555" s="3">
        <f>Raw_data!D555</f>
        <v>45325.518460648149</v>
      </c>
      <c r="E555" s="3">
        <f>Raw_data!E555</f>
        <v>45325.56082175926</v>
      </c>
      <c r="F555" s="4">
        <f t="shared" si="48"/>
        <v>4.2361111110949423E-2</v>
      </c>
      <c r="G555" s="6">
        <f>Raw_data!F555</f>
        <v>171</v>
      </c>
      <c r="H555" s="6">
        <f>Raw_data!G555</f>
        <v>0</v>
      </c>
      <c r="I555" t="str">
        <f>Raw_data!H555</f>
        <v>Cash on Delivery</v>
      </c>
      <c r="J555" s="7" t="str">
        <f>IF(Raw_data!I555=0.1,"10%",Raw_data!I555)</f>
        <v>10%</v>
      </c>
      <c r="K555" s="6">
        <f>Raw_data!J555</f>
        <v>107</v>
      </c>
      <c r="L555" s="6">
        <f>Raw_data!K555</f>
        <v>32</v>
      </c>
      <c r="M555" s="6">
        <f>Raw_data!L555</f>
        <v>50</v>
      </c>
      <c r="N555" s="6">
        <f t="shared" si="49"/>
        <v>32</v>
      </c>
      <c r="O555" s="6">
        <f t="shared" si="50"/>
        <v>89</v>
      </c>
      <c r="P555" s="6">
        <f t="shared" si="51"/>
        <v>171</v>
      </c>
      <c r="Q555">
        <f t="shared" si="52"/>
        <v>1</v>
      </c>
      <c r="R555">
        <f t="shared" si="53"/>
        <v>1</v>
      </c>
    </row>
    <row r="556" spans="1:18" x14ac:dyDescent="0.25">
      <c r="A556">
        <f>Raw_data!A556</f>
        <v>555</v>
      </c>
      <c r="B556" t="str">
        <f>Raw_data!B556</f>
        <v>C4376</v>
      </c>
      <c r="C556" t="str">
        <f>Raw_data!C556</f>
        <v>R2692</v>
      </c>
      <c r="D556" s="3">
        <f>Raw_data!D556</f>
        <v>45309.877465277779</v>
      </c>
      <c r="E556" s="3">
        <f>Raw_data!E556</f>
        <v>45309.903854166667</v>
      </c>
      <c r="F556" s="4">
        <f t="shared" si="48"/>
        <v>2.6388888887595385E-2</v>
      </c>
      <c r="G556" s="6">
        <f>Raw_data!F556</f>
        <v>1790</v>
      </c>
      <c r="H556" s="6">
        <f>Raw_data!G556</f>
        <v>0</v>
      </c>
      <c r="I556" t="str">
        <f>Raw_data!H556</f>
        <v>Credit Card</v>
      </c>
      <c r="J556" s="7" t="str">
        <f>IF(Raw_data!I556=0.1,"10%",Raw_data!I556)</f>
        <v>10%</v>
      </c>
      <c r="K556" s="6">
        <f>Raw_data!J556</f>
        <v>177</v>
      </c>
      <c r="L556" s="6">
        <f>Raw_data!K556</f>
        <v>27</v>
      </c>
      <c r="M556" s="6">
        <f>Raw_data!L556</f>
        <v>0</v>
      </c>
      <c r="N556" s="6">
        <f t="shared" si="49"/>
        <v>1586</v>
      </c>
      <c r="O556" s="6">
        <f t="shared" si="50"/>
        <v>204</v>
      </c>
      <c r="P556" s="6">
        <f t="shared" si="51"/>
        <v>1790</v>
      </c>
      <c r="Q556">
        <f t="shared" si="52"/>
        <v>1</v>
      </c>
      <c r="R556">
        <f t="shared" si="53"/>
        <v>3</v>
      </c>
    </row>
    <row r="557" spans="1:18" x14ac:dyDescent="0.25">
      <c r="A557">
        <f>Raw_data!A557</f>
        <v>556</v>
      </c>
      <c r="B557" t="str">
        <f>Raw_data!B557</f>
        <v>C6645</v>
      </c>
      <c r="C557" t="str">
        <f>Raw_data!C557</f>
        <v>R2169</v>
      </c>
      <c r="D557" s="3">
        <f>Raw_data!D557</f>
        <v>45307.018958333334</v>
      </c>
      <c r="E557" s="3">
        <f>Raw_data!E557</f>
        <v>45307.08284722222</v>
      </c>
      <c r="F557" s="4">
        <f t="shared" si="48"/>
        <v>6.3888888886140194E-2</v>
      </c>
      <c r="G557" s="6">
        <f>Raw_data!F557</f>
        <v>1313</v>
      </c>
      <c r="H557" s="6">
        <f>Raw_data!G557</f>
        <v>20</v>
      </c>
      <c r="I557" t="str">
        <f>Raw_data!H557</f>
        <v>Cash on Delivery</v>
      </c>
      <c r="J557" s="7" t="str">
        <f>IF(Raw_data!I557=0.1,"10%",Raw_data!I557)</f>
        <v>50 off Promo</v>
      </c>
      <c r="K557" s="6">
        <f>Raw_data!J557</f>
        <v>80</v>
      </c>
      <c r="L557" s="6">
        <f>Raw_data!K557</f>
        <v>10</v>
      </c>
      <c r="M557" s="6">
        <f>Raw_data!L557</f>
        <v>0</v>
      </c>
      <c r="N557" s="6">
        <f t="shared" si="49"/>
        <v>1223</v>
      </c>
      <c r="O557" s="6">
        <f t="shared" si="50"/>
        <v>90</v>
      </c>
      <c r="P557" s="6">
        <f t="shared" si="51"/>
        <v>1333</v>
      </c>
      <c r="Q557">
        <f t="shared" si="52"/>
        <v>1</v>
      </c>
      <c r="R557">
        <f t="shared" si="53"/>
        <v>3</v>
      </c>
    </row>
    <row r="558" spans="1:18" x14ac:dyDescent="0.25">
      <c r="A558">
        <f>Raw_data!A558</f>
        <v>557</v>
      </c>
      <c r="B558" t="str">
        <f>Raw_data!B558</f>
        <v>C4486</v>
      </c>
      <c r="C558" t="str">
        <f>Raw_data!C558</f>
        <v>R2355</v>
      </c>
      <c r="D558" s="3">
        <f>Raw_data!D558</f>
        <v>45326.034641203703</v>
      </c>
      <c r="E558" s="3">
        <f>Raw_data!E558</f>
        <v>45326.104780092595</v>
      </c>
      <c r="F558" s="4">
        <f t="shared" si="48"/>
        <v>7.013888889196096E-2</v>
      </c>
      <c r="G558" s="6">
        <f>Raw_data!F558</f>
        <v>1391</v>
      </c>
      <c r="H558" s="6">
        <f>Raw_data!G558</f>
        <v>50</v>
      </c>
      <c r="I558" t="str">
        <f>Raw_data!H558</f>
        <v>Digital Wallet</v>
      </c>
      <c r="J558" s="7" t="str">
        <f>IF(Raw_data!I558=0.1,"10%",Raw_data!I558)</f>
        <v>50 off Promo</v>
      </c>
      <c r="K558" s="6">
        <f>Raw_data!J558</f>
        <v>104</v>
      </c>
      <c r="L558" s="6">
        <f>Raw_data!K558</f>
        <v>44</v>
      </c>
      <c r="M558" s="6">
        <f>Raw_data!L558</f>
        <v>0</v>
      </c>
      <c r="N558" s="6">
        <f t="shared" si="49"/>
        <v>1243</v>
      </c>
      <c r="O558" s="6">
        <f t="shared" si="50"/>
        <v>148</v>
      </c>
      <c r="P558" s="6">
        <f t="shared" si="51"/>
        <v>1441</v>
      </c>
      <c r="Q558">
        <f t="shared" si="52"/>
        <v>2</v>
      </c>
      <c r="R558">
        <f t="shared" si="53"/>
        <v>4</v>
      </c>
    </row>
    <row r="559" spans="1:18" x14ac:dyDescent="0.25">
      <c r="A559">
        <f>Raw_data!A559</f>
        <v>558</v>
      </c>
      <c r="B559" t="str">
        <f>Raw_data!B559</f>
        <v>C4584</v>
      </c>
      <c r="C559" t="str">
        <f>Raw_data!C559</f>
        <v>R2190</v>
      </c>
      <c r="D559" s="3">
        <f>Raw_data!D559</f>
        <v>45297.042638888888</v>
      </c>
      <c r="E559" s="3">
        <f>Raw_data!E559</f>
        <v>45297.116944444446</v>
      </c>
      <c r="F559" s="4">
        <f t="shared" si="48"/>
        <v>7.4305555557657499E-2</v>
      </c>
      <c r="G559" s="6">
        <f>Raw_data!F559</f>
        <v>1444</v>
      </c>
      <c r="H559" s="6">
        <f>Raw_data!G559</f>
        <v>50</v>
      </c>
      <c r="I559" t="str">
        <f>Raw_data!H559</f>
        <v>Credit Card</v>
      </c>
      <c r="J559" s="7" t="str">
        <f>IF(Raw_data!I559=0.1,"10%",Raw_data!I559)</f>
        <v>10%</v>
      </c>
      <c r="K559" s="6">
        <f>Raw_data!J559</f>
        <v>59</v>
      </c>
      <c r="L559" s="6">
        <f>Raw_data!K559</f>
        <v>40</v>
      </c>
      <c r="M559" s="6">
        <f>Raw_data!L559</f>
        <v>0</v>
      </c>
      <c r="N559" s="6">
        <f t="shared" si="49"/>
        <v>1345</v>
      </c>
      <c r="O559" s="6">
        <f t="shared" si="50"/>
        <v>99</v>
      </c>
      <c r="P559" s="6">
        <f t="shared" si="51"/>
        <v>1494</v>
      </c>
      <c r="Q559">
        <f t="shared" si="52"/>
        <v>1</v>
      </c>
      <c r="R559">
        <f t="shared" si="53"/>
        <v>1</v>
      </c>
    </row>
    <row r="560" spans="1:18" x14ac:dyDescent="0.25">
      <c r="A560">
        <f>Raw_data!A560</f>
        <v>559</v>
      </c>
      <c r="B560" t="str">
        <f>Raw_data!B560</f>
        <v>C9053</v>
      </c>
      <c r="C560" t="str">
        <f>Raw_data!C560</f>
        <v>R2666</v>
      </c>
      <c r="D560" s="3">
        <f>Raw_data!D560</f>
        <v>45316.932569444441</v>
      </c>
      <c r="E560" s="3">
        <f>Raw_data!E560</f>
        <v>45316.975624999999</v>
      </c>
      <c r="F560" s="4">
        <f t="shared" si="48"/>
        <v>4.3055555557657499E-2</v>
      </c>
      <c r="G560" s="6">
        <f>Raw_data!F560</f>
        <v>206</v>
      </c>
      <c r="H560" s="6">
        <f>Raw_data!G560</f>
        <v>50</v>
      </c>
      <c r="I560" t="str">
        <f>Raw_data!H560</f>
        <v>Digital Wallet</v>
      </c>
      <c r="J560" s="7" t="str">
        <f>IF(Raw_data!I560=0.1,"10%",Raw_data!I560)</f>
        <v>10%</v>
      </c>
      <c r="K560" s="6">
        <f>Raw_data!J560</f>
        <v>179</v>
      </c>
      <c r="L560" s="6">
        <f>Raw_data!K560</f>
        <v>10</v>
      </c>
      <c r="M560" s="6">
        <f>Raw_data!L560</f>
        <v>0</v>
      </c>
      <c r="N560" s="6">
        <f t="shared" si="49"/>
        <v>17</v>
      </c>
      <c r="O560" s="6">
        <f t="shared" si="50"/>
        <v>189</v>
      </c>
      <c r="P560" s="6">
        <f t="shared" si="51"/>
        <v>256</v>
      </c>
      <c r="Q560">
        <f t="shared" si="52"/>
        <v>1</v>
      </c>
      <c r="R560">
        <f t="shared" si="53"/>
        <v>2</v>
      </c>
    </row>
    <row r="561" spans="1:18" x14ac:dyDescent="0.25">
      <c r="A561">
        <f>Raw_data!A561</f>
        <v>560</v>
      </c>
      <c r="B561" t="str">
        <f>Raw_data!B561</f>
        <v>C4330</v>
      </c>
      <c r="C561" t="str">
        <f>Raw_data!C561</f>
        <v>R2421</v>
      </c>
      <c r="D561" s="3">
        <f>Raw_data!D561</f>
        <v>45320.131076388891</v>
      </c>
      <c r="E561" s="3">
        <f>Raw_data!E561</f>
        <v>45320.211631944447</v>
      </c>
      <c r="F561" s="4">
        <f t="shared" si="48"/>
        <v>8.0555555556202307E-2</v>
      </c>
      <c r="G561" s="6">
        <f>Raw_data!F561</f>
        <v>1355</v>
      </c>
      <c r="H561" s="6">
        <f>Raw_data!G561</f>
        <v>20</v>
      </c>
      <c r="I561" t="str">
        <f>Raw_data!H561</f>
        <v>Digital Wallet</v>
      </c>
      <c r="J561" s="7" t="str">
        <f>IF(Raw_data!I561=0.1,"10%",Raw_data!I561)</f>
        <v>5% on App</v>
      </c>
      <c r="K561" s="6">
        <f>Raw_data!J561</f>
        <v>64</v>
      </c>
      <c r="L561" s="6">
        <f>Raw_data!K561</f>
        <v>12</v>
      </c>
      <c r="M561" s="6">
        <f>Raw_data!L561</f>
        <v>0</v>
      </c>
      <c r="N561" s="6">
        <f t="shared" si="49"/>
        <v>1279</v>
      </c>
      <c r="O561" s="6">
        <f t="shared" si="50"/>
        <v>76</v>
      </c>
      <c r="P561" s="6">
        <f t="shared" si="51"/>
        <v>1375</v>
      </c>
      <c r="Q561">
        <f t="shared" si="52"/>
        <v>1</v>
      </c>
      <c r="R561">
        <f t="shared" si="53"/>
        <v>1</v>
      </c>
    </row>
    <row r="562" spans="1:18" x14ac:dyDescent="0.25">
      <c r="A562">
        <f>Raw_data!A562</f>
        <v>561</v>
      </c>
      <c r="B562" t="str">
        <f>Raw_data!B562</f>
        <v>C3703</v>
      </c>
      <c r="C562" t="str">
        <f>Raw_data!C562</f>
        <v>R2699</v>
      </c>
      <c r="D562" s="3">
        <f>Raw_data!D562</f>
        <v>45329.555543981478</v>
      </c>
      <c r="E562" s="3">
        <f>Raw_data!E562</f>
        <v>45329.590266203704</v>
      </c>
      <c r="F562" s="4">
        <f t="shared" si="48"/>
        <v>3.4722222226264421E-2</v>
      </c>
      <c r="G562" s="6">
        <f>Raw_data!F562</f>
        <v>1165</v>
      </c>
      <c r="H562" s="6">
        <f>Raw_data!G562</f>
        <v>50</v>
      </c>
      <c r="I562" t="str">
        <f>Raw_data!H562</f>
        <v>Credit Card</v>
      </c>
      <c r="J562" s="7" t="str">
        <f>IF(Raw_data!I562=0.1,"10%",Raw_data!I562)</f>
        <v>10%</v>
      </c>
      <c r="K562" s="6">
        <f>Raw_data!J562</f>
        <v>52</v>
      </c>
      <c r="L562" s="6">
        <f>Raw_data!K562</f>
        <v>12</v>
      </c>
      <c r="M562" s="6">
        <f>Raw_data!L562</f>
        <v>150</v>
      </c>
      <c r="N562" s="6">
        <f t="shared" si="49"/>
        <v>1101</v>
      </c>
      <c r="O562" s="6">
        <f t="shared" si="50"/>
        <v>-86</v>
      </c>
      <c r="P562" s="6">
        <f t="shared" si="51"/>
        <v>1215</v>
      </c>
      <c r="Q562">
        <f t="shared" si="52"/>
        <v>1</v>
      </c>
      <c r="R562">
        <f t="shared" si="53"/>
        <v>4</v>
      </c>
    </row>
    <row r="563" spans="1:18" x14ac:dyDescent="0.25">
      <c r="A563">
        <f>Raw_data!A563</f>
        <v>562</v>
      </c>
      <c r="B563" t="str">
        <f>Raw_data!B563</f>
        <v>C9662</v>
      </c>
      <c r="C563" t="str">
        <f>Raw_data!C563</f>
        <v>R2006</v>
      </c>
      <c r="D563" s="3">
        <f>Raw_data!D563</f>
        <v>45306.245879629627</v>
      </c>
      <c r="E563" s="3">
        <f>Raw_data!E563</f>
        <v>45306.304212962961</v>
      </c>
      <c r="F563" s="4">
        <f t="shared" si="48"/>
        <v>5.8333333334303461E-2</v>
      </c>
      <c r="G563" s="6">
        <f>Raw_data!F563</f>
        <v>1825</v>
      </c>
      <c r="H563" s="6">
        <f>Raw_data!G563</f>
        <v>30</v>
      </c>
      <c r="I563" t="str">
        <f>Raw_data!H563</f>
        <v>Credit Card</v>
      </c>
      <c r="J563" s="7" t="str">
        <f>IF(Raw_data!I563=0.1,"10%",Raw_data!I563)</f>
        <v>15% New User</v>
      </c>
      <c r="K563" s="6">
        <f>Raw_data!J563</f>
        <v>92</v>
      </c>
      <c r="L563" s="6">
        <f>Raw_data!K563</f>
        <v>46</v>
      </c>
      <c r="M563" s="6">
        <f>Raw_data!L563</f>
        <v>0</v>
      </c>
      <c r="N563" s="6">
        <f t="shared" si="49"/>
        <v>1687</v>
      </c>
      <c r="O563" s="6">
        <f t="shared" si="50"/>
        <v>138</v>
      </c>
      <c r="P563" s="6">
        <f t="shared" si="51"/>
        <v>1855</v>
      </c>
      <c r="Q563">
        <f t="shared" si="52"/>
        <v>1</v>
      </c>
      <c r="R563">
        <f t="shared" si="53"/>
        <v>4</v>
      </c>
    </row>
    <row r="564" spans="1:18" x14ac:dyDescent="0.25">
      <c r="A564">
        <f>Raw_data!A564</f>
        <v>563</v>
      </c>
      <c r="B564" t="str">
        <f>Raw_data!B564</f>
        <v>C9120</v>
      </c>
      <c r="C564" t="str">
        <f>Raw_data!C564</f>
        <v>R2132</v>
      </c>
      <c r="D564" s="3">
        <f>Raw_data!D564</f>
        <v>45327.821875000001</v>
      </c>
      <c r="E564" s="3">
        <f>Raw_data!E564</f>
        <v>45327.894791666666</v>
      </c>
      <c r="F564" s="4">
        <f t="shared" si="48"/>
        <v>7.2916666664241347E-2</v>
      </c>
      <c r="G564" s="6">
        <f>Raw_data!F564</f>
        <v>982</v>
      </c>
      <c r="H564" s="6">
        <f>Raw_data!G564</f>
        <v>20</v>
      </c>
      <c r="I564" t="str">
        <f>Raw_data!H564</f>
        <v>Cash on Delivery</v>
      </c>
      <c r="J564" s="7" t="str">
        <f>IF(Raw_data!I564=0.1,"10%",Raw_data!I564)</f>
        <v>None</v>
      </c>
      <c r="K564" s="6">
        <f>Raw_data!J564</f>
        <v>116</v>
      </c>
      <c r="L564" s="6">
        <f>Raw_data!K564</f>
        <v>28</v>
      </c>
      <c r="M564" s="6">
        <f>Raw_data!L564</f>
        <v>0</v>
      </c>
      <c r="N564" s="6">
        <f t="shared" si="49"/>
        <v>838</v>
      </c>
      <c r="O564" s="6">
        <f t="shared" si="50"/>
        <v>144</v>
      </c>
      <c r="P564" s="6">
        <f t="shared" si="51"/>
        <v>1002</v>
      </c>
      <c r="Q564">
        <f t="shared" si="52"/>
        <v>2</v>
      </c>
      <c r="R564">
        <f t="shared" si="53"/>
        <v>1</v>
      </c>
    </row>
    <row r="565" spans="1:18" x14ac:dyDescent="0.25">
      <c r="A565">
        <f>Raw_data!A565</f>
        <v>564</v>
      </c>
      <c r="B565" t="str">
        <f>Raw_data!B565</f>
        <v>C8114</v>
      </c>
      <c r="C565" t="str">
        <f>Raw_data!C565</f>
        <v>R2746</v>
      </c>
      <c r="D565" s="3">
        <f>Raw_data!D565</f>
        <v>45320.426736111112</v>
      </c>
      <c r="E565" s="3">
        <f>Raw_data!E565</f>
        <v>45320.486458333333</v>
      </c>
      <c r="F565" s="4">
        <f t="shared" si="48"/>
        <v>5.9722222220443655E-2</v>
      </c>
      <c r="G565" s="6">
        <f>Raw_data!F565</f>
        <v>238</v>
      </c>
      <c r="H565" s="6">
        <f>Raw_data!G565</f>
        <v>30</v>
      </c>
      <c r="I565" t="str">
        <f>Raw_data!H565</f>
        <v>Cash on Delivery</v>
      </c>
      <c r="J565" s="7" t="str">
        <f>IF(Raw_data!I565=0.1,"10%",Raw_data!I565)</f>
        <v>10%</v>
      </c>
      <c r="K565" s="6">
        <f>Raw_data!J565</f>
        <v>105</v>
      </c>
      <c r="L565" s="6">
        <f>Raw_data!K565</f>
        <v>38</v>
      </c>
      <c r="M565" s="6">
        <f>Raw_data!L565</f>
        <v>0</v>
      </c>
      <c r="N565" s="6">
        <f t="shared" si="49"/>
        <v>95</v>
      </c>
      <c r="O565" s="6">
        <f t="shared" si="50"/>
        <v>143</v>
      </c>
      <c r="P565" s="6">
        <f t="shared" si="51"/>
        <v>268</v>
      </c>
      <c r="Q565">
        <f t="shared" si="52"/>
        <v>1</v>
      </c>
      <c r="R565">
        <f t="shared" si="53"/>
        <v>1</v>
      </c>
    </row>
    <row r="566" spans="1:18" x14ac:dyDescent="0.25">
      <c r="A566">
        <f>Raw_data!A566</f>
        <v>565</v>
      </c>
      <c r="B566" t="str">
        <f>Raw_data!B566</f>
        <v>C2353</v>
      </c>
      <c r="C566" t="str">
        <f>Raw_data!C566</f>
        <v>R2556</v>
      </c>
      <c r="D566" s="3">
        <f>Raw_data!D566</f>
        <v>45297.666967592595</v>
      </c>
      <c r="E566" s="3">
        <f>Raw_data!E566</f>
        <v>45297.68849537037</v>
      </c>
      <c r="F566" s="4">
        <f t="shared" si="48"/>
        <v>2.1527777775190771E-2</v>
      </c>
      <c r="G566" s="6">
        <f>Raw_data!F566</f>
        <v>714</v>
      </c>
      <c r="H566" s="6">
        <f>Raw_data!G566</f>
        <v>20</v>
      </c>
      <c r="I566" t="str">
        <f>Raw_data!H566</f>
        <v>Digital Wallet</v>
      </c>
      <c r="J566" s="7" t="str">
        <f>IF(Raw_data!I566=0.1,"10%",Raw_data!I566)</f>
        <v>50 off Promo</v>
      </c>
      <c r="K566" s="6">
        <f>Raw_data!J566</f>
        <v>112</v>
      </c>
      <c r="L566" s="6">
        <f>Raw_data!K566</f>
        <v>34</v>
      </c>
      <c r="M566" s="6">
        <f>Raw_data!L566</f>
        <v>100</v>
      </c>
      <c r="N566" s="6">
        <f t="shared" si="49"/>
        <v>568</v>
      </c>
      <c r="O566" s="6">
        <f t="shared" si="50"/>
        <v>46</v>
      </c>
      <c r="P566" s="6">
        <f t="shared" si="51"/>
        <v>734</v>
      </c>
      <c r="Q566">
        <f t="shared" si="52"/>
        <v>1</v>
      </c>
      <c r="R566">
        <f t="shared" si="53"/>
        <v>2</v>
      </c>
    </row>
    <row r="567" spans="1:18" x14ac:dyDescent="0.25">
      <c r="A567">
        <f>Raw_data!A567</f>
        <v>566</v>
      </c>
      <c r="B567" t="str">
        <f>Raw_data!B567</f>
        <v>C6063</v>
      </c>
      <c r="C567" t="str">
        <f>Raw_data!C567</f>
        <v>R2825</v>
      </c>
      <c r="D567" s="3">
        <f>Raw_data!D567</f>
        <v>45295.343275462961</v>
      </c>
      <c r="E567" s="3">
        <f>Raw_data!E567</f>
        <v>45295.372442129628</v>
      </c>
      <c r="F567" s="4">
        <f t="shared" si="48"/>
        <v>2.9166666667151731E-2</v>
      </c>
      <c r="G567" s="6">
        <f>Raw_data!F567</f>
        <v>1806</v>
      </c>
      <c r="H567" s="6">
        <f>Raw_data!G567</f>
        <v>50</v>
      </c>
      <c r="I567" t="str">
        <f>Raw_data!H567</f>
        <v>Credit Card</v>
      </c>
      <c r="J567" s="7" t="str">
        <f>IF(Raw_data!I567=0.1,"10%",Raw_data!I567)</f>
        <v>15% New User</v>
      </c>
      <c r="K567" s="6">
        <f>Raw_data!J567</f>
        <v>64</v>
      </c>
      <c r="L567" s="6">
        <f>Raw_data!K567</f>
        <v>42</v>
      </c>
      <c r="M567" s="6">
        <f>Raw_data!L567</f>
        <v>0</v>
      </c>
      <c r="N567" s="6">
        <f t="shared" si="49"/>
        <v>1700</v>
      </c>
      <c r="O567" s="6">
        <f t="shared" si="50"/>
        <v>106</v>
      </c>
      <c r="P567" s="6">
        <f t="shared" si="51"/>
        <v>1856</v>
      </c>
      <c r="Q567">
        <f t="shared" si="52"/>
        <v>1</v>
      </c>
      <c r="R567">
        <f t="shared" si="53"/>
        <v>1</v>
      </c>
    </row>
    <row r="568" spans="1:18" x14ac:dyDescent="0.25">
      <c r="A568">
        <f>Raw_data!A568</f>
        <v>567</v>
      </c>
      <c r="B568" t="str">
        <f>Raw_data!B568</f>
        <v>C9549</v>
      </c>
      <c r="C568" t="str">
        <f>Raw_data!C568</f>
        <v>R2760</v>
      </c>
      <c r="D568" s="3">
        <f>Raw_data!D568</f>
        <v>45301.421724537038</v>
      </c>
      <c r="E568" s="3">
        <f>Raw_data!E568</f>
        <v>45301.444641203707</v>
      </c>
      <c r="F568" s="4">
        <f t="shared" si="48"/>
        <v>2.2916666668606922E-2</v>
      </c>
      <c r="G568" s="6">
        <f>Raw_data!F568</f>
        <v>962</v>
      </c>
      <c r="H568" s="6">
        <f>Raw_data!G568</f>
        <v>30</v>
      </c>
      <c r="I568" t="str">
        <f>Raw_data!H568</f>
        <v>Credit Card</v>
      </c>
      <c r="J568" s="7" t="str">
        <f>IF(Raw_data!I568=0.1,"10%",Raw_data!I568)</f>
        <v>50 off Promo</v>
      </c>
      <c r="K568" s="6">
        <f>Raw_data!J568</f>
        <v>158</v>
      </c>
      <c r="L568" s="6">
        <f>Raw_data!K568</f>
        <v>45</v>
      </c>
      <c r="M568" s="6">
        <f>Raw_data!L568</f>
        <v>0</v>
      </c>
      <c r="N568" s="6">
        <f t="shared" si="49"/>
        <v>759</v>
      </c>
      <c r="O568" s="6">
        <f t="shared" si="50"/>
        <v>203</v>
      </c>
      <c r="P568" s="6">
        <f t="shared" si="51"/>
        <v>992</v>
      </c>
      <c r="Q568">
        <f t="shared" si="52"/>
        <v>1</v>
      </c>
      <c r="R568">
        <f t="shared" si="53"/>
        <v>2</v>
      </c>
    </row>
    <row r="569" spans="1:18" x14ac:dyDescent="0.25">
      <c r="A569">
        <f>Raw_data!A569</f>
        <v>568</v>
      </c>
      <c r="B569" t="str">
        <f>Raw_data!B569</f>
        <v>C8575</v>
      </c>
      <c r="C569" t="str">
        <f>Raw_data!C569</f>
        <v>R2030</v>
      </c>
      <c r="D569" s="3">
        <f>Raw_data!D569</f>
        <v>45311.360150462962</v>
      </c>
      <c r="E569" s="3">
        <f>Raw_data!E569</f>
        <v>45311.438622685186</v>
      </c>
      <c r="F569" s="4">
        <f t="shared" si="48"/>
        <v>7.8472222223354038E-2</v>
      </c>
      <c r="G569" s="6">
        <f>Raw_data!F569</f>
        <v>372</v>
      </c>
      <c r="H569" s="6">
        <f>Raw_data!G569</f>
        <v>30</v>
      </c>
      <c r="I569" t="str">
        <f>Raw_data!H569</f>
        <v>Cash on Delivery</v>
      </c>
      <c r="J569" s="7" t="str">
        <f>IF(Raw_data!I569=0.1,"10%",Raw_data!I569)</f>
        <v>15% New User</v>
      </c>
      <c r="K569" s="6">
        <f>Raw_data!J569</f>
        <v>165</v>
      </c>
      <c r="L569" s="6">
        <f>Raw_data!K569</f>
        <v>38</v>
      </c>
      <c r="M569" s="6">
        <f>Raw_data!L569</f>
        <v>0</v>
      </c>
      <c r="N569" s="6">
        <f t="shared" si="49"/>
        <v>169</v>
      </c>
      <c r="O569" s="6">
        <f t="shared" si="50"/>
        <v>203</v>
      </c>
      <c r="P569" s="6">
        <f t="shared" si="51"/>
        <v>402</v>
      </c>
      <c r="Q569">
        <f t="shared" si="52"/>
        <v>1</v>
      </c>
      <c r="R569">
        <f t="shared" si="53"/>
        <v>1</v>
      </c>
    </row>
    <row r="570" spans="1:18" x14ac:dyDescent="0.25">
      <c r="A570">
        <f>Raw_data!A570</f>
        <v>569</v>
      </c>
      <c r="B570" t="str">
        <f>Raw_data!B570</f>
        <v>C1667</v>
      </c>
      <c r="C570" t="str">
        <f>Raw_data!C570</f>
        <v>R2534</v>
      </c>
      <c r="D570" s="3">
        <f>Raw_data!D570</f>
        <v>45298.42895833333</v>
      </c>
      <c r="E570" s="3">
        <f>Raw_data!E570</f>
        <v>45298.483819444446</v>
      </c>
      <c r="F570" s="4">
        <f t="shared" si="48"/>
        <v>5.4861111115314998E-2</v>
      </c>
      <c r="G570" s="6">
        <f>Raw_data!F570</f>
        <v>1604</v>
      </c>
      <c r="H570" s="6">
        <f>Raw_data!G570</f>
        <v>30</v>
      </c>
      <c r="I570" t="str">
        <f>Raw_data!H570</f>
        <v>Digital Wallet</v>
      </c>
      <c r="J570" s="7" t="str">
        <f>IF(Raw_data!I570=0.1,"10%",Raw_data!I570)</f>
        <v>10%</v>
      </c>
      <c r="K570" s="6">
        <f>Raw_data!J570</f>
        <v>141</v>
      </c>
      <c r="L570" s="6">
        <f>Raw_data!K570</f>
        <v>35</v>
      </c>
      <c r="M570" s="6">
        <f>Raw_data!L570</f>
        <v>0</v>
      </c>
      <c r="N570" s="6">
        <f t="shared" si="49"/>
        <v>1428</v>
      </c>
      <c r="O570" s="6">
        <f t="shared" si="50"/>
        <v>176</v>
      </c>
      <c r="P570" s="6">
        <f t="shared" si="51"/>
        <v>1634</v>
      </c>
      <c r="Q570">
        <f t="shared" si="52"/>
        <v>1</v>
      </c>
      <c r="R570">
        <f t="shared" si="53"/>
        <v>1</v>
      </c>
    </row>
    <row r="571" spans="1:18" x14ac:dyDescent="0.25">
      <c r="A571">
        <f>Raw_data!A571</f>
        <v>570</v>
      </c>
      <c r="B571" t="str">
        <f>Raw_data!B571</f>
        <v>C5468</v>
      </c>
      <c r="C571" t="str">
        <f>Raw_data!C571</f>
        <v>R2425</v>
      </c>
      <c r="D571" s="3">
        <f>Raw_data!D571</f>
        <v>45302.734490740739</v>
      </c>
      <c r="E571" s="3">
        <f>Raw_data!E571</f>
        <v>45302.787962962961</v>
      </c>
      <c r="F571" s="4">
        <f t="shared" si="48"/>
        <v>5.3472222221898846E-2</v>
      </c>
      <c r="G571" s="6">
        <f>Raw_data!F571</f>
        <v>515</v>
      </c>
      <c r="H571" s="6">
        <f>Raw_data!G571</f>
        <v>20</v>
      </c>
      <c r="I571" t="str">
        <f>Raw_data!H571</f>
        <v>Digital Wallet</v>
      </c>
      <c r="J571" s="7" t="str">
        <f>IF(Raw_data!I571=0.1,"10%",Raw_data!I571)</f>
        <v>None</v>
      </c>
      <c r="K571" s="6">
        <f>Raw_data!J571</f>
        <v>187</v>
      </c>
      <c r="L571" s="6">
        <f>Raw_data!K571</f>
        <v>13</v>
      </c>
      <c r="M571" s="6">
        <f>Raw_data!L571</f>
        <v>50</v>
      </c>
      <c r="N571" s="6">
        <f t="shared" si="49"/>
        <v>315</v>
      </c>
      <c r="O571" s="6">
        <f t="shared" si="50"/>
        <v>150</v>
      </c>
      <c r="P571" s="6">
        <f t="shared" si="51"/>
        <v>535</v>
      </c>
      <c r="Q571">
        <f t="shared" si="52"/>
        <v>1</v>
      </c>
      <c r="R571">
        <f t="shared" si="53"/>
        <v>2</v>
      </c>
    </row>
    <row r="572" spans="1:18" x14ac:dyDescent="0.25">
      <c r="A572">
        <f>Raw_data!A572</f>
        <v>571</v>
      </c>
      <c r="B572" t="str">
        <f>Raw_data!B572</f>
        <v>C7819</v>
      </c>
      <c r="C572" t="str">
        <f>Raw_data!C572</f>
        <v>R2393</v>
      </c>
      <c r="D572" s="3">
        <f>Raw_data!D572</f>
        <v>45309.896249999998</v>
      </c>
      <c r="E572" s="3">
        <f>Raw_data!E572</f>
        <v>45309.970555555556</v>
      </c>
      <c r="F572" s="4">
        <f t="shared" si="48"/>
        <v>7.4305555557657499E-2</v>
      </c>
      <c r="G572" s="6">
        <f>Raw_data!F572</f>
        <v>605</v>
      </c>
      <c r="H572" s="6">
        <f>Raw_data!G572</f>
        <v>40</v>
      </c>
      <c r="I572" t="str">
        <f>Raw_data!H572</f>
        <v>Cash on Delivery</v>
      </c>
      <c r="J572" s="7" t="str">
        <f>IF(Raw_data!I572=0.1,"10%",Raw_data!I572)</f>
        <v>50 off Promo</v>
      </c>
      <c r="K572" s="6">
        <f>Raw_data!J572</f>
        <v>96</v>
      </c>
      <c r="L572" s="6">
        <f>Raw_data!K572</f>
        <v>23</v>
      </c>
      <c r="M572" s="6">
        <f>Raw_data!L572</f>
        <v>0</v>
      </c>
      <c r="N572" s="6">
        <f t="shared" si="49"/>
        <v>486</v>
      </c>
      <c r="O572" s="6">
        <f t="shared" si="50"/>
        <v>119</v>
      </c>
      <c r="P572" s="6">
        <f t="shared" si="51"/>
        <v>645</v>
      </c>
      <c r="Q572">
        <f t="shared" si="52"/>
        <v>1</v>
      </c>
      <c r="R572">
        <f t="shared" si="53"/>
        <v>1</v>
      </c>
    </row>
    <row r="573" spans="1:18" x14ac:dyDescent="0.25">
      <c r="A573">
        <f>Raw_data!A573</f>
        <v>572</v>
      </c>
      <c r="B573" t="str">
        <f>Raw_data!B573</f>
        <v>C4719</v>
      </c>
      <c r="C573" t="str">
        <f>Raw_data!C573</f>
        <v>R2671</v>
      </c>
      <c r="D573" s="3">
        <f>Raw_data!D573</f>
        <v>45329.29283564815</v>
      </c>
      <c r="E573" s="3">
        <f>Raw_data!E573</f>
        <v>45329.333807870367</v>
      </c>
      <c r="F573" s="4">
        <f t="shared" si="48"/>
        <v>4.0972222217533272E-2</v>
      </c>
      <c r="G573" s="6">
        <f>Raw_data!F573</f>
        <v>832</v>
      </c>
      <c r="H573" s="6">
        <f>Raw_data!G573</f>
        <v>50</v>
      </c>
      <c r="I573" t="str">
        <f>Raw_data!H573</f>
        <v>Credit Card</v>
      </c>
      <c r="J573" s="7" t="str">
        <f>IF(Raw_data!I573=0.1,"10%",Raw_data!I573)</f>
        <v>15% New User</v>
      </c>
      <c r="K573" s="6">
        <f>Raw_data!J573</f>
        <v>106</v>
      </c>
      <c r="L573" s="6">
        <f>Raw_data!K573</f>
        <v>36</v>
      </c>
      <c r="M573" s="6">
        <f>Raw_data!L573</f>
        <v>0</v>
      </c>
      <c r="N573" s="6">
        <f t="shared" si="49"/>
        <v>690</v>
      </c>
      <c r="O573" s="6">
        <f t="shared" si="50"/>
        <v>142</v>
      </c>
      <c r="P573" s="6">
        <f t="shared" si="51"/>
        <v>882</v>
      </c>
      <c r="Q573">
        <f t="shared" si="52"/>
        <v>2</v>
      </c>
      <c r="R573">
        <f t="shared" si="53"/>
        <v>2</v>
      </c>
    </row>
    <row r="574" spans="1:18" x14ac:dyDescent="0.25">
      <c r="A574">
        <f>Raw_data!A574</f>
        <v>573</v>
      </c>
      <c r="B574" t="str">
        <f>Raw_data!B574</f>
        <v>C3745</v>
      </c>
      <c r="C574" t="str">
        <f>Raw_data!C574</f>
        <v>R2362</v>
      </c>
      <c r="D574" s="3">
        <f>Raw_data!D574</f>
        <v>45306.370335648149</v>
      </c>
      <c r="E574" s="3">
        <f>Raw_data!E574</f>
        <v>45306.410613425927</v>
      </c>
      <c r="F574" s="4">
        <f t="shared" si="48"/>
        <v>4.0277777778101154E-2</v>
      </c>
      <c r="G574" s="6">
        <f>Raw_data!F574</f>
        <v>1848</v>
      </c>
      <c r="H574" s="6">
        <f>Raw_data!G574</f>
        <v>30</v>
      </c>
      <c r="I574" t="str">
        <f>Raw_data!H574</f>
        <v>Cash on Delivery</v>
      </c>
      <c r="J574" s="7" t="str">
        <f>IF(Raw_data!I574=0.1,"10%",Raw_data!I574)</f>
        <v>5% on App</v>
      </c>
      <c r="K574" s="6">
        <f>Raw_data!J574</f>
        <v>99</v>
      </c>
      <c r="L574" s="6">
        <f>Raw_data!K574</f>
        <v>42</v>
      </c>
      <c r="M574" s="6">
        <f>Raw_data!L574</f>
        <v>0</v>
      </c>
      <c r="N574" s="6">
        <f t="shared" si="49"/>
        <v>1707</v>
      </c>
      <c r="O574" s="6">
        <f t="shared" si="50"/>
        <v>141</v>
      </c>
      <c r="P574" s="6">
        <f t="shared" si="51"/>
        <v>1878</v>
      </c>
      <c r="Q574">
        <f t="shared" si="52"/>
        <v>1</v>
      </c>
      <c r="R574">
        <f t="shared" si="53"/>
        <v>3</v>
      </c>
    </row>
    <row r="575" spans="1:18" x14ac:dyDescent="0.25">
      <c r="A575">
        <f>Raw_data!A575</f>
        <v>574</v>
      </c>
      <c r="B575" t="str">
        <f>Raw_data!B575</f>
        <v>C8483</v>
      </c>
      <c r="C575" t="str">
        <f>Raw_data!C575</f>
        <v>R2436</v>
      </c>
      <c r="D575" s="3">
        <f>Raw_data!D575</f>
        <v>45318.514699074076</v>
      </c>
      <c r="E575" s="3">
        <f>Raw_data!E575</f>
        <v>45318.540393518517</v>
      </c>
      <c r="F575" s="4">
        <f t="shared" si="48"/>
        <v>2.569444444088731E-2</v>
      </c>
      <c r="G575" s="6">
        <f>Raw_data!F575</f>
        <v>1976</v>
      </c>
      <c r="H575" s="6">
        <f>Raw_data!G575</f>
        <v>40</v>
      </c>
      <c r="I575" t="str">
        <f>Raw_data!H575</f>
        <v>Cash on Delivery</v>
      </c>
      <c r="J575" s="7" t="str">
        <f>IF(Raw_data!I575=0.1,"10%",Raw_data!I575)</f>
        <v>10%</v>
      </c>
      <c r="K575" s="6">
        <f>Raw_data!J575</f>
        <v>120</v>
      </c>
      <c r="L575" s="6">
        <f>Raw_data!K575</f>
        <v>31</v>
      </c>
      <c r="M575" s="6">
        <f>Raw_data!L575</f>
        <v>0</v>
      </c>
      <c r="N575" s="6">
        <f t="shared" si="49"/>
        <v>1825</v>
      </c>
      <c r="O575" s="6">
        <f t="shared" si="50"/>
        <v>151</v>
      </c>
      <c r="P575" s="6">
        <f t="shared" si="51"/>
        <v>2016</v>
      </c>
      <c r="Q575">
        <f t="shared" si="52"/>
        <v>1</v>
      </c>
      <c r="R575">
        <f t="shared" si="53"/>
        <v>1</v>
      </c>
    </row>
    <row r="576" spans="1:18" x14ac:dyDescent="0.25">
      <c r="A576">
        <f>Raw_data!A576</f>
        <v>575</v>
      </c>
      <c r="B576" t="str">
        <f>Raw_data!B576</f>
        <v>C1539</v>
      </c>
      <c r="C576" t="str">
        <f>Raw_data!C576</f>
        <v>R2669</v>
      </c>
      <c r="D576" s="3">
        <f>Raw_data!D576</f>
        <v>45298.878530092596</v>
      </c>
      <c r="E576" s="3">
        <f>Raw_data!E576</f>
        <v>45298.907002314816</v>
      </c>
      <c r="F576" s="4">
        <f t="shared" si="48"/>
        <v>2.8472222220443655E-2</v>
      </c>
      <c r="G576" s="6">
        <f>Raw_data!F576</f>
        <v>523</v>
      </c>
      <c r="H576" s="6">
        <f>Raw_data!G576</f>
        <v>50</v>
      </c>
      <c r="I576" t="str">
        <f>Raw_data!H576</f>
        <v>Cash on Delivery</v>
      </c>
      <c r="J576" s="7" t="str">
        <f>IF(Raw_data!I576=0.1,"10%",Raw_data!I576)</f>
        <v>None</v>
      </c>
      <c r="K576" s="6">
        <f>Raw_data!J576</f>
        <v>192</v>
      </c>
      <c r="L576" s="6">
        <f>Raw_data!K576</f>
        <v>12</v>
      </c>
      <c r="M576" s="6">
        <f>Raw_data!L576</f>
        <v>0</v>
      </c>
      <c r="N576" s="6">
        <f t="shared" si="49"/>
        <v>319</v>
      </c>
      <c r="O576" s="6">
        <f t="shared" si="50"/>
        <v>204</v>
      </c>
      <c r="P576" s="6">
        <f t="shared" si="51"/>
        <v>573</v>
      </c>
      <c r="Q576">
        <f t="shared" si="52"/>
        <v>1</v>
      </c>
      <c r="R576">
        <f t="shared" si="53"/>
        <v>2</v>
      </c>
    </row>
    <row r="577" spans="1:18" x14ac:dyDescent="0.25">
      <c r="A577">
        <f>Raw_data!A577</f>
        <v>576</v>
      </c>
      <c r="B577" t="str">
        <f>Raw_data!B577</f>
        <v>C5964</v>
      </c>
      <c r="C577" t="str">
        <f>Raw_data!C577</f>
        <v>R2550</v>
      </c>
      <c r="D577" s="3">
        <f>Raw_data!D577</f>
        <v>45292.729594907411</v>
      </c>
      <c r="E577" s="3">
        <f>Raw_data!E577</f>
        <v>45292.77820601852</v>
      </c>
      <c r="F577" s="4">
        <f t="shared" si="48"/>
        <v>4.8611111109494232E-2</v>
      </c>
      <c r="G577" s="6">
        <f>Raw_data!F577</f>
        <v>1530</v>
      </c>
      <c r="H577" s="6">
        <f>Raw_data!G577</f>
        <v>50</v>
      </c>
      <c r="I577" t="str">
        <f>Raw_data!H577</f>
        <v>Cash on Delivery</v>
      </c>
      <c r="J577" s="7" t="str">
        <f>IF(Raw_data!I577=0.1,"10%",Raw_data!I577)</f>
        <v>10%</v>
      </c>
      <c r="K577" s="6">
        <f>Raw_data!J577</f>
        <v>195</v>
      </c>
      <c r="L577" s="6">
        <f>Raw_data!K577</f>
        <v>32</v>
      </c>
      <c r="M577" s="6">
        <f>Raw_data!L577</f>
        <v>150</v>
      </c>
      <c r="N577" s="6">
        <f t="shared" si="49"/>
        <v>1303</v>
      </c>
      <c r="O577" s="6">
        <f t="shared" si="50"/>
        <v>77</v>
      </c>
      <c r="P577" s="6">
        <f t="shared" si="51"/>
        <v>1580</v>
      </c>
      <c r="Q577">
        <f t="shared" si="52"/>
        <v>1</v>
      </c>
      <c r="R577">
        <f t="shared" si="53"/>
        <v>1</v>
      </c>
    </row>
    <row r="578" spans="1:18" x14ac:dyDescent="0.25">
      <c r="A578">
        <f>Raw_data!A578</f>
        <v>577</v>
      </c>
      <c r="B578" t="str">
        <f>Raw_data!B578</f>
        <v>C5835</v>
      </c>
      <c r="C578" t="str">
        <f>Raw_data!C578</f>
        <v>R2926</v>
      </c>
      <c r="D578" s="3">
        <f>Raw_data!D578</f>
        <v>45322.416527777779</v>
      </c>
      <c r="E578" s="3">
        <f>Raw_data!E578</f>
        <v>45322.454722222225</v>
      </c>
      <c r="F578" s="4">
        <f t="shared" si="48"/>
        <v>3.8194444445252884E-2</v>
      </c>
      <c r="G578" s="6">
        <f>Raw_data!F578</f>
        <v>1691</v>
      </c>
      <c r="H578" s="6">
        <f>Raw_data!G578</f>
        <v>30</v>
      </c>
      <c r="I578" t="str">
        <f>Raw_data!H578</f>
        <v>Credit Card</v>
      </c>
      <c r="J578" s="7" t="str">
        <f>IF(Raw_data!I578=0.1,"10%",Raw_data!I578)</f>
        <v>5% on App</v>
      </c>
      <c r="K578" s="6">
        <f>Raw_data!J578</f>
        <v>131</v>
      </c>
      <c r="L578" s="6">
        <f>Raw_data!K578</f>
        <v>30</v>
      </c>
      <c r="M578" s="6">
        <f>Raw_data!L578</f>
        <v>0</v>
      </c>
      <c r="N578" s="6">
        <f t="shared" si="49"/>
        <v>1530</v>
      </c>
      <c r="O578" s="6">
        <f t="shared" si="50"/>
        <v>161</v>
      </c>
      <c r="P578" s="6">
        <f t="shared" si="51"/>
        <v>1721</v>
      </c>
      <c r="Q578">
        <f t="shared" si="52"/>
        <v>1</v>
      </c>
      <c r="R578">
        <f t="shared" si="53"/>
        <v>1</v>
      </c>
    </row>
    <row r="579" spans="1:18" x14ac:dyDescent="0.25">
      <c r="A579">
        <f>Raw_data!A579</f>
        <v>578</v>
      </c>
      <c r="B579" t="str">
        <f>Raw_data!B579</f>
        <v>C4775</v>
      </c>
      <c r="C579" t="str">
        <f>Raw_data!C579</f>
        <v>R2081</v>
      </c>
      <c r="D579" s="3">
        <f>Raw_data!D579</f>
        <v>45323.694687499999</v>
      </c>
      <c r="E579" s="3">
        <f>Raw_data!E579</f>
        <v>45323.749548611115</v>
      </c>
      <c r="F579" s="4">
        <f t="shared" ref="F579:F642" si="54">E579-D579</f>
        <v>5.4861111115314998E-2</v>
      </c>
      <c r="G579" s="6">
        <f>Raw_data!F579</f>
        <v>489</v>
      </c>
      <c r="H579" s="6">
        <f>Raw_data!G579</f>
        <v>30</v>
      </c>
      <c r="I579" t="str">
        <f>Raw_data!H579</f>
        <v>Cash on Delivery</v>
      </c>
      <c r="J579" s="7" t="str">
        <f>IF(Raw_data!I579=0.1,"10%",Raw_data!I579)</f>
        <v>None</v>
      </c>
      <c r="K579" s="6">
        <f>Raw_data!J579</f>
        <v>165</v>
      </c>
      <c r="L579" s="6">
        <f>Raw_data!K579</f>
        <v>50</v>
      </c>
      <c r="M579" s="6">
        <f>Raw_data!L579</f>
        <v>0</v>
      </c>
      <c r="N579" s="6">
        <f t="shared" ref="N579:N642" si="55">G579-K579-L579</f>
        <v>274</v>
      </c>
      <c r="O579" s="6">
        <f t="shared" ref="O579:O642" si="56">K579+L579-M579</f>
        <v>215</v>
      </c>
      <c r="P579" s="6">
        <f t="shared" ref="P579:P642" si="57">G579+H579</f>
        <v>519</v>
      </c>
      <c r="Q579">
        <f t="shared" ref="Q579:Q642" si="58">COUNTIF(B$2:B$1001,B579)</f>
        <v>1</v>
      </c>
      <c r="R579">
        <f t="shared" ref="R579:R642" si="59">COUNTIF(C$2:C$1001,C579)</f>
        <v>2</v>
      </c>
    </row>
    <row r="580" spans="1:18" x14ac:dyDescent="0.25">
      <c r="A580">
        <f>Raw_data!A580</f>
        <v>579</v>
      </c>
      <c r="B580" t="str">
        <f>Raw_data!B580</f>
        <v>C7042</v>
      </c>
      <c r="C580" t="str">
        <f>Raw_data!C580</f>
        <v>R2355</v>
      </c>
      <c r="D580" s="3">
        <f>Raw_data!D580</f>
        <v>45306.847094907411</v>
      </c>
      <c r="E580" s="3">
        <f>Raw_data!E580</f>
        <v>45306.868622685186</v>
      </c>
      <c r="F580" s="4">
        <f t="shared" si="54"/>
        <v>2.1527777775190771E-2</v>
      </c>
      <c r="G580" s="6">
        <f>Raw_data!F580</f>
        <v>441</v>
      </c>
      <c r="H580" s="6">
        <f>Raw_data!G580</f>
        <v>20</v>
      </c>
      <c r="I580" t="str">
        <f>Raw_data!H580</f>
        <v>Credit Card</v>
      </c>
      <c r="J580" s="7" t="str">
        <f>IF(Raw_data!I580=0.1,"10%",Raw_data!I580)</f>
        <v>5% on App</v>
      </c>
      <c r="K580" s="6">
        <f>Raw_data!J580</f>
        <v>154</v>
      </c>
      <c r="L580" s="6">
        <f>Raw_data!K580</f>
        <v>32</v>
      </c>
      <c r="M580" s="6">
        <f>Raw_data!L580</f>
        <v>50</v>
      </c>
      <c r="N580" s="6">
        <f t="shared" si="55"/>
        <v>255</v>
      </c>
      <c r="O580" s="6">
        <f t="shared" si="56"/>
        <v>136</v>
      </c>
      <c r="P580" s="6">
        <f t="shared" si="57"/>
        <v>461</v>
      </c>
      <c r="Q580">
        <f t="shared" si="58"/>
        <v>1</v>
      </c>
      <c r="R580">
        <f t="shared" si="59"/>
        <v>4</v>
      </c>
    </row>
    <row r="581" spans="1:18" x14ac:dyDescent="0.25">
      <c r="A581">
        <f>Raw_data!A581</f>
        <v>580</v>
      </c>
      <c r="B581" t="str">
        <f>Raw_data!B581</f>
        <v>C8102</v>
      </c>
      <c r="C581" t="str">
        <f>Raw_data!C581</f>
        <v>R2257</v>
      </c>
      <c r="D581" s="3">
        <f>Raw_data!D581</f>
        <v>45294.365347222221</v>
      </c>
      <c r="E581" s="3">
        <f>Raw_data!E581</f>
        <v>45294.423680555556</v>
      </c>
      <c r="F581" s="4">
        <f t="shared" si="54"/>
        <v>5.8333333334303461E-2</v>
      </c>
      <c r="G581" s="6">
        <f>Raw_data!F581</f>
        <v>1045</v>
      </c>
      <c r="H581" s="6">
        <f>Raw_data!G581</f>
        <v>40</v>
      </c>
      <c r="I581" t="str">
        <f>Raw_data!H581</f>
        <v>Cash on Delivery</v>
      </c>
      <c r="J581" s="7" t="str">
        <f>IF(Raw_data!I581=0.1,"10%",Raw_data!I581)</f>
        <v>10%</v>
      </c>
      <c r="K581" s="6">
        <f>Raw_data!J581</f>
        <v>137</v>
      </c>
      <c r="L581" s="6">
        <f>Raw_data!K581</f>
        <v>13</v>
      </c>
      <c r="M581" s="6">
        <f>Raw_data!L581</f>
        <v>0</v>
      </c>
      <c r="N581" s="6">
        <f t="shared" si="55"/>
        <v>895</v>
      </c>
      <c r="O581" s="6">
        <f t="shared" si="56"/>
        <v>150</v>
      </c>
      <c r="P581" s="6">
        <f t="shared" si="57"/>
        <v>1085</v>
      </c>
      <c r="Q581">
        <f t="shared" si="58"/>
        <v>1</v>
      </c>
      <c r="R581">
        <f t="shared" si="59"/>
        <v>1</v>
      </c>
    </row>
    <row r="582" spans="1:18" x14ac:dyDescent="0.25">
      <c r="A582">
        <f>Raw_data!A582</f>
        <v>581</v>
      </c>
      <c r="B582" t="str">
        <f>Raw_data!B582</f>
        <v>C8312</v>
      </c>
      <c r="C582" t="str">
        <f>Raw_data!C582</f>
        <v>R2717</v>
      </c>
      <c r="D582" s="3">
        <f>Raw_data!D582</f>
        <v>45297.815046296295</v>
      </c>
      <c r="E582" s="3">
        <f>Raw_data!E582</f>
        <v>45297.874074074076</v>
      </c>
      <c r="F582" s="4">
        <f t="shared" si="54"/>
        <v>5.9027777781011537E-2</v>
      </c>
      <c r="G582" s="6">
        <f>Raw_data!F582</f>
        <v>713</v>
      </c>
      <c r="H582" s="6">
        <f>Raw_data!G582</f>
        <v>40</v>
      </c>
      <c r="I582" t="str">
        <f>Raw_data!H582</f>
        <v>Digital Wallet</v>
      </c>
      <c r="J582" s="7" t="str">
        <f>IF(Raw_data!I582=0.1,"10%",Raw_data!I582)</f>
        <v>15% New User</v>
      </c>
      <c r="K582" s="6">
        <f>Raw_data!J582</f>
        <v>51</v>
      </c>
      <c r="L582" s="6">
        <f>Raw_data!K582</f>
        <v>30</v>
      </c>
      <c r="M582" s="6">
        <f>Raw_data!L582</f>
        <v>50</v>
      </c>
      <c r="N582" s="6">
        <f t="shared" si="55"/>
        <v>632</v>
      </c>
      <c r="O582" s="6">
        <f t="shared" si="56"/>
        <v>31</v>
      </c>
      <c r="P582" s="6">
        <f t="shared" si="57"/>
        <v>753</v>
      </c>
      <c r="Q582">
        <f t="shared" si="58"/>
        <v>1</v>
      </c>
      <c r="R582">
        <f t="shared" si="59"/>
        <v>1</v>
      </c>
    </row>
    <row r="583" spans="1:18" x14ac:dyDescent="0.25">
      <c r="A583">
        <f>Raw_data!A583</f>
        <v>582</v>
      </c>
      <c r="B583" t="str">
        <f>Raw_data!B583</f>
        <v>C6320</v>
      </c>
      <c r="C583" t="str">
        <f>Raw_data!C583</f>
        <v>R2588</v>
      </c>
      <c r="D583" s="3">
        <f>Raw_data!D583</f>
        <v>45318.057881944442</v>
      </c>
      <c r="E583" s="3">
        <f>Raw_data!E583</f>
        <v>45318.087743055556</v>
      </c>
      <c r="F583" s="4">
        <f t="shared" si="54"/>
        <v>2.9861111113859806E-2</v>
      </c>
      <c r="G583" s="6">
        <f>Raw_data!F583</f>
        <v>592</v>
      </c>
      <c r="H583" s="6">
        <f>Raw_data!G583</f>
        <v>30</v>
      </c>
      <c r="I583" t="str">
        <f>Raw_data!H583</f>
        <v>Credit Card</v>
      </c>
      <c r="J583" s="7" t="str">
        <f>IF(Raw_data!I583=0.1,"10%",Raw_data!I583)</f>
        <v>10%</v>
      </c>
      <c r="K583" s="6">
        <f>Raw_data!J583</f>
        <v>153</v>
      </c>
      <c r="L583" s="6">
        <f>Raw_data!K583</f>
        <v>46</v>
      </c>
      <c r="M583" s="6">
        <f>Raw_data!L583</f>
        <v>150</v>
      </c>
      <c r="N583" s="6">
        <f t="shared" si="55"/>
        <v>393</v>
      </c>
      <c r="O583" s="6">
        <f t="shared" si="56"/>
        <v>49</v>
      </c>
      <c r="P583" s="6">
        <f t="shared" si="57"/>
        <v>622</v>
      </c>
      <c r="Q583">
        <f t="shared" si="58"/>
        <v>1</v>
      </c>
      <c r="R583">
        <f t="shared" si="59"/>
        <v>2</v>
      </c>
    </row>
    <row r="584" spans="1:18" x14ac:dyDescent="0.25">
      <c r="A584">
        <f>Raw_data!A584</f>
        <v>583</v>
      </c>
      <c r="B584" t="str">
        <f>Raw_data!B584</f>
        <v>C7132</v>
      </c>
      <c r="C584" t="str">
        <f>Raw_data!C584</f>
        <v>R2988</v>
      </c>
      <c r="D584" s="3">
        <f>Raw_data!D584</f>
        <v>45307.44840277778</v>
      </c>
      <c r="E584" s="3">
        <f>Raw_data!E584</f>
        <v>45307.472708333335</v>
      </c>
      <c r="F584" s="4">
        <f t="shared" si="54"/>
        <v>2.4305555554747116E-2</v>
      </c>
      <c r="G584" s="6">
        <f>Raw_data!F584</f>
        <v>291</v>
      </c>
      <c r="H584" s="6">
        <f>Raw_data!G584</f>
        <v>50</v>
      </c>
      <c r="I584" t="str">
        <f>Raw_data!H584</f>
        <v>Digital Wallet</v>
      </c>
      <c r="J584" s="7" t="str">
        <f>IF(Raw_data!I584=0.1,"10%",Raw_data!I584)</f>
        <v>10%</v>
      </c>
      <c r="K584" s="6">
        <f>Raw_data!J584</f>
        <v>133</v>
      </c>
      <c r="L584" s="6">
        <f>Raw_data!K584</f>
        <v>40</v>
      </c>
      <c r="M584" s="6">
        <f>Raw_data!L584</f>
        <v>0</v>
      </c>
      <c r="N584" s="6">
        <f t="shared" si="55"/>
        <v>118</v>
      </c>
      <c r="O584" s="6">
        <f t="shared" si="56"/>
        <v>173</v>
      </c>
      <c r="P584" s="6">
        <f t="shared" si="57"/>
        <v>341</v>
      </c>
      <c r="Q584">
        <f t="shared" si="58"/>
        <v>1</v>
      </c>
      <c r="R584">
        <f t="shared" si="59"/>
        <v>3</v>
      </c>
    </row>
    <row r="585" spans="1:18" x14ac:dyDescent="0.25">
      <c r="A585">
        <f>Raw_data!A585</f>
        <v>584</v>
      </c>
      <c r="B585" t="str">
        <f>Raw_data!B585</f>
        <v>C8891</v>
      </c>
      <c r="C585" t="str">
        <f>Raw_data!C585</f>
        <v>R2523</v>
      </c>
      <c r="D585" s="3">
        <f>Raw_data!D585</f>
        <v>45311.434733796297</v>
      </c>
      <c r="E585" s="3">
        <f>Raw_data!E585</f>
        <v>45311.511122685188</v>
      </c>
      <c r="F585" s="4">
        <f t="shared" si="54"/>
        <v>7.6388888890505768E-2</v>
      </c>
      <c r="G585" s="6">
        <f>Raw_data!F585</f>
        <v>598</v>
      </c>
      <c r="H585" s="6">
        <f>Raw_data!G585</f>
        <v>30</v>
      </c>
      <c r="I585" t="str">
        <f>Raw_data!H585</f>
        <v>Cash on Delivery</v>
      </c>
      <c r="J585" s="7" t="str">
        <f>IF(Raw_data!I585=0.1,"10%",Raw_data!I585)</f>
        <v>10%</v>
      </c>
      <c r="K585" s="6">
        <f>Raw_data!J585</f>
        <v>92</v>
      </c>
      <c r="L585" s="6">
        <f>Raw_data!K585</f>
        <v>30</v>
      </c>
      <c r="M585" s="6">
        <f>Raw_data!L585</f>
        <v>0</v>
      </c>
      <c r="N585" s="6">
        <f t="shared" si="55"/>
        <v>476</v>
      </c>
      <c r="O585" s="6">
        <f t="shared" si="56"/>
        <v>122</v>
      </c>
      <c r="P585" s="6">
        <f t="shared" si="57"/>
        <v>628</v>
      </c>
      <c r="Q585">
        <f t="shared" si="58"/>
        <v>1</v>
      </c>
      <c r="R585">
        <f t="shared" si="59"/>
        <v>5</v>
      </c>
    </row>
    <row r="586" spans="1:18" x14ac:dyDescent="0.25">
      <c r="A586">
        <f>Raw_data!A586</f>
        <v>585</v>
      </c>
      <c r="B586" t="str">
        <f>Raw_data!B586</f>
        <v>C3779</v>
      </c>
      <c r="C586" t="str">
        <f>Raw_data!C586</f>
        <v>R2294</v>
      </c>
      <c r="D586" s="3">
        <f>Raw_data!D586</f>
        <v>45304.016192129631</v>
      </c>
      <c r="E586" s="3">
        <f>Raw_data!E586</f>
        <v>45304.098136574074</v>
      </c>
      <c r="F586" s="4">
        <f t="shared" si="54"/>
        <v>8.1944444442342501E-2</v>
      </c>
      <c r="G586" s="6">
        <f>Raw_data!F586</f>
        <v>921</v>
      </c>
      <c r="H586" s="6">
        <f>Raw_data!G586</f>
        <v>50</v>
      </c>
      <c r="I586" t="str">
        <f>Raw_data!H586</f>
        <v>Cash on Delivery</v>
      </c>
      <c r="J586" s="7" t="str">
        <f>IF(Raw_data!I586=0.1,"10%",Raw_data!I586)</f>
        <v>50 off Promo</v>
      </c>
      <c r="K586" s="6">
        <f>Raw_data!J586</f>
        <v>120</v>
      </c>
      <c r="L586" s="6">
        <f>Raw_data!K586</f>
        <v>35</v>
      </c>
      <c r="M586" s="6">
        <f>Raw_data!L586</f>
        <v>100</v>
      </c>
      <c r="N586" s="6">
        <f t="shared" si="55"/>
        <v>766</v>
      </c>
      <c r="O586" s="6">
        <f t="shared" si="56"/>
        <v>55</v>
      </c>
      <c r="P586" s="6">
        <f t="shared" si="57"/>
        <v>971</v>
      </c>
      <c r="Q586">
        <f t="shared" si="58"/>
        <v>1</v>
      </c>
      <c r="R586">
        <f t="shared" si="59"/>
        <v>2</v>
      </c>
    </row>
    <row r="587" spans="1:18" x14ac:dyDescent="0.25">
      <c r="A587">
        <f>Raw_data!A587</f>
        <v>586</v>
      </c>
      <c r="B587" t="str">
        <f>Raw_data!B587</f>
        <v>C1924</v>
      </c>
      <c r="C587" t="str">
        <f>Raw_data!C587</f>
        <v>R2961</v>
      </c>
      <c r="D587" s="3">
        <f>Raw_data!D587</f>
        <v>45299.649328703701</v>
      </c>
      <c r="E587" s="3">
        <f>Raw_data!E587</f>
        <v>45299.711828703701</v>
      </c>
      <c r="F587" s="4">
        <f t="shared" si="54"/>
        <v>6.25E-2</v>
      </c>
      <c r="G587" s="6">
        <f>Raw_data!F587</f>
        <v>1835</v>
      </c>
      <c r="H587" s="6">
        <f>Raw_data!G587</f>
        <v>50</v>
      </c>
      <c r="I587" t="str">
        <f>Raw_data!H587</f>
        <v>Cash on Delivery</v>
      </c>
      <c r="J587" s="7" t="str">
        <f>IF(Raw_data!I587=0.1,"10%",Raw_data!I587)</f>
        <v>5% on App</v>
      </c>
      <c r="K587" s="6">
        <f>Raw_data!J587</f>
        <v>143</v>
      </c>
      <c r="L587" s="6">
        <f>Raw_data!K587</f>
        <v>50</v>
      </c>
      <c r="M587" s="6">
        <f>Raw_data!L587</f>
        <v>0</v>
      </c>
      <c r="N587" s="6">
        <f t="shared" si="55"/>
        <v>1642</v>
      </c>
      <c r="O587" s="6">
        <f t="shared" si="56"/>
        <v>193</v>
      </c>
      <c r="P587" s="6">
        <f t="shared" si="57"/>
        <v>1885</v>
      </c>
      <c r="Q587">
        <f t="shared" si="58"/>
        <v>1</v>
      </c>
      <c r="R587">
        <f t="shared" si="59"/>
        <v>2</v>
      </c>
    </row>
    <row r="588" spans="1:18" x14ac:dyDescent="0.25">
      <c r="A588">
        <f>Raw_data!A588</f>
        <v>587</v>
      </c>
      <c r="B588" t="str">
        <f>Raw_data!B588</f>
        <v>C2581</v>
      </c>
      <c r="C588" t="str">
        <f>Raw_data!C588</f>
        <v>R2223</v>
      </c>
      <c r="D588" s="3">
        <f>Raw_data!D588</f>
        <v>45309.802222222221</v>
      </c>
      <c r="E588" s="3">
        <f>Raw_data!E588</f>
        <v>45309.830694444441</v>
      </c>
      <c r="F588" s="4">
        <f t="shared" si="54"/>
        <v>2.8472222220443655E-2</v>
      </c>
      <c r="G588" s="6">
        <f>Raw_data!F588</f>
        <v>1356</v>
      </c>
      <c r="H588" s="6">
        <f>Raw_data!G588</f>
        <v>30</v>
      </c>
      <c r="I588" t="str">
        <f>Raw_data!H588</f>
        <v>Credit Card</v>
      </c>
      <c r="J588" s="7" t="str">
        <f>IF(Raw_data!I588=0.1,"10%",Raw_data!I588)</f>
        <v>5% on App</v>
      </c>
      <c r="K588" s="6">
        <f>Raw_data!J588</f>
        <v>91</v>
      </c>
      <c r="L588" s="6">
        <f>Raw_data!K588</f>
        <v>44</v>
      </c>
      <c r="M588" s="6">
        <f>Raw_data!L588</f>
        <v>0</v>
      </c>
      <c r="N588" s="6">
        <f t="shared" si="55"/>
        <v>1221</v>
      </c>
      <c r="O588" s="6">
        <f t="shared" si="56"/>
        <v>135</v>
      </c>
      <c r="P588" s="6">
        <f t="shared" si="57"/>
        <v>1386</v>
      </c>
      <c r="Q588">
        <f t="shared" si="58"/>
        <v>1</v>
      </c>
      <c r="R588">
        <f t="shared" si="59"/>
        <v>3</v>
      </c>
    </row>
    <row r="589" spans="1:18" x14ac:dyDescent="0.25">
      <c r="A589">
        <f>Raw_data!A589</f>
        <v>588</v>
      </c>
      <c r="B589" t="str">
        <f>Raw_data!B589</f>
        <v>C8714</v>
      </c>
      <c r="C589" t="str">
        <f>Raw_data!C589</f>
        <v>R2524</v>
      </c>
      <c r="D589" s="3">
        <f>Raw_data!D589</f>
        <v>45304.835694444446</v>
      </c>
      <c r="E589" s="3">
        <f>Raw_data!E589</f>
        <v>45304.864861111113</v>
      </c>
      <c r="F589" s="4">
        <f t="shared" si="54"/>
        <v>2.9166666667151731E-2</v>
      </c>
      <c r="G589" s="6">
        <f>Raw_data!F589</f>
        <v>326</v>
      </c>
      <c r="H589" s="6">
        <f>Raw_data!G589</f>
        <v>0</v>
      </c>
      <c r="I589" t="str">
        <f>Raw_data!H589</f>
        <v>Digital Wallet</v>
      </c>
      <c r="J589" s="7" t="str">
        <f>IF(Raw_data!I589=0.1,"10%",Raw_data!I589)</f>
        <v>5% on App</v>
      </c>
      <c r="K589" s="6">
        <f>Raw_data!J589</f>
        <v>182</v>
      </c>
      <c r="L589" s="6">
        <f>Raw_data!K589</f>
        <v>47</v>
      </c>
      <c r="M589" s="6">
        <f>Raw_data!L589</f>
        <v>0</v>
      </c>
      <c r="N589" s="6">
        <f t="shared" si="55"/>
        <v>97</v>
      </c>
      <c r="O589" s="6">
        <f t="shared" si="56"/>
        <v>229</v>
      </c>
      <c r="P589" s="6">
        <f t="shared" si="57"/>
        <v>326</v>
      </c>
      <c r="Q589">
        <f t="shared" si="58"/>
        <v>1</v>
      </c>
      <c r="R589">
        <f t="shared" si="59"/>
        <v>1</v>
      </c>
    </row>
    <row r="590" spans="1:18" x14ac:dyDescent="0.25">
      <c r="A590">
        <f>Raw_data!A590</f>
        <v>589</v>
      </c>
      <c r="B590" t="str">
        <f>Raw_data!B590</f>
        <v>C4324</v>
      </c>
      <c r="C590" t="str">
        <f>Raw_data!C590</f>
        <v>R2045</v>
      </c>
      <c r="D590" s="3">
        <f>Raw_data!D590</f>
        <v>45311.984675925924</v>
      </c>
      <c r="E590" s="3">
        <f>Raw_data!E590</f>
        <v>45312.018009259256</v>
      </c>
      <c r="F590" s="4">
        <f t="shared" si="54"/>
        <v>3.3333333332848269E-2</v>
      </c>
      <c r="G590" s="6">
        <f>Raw_data!F590</f>
        <v>1494</v>
      </c>
      <c r="H590" s="6">
        <f>Raw_data!G590</f>
        <v>40</v>
      </c>
      <c r="I590" t="str">
        <f>Raw_data!H590</f>
        <v>Credit Card</v>
      </c>
      <c r="J590" s="7" t="str">
        <f>IF(Raw_data!I590=0.1,"10%",Raw_data!I590)</f>
        <v>50 off Promo</v>
      </c>
      <c r="K590" s="6">
        <f>Raw_data!J590</f>
        <v>188</v>
      </c>
      <c r="L590" s="6">
        <f>Raw_data!K590</f>
        <v>33</v>
      </c>
      <c r="M590" s="6">
        <f>Raw_data!L590</f>
        <v>0</v>
      </c>
      <c r="N590" s="6">
        <f t="shared" si="55"/>
        <v>1273</v>
      </c>
      <c r="O590" s="6">
        <f t="shared" si="56"/>
        <v>221</v>
      </c>
      <c r="P590" s="6">
        <f t="shared" si="57"/>
        <v>1534</v>
      </c>
      <c r="Q590">
        <f t="shared" si="58"/>
        <v>1</v>
      </c>
      <c r="R590">
        <f t="shared" si="59"/>
        <v>2</v>
      </c>
    </row>
    <row r="591" spans="1:18" x14ac:dyDescent="0.25">
      <c r="A591">
        <f>Raw_data!A591</f>
        <v>590</v>
      </c>
      <c r="B591" t="str">
        <f>Raw_data!B591</f>
        <v>C6713</v>
      </c>
      <c r="C591" t="str">
        <f>Raw_data!C591</f>
        <v>R2666</v>
      </c>
      <c r="D591" s="3">
        <f>Raw_data!D591</f>
        <v>45307.85732638889</v>
      </c>
      <c r="E591" s="3">
        <f>Raw_data!E591</f>
        <v>45307.908020833333</v>
      </c>
      <c r="F591" s="4">
        <f t="shared" si="54"/>
        <v>5.0694444442342501E-2</v>
      </c>
      <c r="G591" s="6">
        <f>Raw_data!F591</f>
        <v>238</v>
      </c>
      <c r="H591" s="6">
        <f>Raw_data!G591</f>
        <v>50</v>
      </c>
      <c r="I591" t="str">
        <f>Raw_data!H591</f>
        <v>Credit Card</v>
      </c>
      <c r="J591" s="7" t="str">
        <f>IF(Raw_data!I591=0.1,"10%",Raw_data!I591)</f>
        <v>15% New User</v>
      </c>
      <c r="K591" s="6">
        <f>Raw_data!J591</f>
        <v>114</v>
      </c>
      <c r="L591" s="6">
        <f>Raw_data!K591</f>
        <v>20</v>
      </c>
      <c r="M591" s="6">
        <f>Raw_data!L591</f>
        <v>0</v>
      </c>
      <c r="N591" s="6">
        <f t="shared" si="55"/>
        <v>104</v>
      </c>
      <c r="O591" s="6">
        <f t="shared" si="56"/>
        <v>134</v>
      </c>
      <c r="P591" s="6">
        <f t="shared" si="57"/>
        <v>288</v>
      </c>
      <c r="Q591">
        <f t="shared" si="58"/>
        <v>1</v>
      </c>
      <c r="R591">
        <f t="shared" si="59"/>
        <v>2</v>
      </c>
    </row>
    <row r="592" spans="1:18" x14ac:dyDescent="0.25">
      <c r="A592">
        <f>Raw_data!A592</f>
        <v>591</v>
      </c>
      <c r="B592" t="str">
        <f>Raw_data!B592</f>
        <v>C8026</v>
      </c>
      <c r="C592" t="str">
        <f>Raw_data!C592</f>
        <v>R2112</v>
      </c>
      <c r="D592" s="3">
        <f>Raw_data!D592</f>
        <v>45311.513842592591</v>
      </c>
      <c r="E592" s="3">
        <f>Raw_data!E592</f>
        <v>45311.59578703704</v>
      </c>
      <c r="F592" s="4">
        <f t="shared" si="54"/>
        <v>8.1944444449618459E-2</v>
      </c>
      <c r="G592" s="6">
        <f>Raw_data!F592</f>
        <v>955</v>
      </c>
      <c r="H592" s="6">
        <f>Raw_data!G592</f>
        <v>50</v>
      </c>
      <c r="I592" t="str">
        <f>Raw_data!H592</f>
        <v>Cash on Delivery</v>
      </c>
      <c r="J592" s="7" t="str">
        <f>IF(Raw_data!I592=0.1,"10%",Raw_data!I592)</f>
        <v>10%</v>
      </c>
      <c r="K592" s="6">
        <f>Raw_data!J592</f>
        <v>83</v>
      </c>
      <c r="L592" s="6">
        <f>Raw_data!K592</f>
        <v>50</v>
      </c>
      <c r="M592" s="6">
        <f>Raw_data!L592</f>
        <v>100</v>
      </c>
      <c r="N592" s="6">
        <f t="shared" si="55"/>
        <v>822</v>
      </c>
      <c r="O592" s="6">
        <f t="shared" si="56"/>
        <v>33</v>
      </c>
      <c r="P592" s="6">
        <f t="shared" si="57"/>
        <v>1005</v>
      </c>
      <c r="Q592">
        <f t="shared" si="58"/>
        <v>1</v>
      </c>
      <c r="R592">
        <f t="shared" si="59"/>
        <v>2</v>
      </c>
    </row>
    <row r="593" spans="1:18" x14ac:dyDescent="0.25">
      <c r="A593">
        <f>Raw_data!A593</f>
        <v>592</v>
      </c>
      <c r="B593" t="str">
        <f>Raw_data!B593</f>
        <v>C1255</v>
      </c>
      <c r="C593" t="str">
        <f>Raw_data!C593</f>
        <v>R2232</v>
      </c>
      <c r="D593" s="3">
        <f>Raw_data!D593</f>
        <v>45306.307638888888</v>
      </c>
      <c r="E593" s="3">
        <f>Raw_data!E593</f>
        <v>45306.368750000001</v>
      </c>
      <c r="F593" s="4">
        <f t="shared" si="54"/>
        <v>6.1111111113859806E-2</v>
      </c>
      <c r="G593" s="6">
        <f>Raw_data!F593</f>
        <v>916</v>
      </c>
      <c r="H593" s="6">
        <f>Raw_data!G593</f>
        <v>0</v>
      </c>
      <c r="I593" t="str">
        <f>Raw_data!H593</f>
        <v>Digital Wallet</v>
      </c>
      <c r="J593" s="7" t="str">
        <f>IF(Raw_data!I593=0.1,"10%",Raw_data!I593)</f>
        <v>15% New User</v>
      </c>
      <c r="K593" s="6">
        <f>Raw_data!J593</f>
        <v>169</v>
      </c>
      <c r="L593" s="6">
        <f>Raw_data!K593</f>
        <v>38</v>
      </c>
      <c r="M593" s="6">
        <f>Raw_data!L593</f>
        <v>100</v>
      </c>
      <c r="N593" s="6">
        <f t="shared" si="55"/>
        <v>709</v>
      </c>
      <c r="O593" s="6">
        <f t="shared" si="56"/>
        <v>107</v>
      </c>
      <c r="P593" s="6">
        <f t="shared" si="57"/>
        <v>916</v>
      </c>
      <c r="Q593">
        <f t="shared" si="58"/>
        <v>1</v>
      </c>
      <c r="R593">
        <f t="shared" si="59"/>
        <v>2</v>
      </c>
    </row>
    <row r="594" spans="1:18" x14ac:dyDescent="0.25">
      <c r="A594">
        <f>Raw_data!A594</f>
        <v>593</v>
      </c>
      <c r="B594" t="str">
        <f>Raw_data!B594</f>
        <v>C5804</v>
      </c>
      <c r="C594" t="str">
        <f>Raw_data!C594</f>
        <v>R2016</v>
      </c>
      <c r="D594" s="3">
        <f>Raw_data!D594</f>
        <v>45322.52652777778</v>
      </c>
      <c r="E594" s="3">
        <f>Raw_data!E594</f>
        <v>45322.57236111111</v>
      </c>
      <c r="F594" s="4">
        <f t="shared" si="54"/>
        <v>4.5833333329937886E-2</v>
      </c>
      <c r="G594" s="6">
        <f>Raw_data!F594</f>
        <v>1272</v>
      </c>
      <c r="H594" s="6">
        <f>Raw_data!G594</f>
        <v>20</v>
      </c>
      <c r="I594" t="str">
        <f>Raw_data!H594</f>
        <v>Cash on Delivery</v>
      </c>
      <c r="J594" s="7" t="str">
        <f>IF(Raw_data!I594=0.1,"10%",Raw_data!I594)</f>
        <v>50 off Promo</v>
      </c>
      <c r="K594" s="6">
        <f>Raw_data!J594</f>
        <v>50</v>
      </c>
      <c r="L594" s="6">
        <f>Raw_data!K594</f>
        <v>12</v>
      </c>
      <c r="M594" s="6">
        <f>Raw_data!L594</f>
        <v>0</v>
      </c>
      <c r="N594" s="6">
        <f t="shared" si="55"/>
        <v>1210</v>
      </c>
      <c r="O594" s="6">
        <f t="shared" si="56"/>
        <v>62</v>
      </c>
      <c r="P594" s="6">
        <f t="shared" si="57"/>
        <v>1292</v>
      </c>
      <c r="Q594">
        <f t="shared" si="58"/>
        <v>1</v>
      </c>
      <c r="R594">
        <f t="shared" si="59"/>
        <v>5</v>
      </c>
    </row>
    <row r="595" spans="1:18" x14ac:dyDescent="0.25">
      <c r="A595">
        <f>Raw_data!A595</f>
        <v>594</v>
      </c>
      <c r="B595" t="str">
        <f>Raw_data!B595</f>
        <v>C2838</v>
      </c>
      <c r="C595" t="str">
        <f>Raw_data!C595</f>
        <v>R2359</v>
      </c>
      <c r="D595" s="3">
        <f>Raw_data!D595</f>
        <v>45329.574270833335</v>
      </c>
      <c r="E595" s="3">
        <f>Raw_data!E595</f>
        <v>45329.611770833333</v>
      </c>
      <c r="F595" s="4">
        <f t="shared" si="54"/>
        <v>3.7499999998544808E-2</v>
      </c>
      <c r="G595" s="6">
        <f>Raw_data!F595</f>
        <v>1238</v>
      </c>
      <c r="H595" s="6">
        <f>Raw_data!G595</f>
        <v>0</v>
      </c>
      <c r="I595" t="str">
        <f>Raw_data!H595</f>
        <v>Credit Card</v>
      </c>
      <c r="J595" s="7" t="str">
        <f>IF(Raw_data!I595=0.1,"10%",Raw_data!I595)</f>
        <v>5% on App</v>
      </c>
      <c r="K595" s="6">
        <f>Raw_data!J595</f>
        <v>179</v>
      </c>
      <c r="L595" s="6">
        <f>Raw_data!K595</f>
        <v>10</v>
      </c>
      <c r="M595" s="6">
        <f>Raw_data!L595</f>
        <v>0</v>
      </c>
      <c r="N595" s="6">
        <f t="shared" si="55"/>
        <v>1049</v>
      </c>
      <c r="O595" s="6">
        <f t="shared" si="56"/>
        <v>189</v>
      </c>
      <c r="P595" s="6">
        <f t="shared" si="57"/>
        <v>1238</v>
      </c>
      <c r="Q595">
        <f t="shared" si="58"/>
        <v>1</v>
      </c>
      <c r="R595">
        <f t="shared" si="59"/>
        <v>1</v>
      </c>
    </row>
    <row r="596" spans="1:18" x14ac:dyDescent="0.25">
      <c r="A596">
        <f>Raw_data!A596</f>
        <v>595</v>
      </c>
      <c r="B596" t="str">
        <f>Raw_data!B596</f>
        <v>C1009</v>
      </c>
      <c r="C596" t="str">
        <f>Raw_data!C596</f>
        <v>R2222</v>
      </c>
      <c r="D596" s="3">
        <f>Raw_data!D596</f>
        <v>45300.130046296297</v>
      </c>
      <c r="E596" s="3">
        <f>Raw_data!E596</f>
        <v>45300.161296296297</v>
      </c>
      <c r="F596" s="4">
        <f t="shared" si="54"/>
        <v>3.125E-2</v>
      </c>
      <c r="G596" s="6">
        <f>Raw_data!F596</f>
        <v>1573</v>
      </c>
      <c r="H596" s="6">
        <f>Raw_data!G596</f>
        <v>0</v>
      </c>
      <c r="I596" t="str">
        <f>Raw_data!H596</f>
        <v>Cash on Delivery</v>
      </c>
      <c r="J596" s="7" t="str">
        <f>IF(Raw_data!I596=0.1,"10%",Raw_data!I596)</f>
        <v>10%</v>
      </c>
      <c r="K596" s="6">
        <f>Raw_data!J596</f>
        <v>197</v>
      </c>
      <c r="L596" s="6">
        <f>Raw_data!K596</f>
        <v>28</v>
      </c>
      <c r="M596" s="6">
        <f>Raw_data!L596</f>
        <v>0</v>
      </c>
      <c r="N596" s="6">
        <f t="shared" si="55"/>
        <v>1348</v>
      </c>
      <c r="O596" s="6">
        <f t="shared" si="56"/>
        <v>225</v>
      </c>
      <c r="P596" s="6">
        <f t="shared" si="57"/>
        <v>1573</v>
      </c>
      <c r="Q596">
        <f t="shared" si="58"/>
        <v>2</v>
      </c>
      <c r="R596">
        <f t="shared" si="59"/>
        <v>3</v>
      </c>
    </row>
    <row r="597" spans="1:18" x14ac:dyDescent="0.25">
      <c r="A597">
        <f>Raw_data!A597</f>
        <v>596</v>
      </c>
      <c r="B597" t="str">
        <f>Raw_data!B597</f>
        <v>C3871</v>
      </c>
      <c r="C597" t="str">
        <f>Raw_data!C597</f>
        <v>R2865</v>
      </c>
      <c r="D597" s="3">
        <f>Raw_data!D597</f>
        <v>45321.441990740743</v>
      </c>
      <c r="E597" s="3">
        <f>Raw_data!E597</f>
        <v>45321.488518518519</v>
      </c>
      <c r="F597" s="4">
        <f t="shared" si="54"/>
        <v>4.6527777776645962E-2</v>
      </c>
      <c r="G597" s="6">
        <f>Raw_data!F597</f>
        <v>1186</v>
      </c>
      <c r="H597" s="6">
        <f>Raw_data!G597</f>
        <v>50</v>
      </c>
      <c r="I597" t="str">
        <f>Raw_data!H597</f>
        <v>Digital Wallet</v>
      </c>
      <c r="J597" s="7" t="str">
        <f>IF(Raw_data!I597=0.1,"10%",Raw_data!I597)</f>
        <v>None</v>
      </c>
      <c r="K597" s="6">
        <f>Raw_data!J597</f>
        <v>110</v>
      </c>
      <c r="L597" s="6">
        <f>Raw_data!K597</f>
        <v>31</v>
      </c>
      <c r="M597" s="6">
        <f>Raw_data!L597</f>
        <v>0</v>
      </c>
      <c r="N597" s="6">
        <f t="shared" si="55"/>
        <v>1045</v>
      </c>
      <c r="O597" s="6">
        <f t="shared" si="56"/>
        <v>141</v>
      </c>
      <c r="P597" s="6">
        <f t="shared" si="57"/>
        <v>1236</v>
      </c>
      <c r="Q597">
        <f t="shared" si="58"/>
        <v>1</v>
      </c>
      <c r="R597">
        <f t="shared" si="59"/>
        <v>4</v>
      </c>
    </row>
    <row r="598" spans="1:18" x14ac:dyDescent="0.25">
      <c r="A598">
        <f>Raw_data!A598</f>
        <v>597</v>
      </c>
      <c r="B598" t="str">
        <f>Raw_data!B598</f>
        <v>C9989</v>
      </c>
      <c r="C598" t="str">
        <f>Raw_data!C598</f>
        <v>R2699</v>
      </c>
      <c r="D598" s="3">
        <f>Raw_data!D598</f>
        <v>45323.865543981483</v>
      </c>
      <c r="E598" s="3">
        <f>Raw_data!E598</f>
        <v>45323.915543981479</v>
      </c>
      <c r="F598" s="4">
        <f t="shared" si="54"/>
        <v>4.9999999995634425E-2</v>
      </c>
      <c r="G598" s="6">
        <f>Raw_data!F598</f>
        <v>203</v>
      </c>
      <c r="H598" s="6">
        <f>Raw_data!G598</f>
        <v>40</v>
      </c>
      <c r="I598" t="str">
        <f>Raw_data!H598</f>
        <v>Cash on Delivery</v>
      </c>
      <c r="J598" s="7" t="str">
        <f>IF(Raw_data!I598=0.1,"10%",Raw_data!I598)</f>
        <v>None</v>
      </c>
      <c r="K598" s="6">
        <f>Raw_data!J598</f>
        <v>198</v>
      </c>
      <c r="L598" s="6">
        <f>Raw_data!K598</f>
        <v>23</v>
      </c>
      <c r="M598" s="6">
        <f>Raw_data!L598</f>
        <v>0</v>
      </c>
      <c r="N598" s="6">
        <f t="shared" si="55"/>
        <v>-18</v>
      </c>
      <c r="O598" s="6">
        <f t="shared" si="56"/>
        <v>221</v>
      </c>
      <c r="P598" s="6">
        <f t="shared" si="57"/>
        <v>243</v>
      </c>
      <c r="Q598">
        <f t="shared" si="58"/>
        <v>1</v>
      </c>
      <c r="R598">
        <f t="shared" si="59"/>
        <v>4</v>
      </c>
    </row>
    <row r="599" spans="1:18" x14ac:dyDescent="0.25">
      <c r="A599">
        <f>Raw_data!A599</f>
        <v>598</v>
      </c>
      <c r="B599" t="str">
        <f>Raw_data!B599</f>
        <v>C8409</v>
      </c>
      <c r="C599" t="str">
        <f>Raw_data!C599</f>
        <v>R2447</v>
      </c>
      <c r="D599" s="3">
        <f>Raw_data!D599</f>
        <v>45319.308553240742</v>
      </c>
      <c r="E599" s="3">
        <f>Raw_data!E599</f>
        <v>45319.389108796298</v>
      </c>
      <c r="F599" s="4">
        <f t="shared" si="54"/>
        <v>8.0555555556202307E-2</v>
      </c>
      <c r="G599" s="6">
        <f>Raw_data!F599</f>
        <v>1974</v>
      </c>
      <c r="H599" s="6">
        <f>Raw_data!G599</f>
        <v>0</v>
      </c>
      <c r="I599" t="str">
        <f>Raw_data!H599</f>
        <v>Digital Wallet</v>
      </c>
      <c r="J599" s="7" t="str">
        <f>IF(Raw_data!I599=0.1,"10%",Raw_data!I599)</f>
        <v>15% New User</v>
      </c>
      <c r="K599" s="6">
        <f>Raw_data!J599</f>
        <v>137</v>
      </c>
      <c r="L599" s="6">
        <f>Raw_data!K599</f>
        <v>23</v>
      </c>
      <c r="M599" s="6">
        <f>Raw_data!L599</f>
        <v>100</v>
      </c>
      <c r="N599" s="6">
        <f t="shared" si="55"/>
        <v>1814</v>
      </c>
      <c r="O599" s="6">
        <f t="shared" si="56"/>
        <v>60</v>
      </c>
      <c r="P599" s="6">
        <f t="shared" si="57"/>
        <v>1974</v>
      </c>
      <c r="Q599">
        <f t="shared" si="58"/>
        <v>1</v>
      </c>
      <c r="R599">
        <f t="shared" si="59"/>
        <v>1</v>
      </c>
    </row>
    <row r="600" spans="1:18" x14ac:dyDescent="0.25">
      <c r="A600">
        <f>Raw_data!A600</f>
        <v>599</v>
      </c>
      <c r="B600" t="str">
        <f>Raw_data!B600</f>
        <v>C8418</v>
      </c>
      <c r="C600" t="str">
        <f>Raw_data!C600</f>
        <v>R2855</v>
      </c>
      <c r="D600" s="3">
        <f>Raw_data!D600</f>
        <v>45307.649814814817</v>
      </c>
      <c r="E600" s="3">
        <f>Raw_data!E600</f>
        <v>45307.679675925923</v>
      </c>
      <c r="F600" s="4">
        <f t="shared" si="54"/>
        <v>2.9861111106583849E-2</v>
      </c>
      <c r="G600" s="6">
        <f>Raw_data!F600</f>
        <v>970</v>
      </c>
      <c r="H600" s="6">
        <f>Raw_data!G600</f>
        <v>20</v>
      </c>
      <c r="I600" t="str">
        <f>Raw_data!H600</f>
        <v>Digital Wallet</v>
      </c>
      <c r="J600" s="7" t="str">
        <f>IF(Raw_data!I600=0.1,"10%",Raw_data!I600)</f>
        <v>5% on App</v>
      </c>
      <c r="K600" s="6">
        <f>Raw_data!J600</f>
        <v>117</v>
      </c>
      <c r="L600" s="6">
        <f>Raw_data!K600</f>
        <v>25</v>
      </c>
      <c r="M600" s="6">
        <f>Raw_data!L600</f>
        <v>0</v>
      </c>
      <c r="N600" s="6">
        <f t="shared" si="55"/>
        <v>828</v>
      </c>
      <c r="O600" s="6">
        <f t="shared" si="56"/>
        <v>142</v>
      </c>
      <c r="P600" s="6">
        <f t="shared" si="57"/>
        <v>990</v>
      </c>
      <c r="Q600">
        <f t="shared" si="58"/>
        <v>1</v>
      </c>
      <c r="R600">
        <f t="shared" si="59"/>
        <v>1</v>
      </c>
    </row>
    <row r="601" spans="1:18" x14ac:dyDescent="0.25">
      <c r="A601">
        <f>Raw_data!A601</f>
        <v>600</v>
      </c>
      <c r="B601" t="str">
        <f>Raw_data!B601</f>
        <v>C6124</v>
      </c>
      <c r="C601" t="str">
        <f>Raw_data!C601</f>
        <v>R2364</v>
      </c>
      <c r="D601" s="3">
        <f>Raw_data!D601</f>
        <v>45309.955208333333</v>
      </c>
      <c r="E601" s="3">
        <f>Raw_data!E601</f>
        <v>45309.979513888888</v>
      </c>
      <c r="F601" s="4">
        <f t="shared" si="54"/>
        <v>2.4305555554747116E-2</v>
      </c>
      <c r="G601" s="6">
        <f>Raw_data!F601</f>
        <v>767</v>
      </c>
      <c r="H601" s="6">
        <f>Raw_data!G601</f>
        <v>30</v>
      </c>
      <c r="I601" t="str">
        <f>Raw_data!H601</f>
        <v>Cash on Delivery</v>
      </c>
      <c r="J601" s="7" t="str">
        <f>IF(Raw_data!I601=0.1,"10%",Raw_data!I601)</f>
        <v>None</v>
      </c>
      <c r="K601" s="6">
        <f>Raw_data!J601</f>
        <v>176</v>
      </c>
      <c r="L601" s="6">
        <f>Raw_data!K601</f>
        <v>42</v>
      </c>
      <c r="M601" s="6">
        <f>Raw_data!L601</f>
        <v>0</v>
      </c>
      <c r="N601" s="6">
        <f t="shared" si="55"/>
        <v>549</v>
      </c>
      <c r="O601" s="6">
        <f t="shared" si="56"/>
        <v>218</v>
      </c>
      <c r="P601" s="6">
        <f t="shared" si="57"/>
        <v>797</v>
      </c>
      <c r="Q601">
        <f t="shared" si="58"/>
        <v>2</v>
      </c>
      <c r="R601">
        <f t="shared" si="59"/>
        <v>2</v>
      </c>
    </row>
    <row r="602" spans="1:18" x14ac:dyDescent="0.25">
      <c r="A602">
        <f>Raw_data!A602</f>
        <v>601</v>
      </c>
      <c r="B602" t="str">
        <f>Raw_data!B602</f>
        <v>C2015</v>
      </c>
      <c r="C602" t="str">
        <f>Raw_data!C602</f>
        <v>R2674</v>
      </c>
      <c r="D602" s="3">
        <f>Raw_data!D602</f>
        <v>45303.241296296299</v>
      </c>
      <c r="E602" s="3">
        <f>Raw_data!E602</f>
        <v>45303.323240740741</v>
      </c>
      <c r="F602" s="4">
        <f t="shared" si="54"/>
        <v>8.1944444442342501E-2</v>
      </c>
      <c r="G602" s="6">
        <f>Raw_data!F602</f>
        <v>372</v>
      </c>
      <c r="H602" s="6">
        <f>Raw_data!G602</f>
        <v>0</v>
      </c>
      <c r="I602" t="str">
        <f>Raw_data!H602</f>
        <v>Credit Card</v>
      </c>
      <c r="J602" s="7" t="str">
        <f>IF(Raw_data!I602=0.1,"10%",Raw_data!I602)</f>
        <v>15% New User</v>
      </c>
      <c r="K602" s="6">
        <f>Raw_data!J602</f>
        <v>189</v>
      </c>
      <c r="L602" s="6">
        <f>Raw_data!K602</f>
        <v>22</v>
      </c>
      <c r="M602" s="6">
        <f>Raw_data!L602</f>
        <v>0</v>
      </c>
      <c r="N602" s="6">
        <f t="shared" si="55"/>
        <v>161</v>
      </c>
      <c r="O602" s="6">
        <f t="shared" si="56"/>
        <v>211</v>
      </c>
      <c r="P602" s="6">
        <f t="shared" si="57"/>
        <v>372</v>
      </c>
      <c r="Q602">
        <f t="shared" si="58"/>
        <v>1</v>
      </c>
      <c r="R602">
        <f t="shared" si="59"/>
        <v>1</v>
      </c>
    </row>
    <row r="603" spans="1:18" x14ac:dyDescent="0.25">
      <c r="A603">
        <f>Raw_data!A603</f>
        <v>602</v>
      </c>
      <c r="B603" t="str">
        <f>Raw_data!B603</f>
        <v>C3193</v>
      </c>
      <c r="C603" t="str">
        <f>Raw_data!C603</f>
        <v>R2325</v>
      </c>
      <c r="D603" s="3">
        <f>Raw_data!D603</f>
        <v>45297.365127314813</v>
      </c>
      <c r="E603" s="3">
        <f>Raw_data!E603</f>
        <v>45297.401238425926</v>
      </c>
      <c r="F603" s="4">
        <f t="shared" si="54"/>
        <v>3.6111111112404615E-2</v>
      </c>
      <c r="G603" s="6">
        <f>Raw_data!F603</f>
        <v>1129</v>
      </c>
      <c r="H603" s="6">
        <f>Raw_data!G603</f>
        <v>0</v>
      </c>
      <c r="I603" t="str">
        <f>Raw_data!H603</f>
        <v>Cash on Delivery</v>
      </c>
      <c r="J603" s="7" t="str">
        <f>IF(Raw_data!I603=0.1,"10%",Raw_data!I603)</f>
        <v>50 off Promo</v>
      </c>
      <c r="K603" s="6">
        <f>Raw_data!J603</f>
        <v>71</v>
      </c>
      <c r="L603" s="6">
        <f>Raw_data!K603</f>
        <v>47</v>
      </c>
      <c r="M603" s="6">
        <f>Raw_data!L603</f>
        <v>0</v>
      </c>
      <c r="N603" s="6">
        <f t="shared" si="55"/>
        <v>1011</v>
      </c>
      <c r="O603" s="6">
        <f t="shared" si="56"/>
        <v>118</v>
      </c>
      <c r="P603" s="6">
        <f t="shared" si="57"/>
        <v>1129</v>
      </c>
      <c r="Q603">
        <f t="shared" si="58"/>
        <v>1</v>
      </c>
      <c r="R603">
        <f t="shared" si="59"/>
        <v>1</v>
      </c>
    </row>
    <row r="604" spans="1:18" x14ac:dyDescent="0.25">
      <c r="A604">
        <f>Raw_data!A604</f>
        <v>603</v>
      </c>
      <c r="B604" t="str">
        <f>Raw_data!B604</f>
        <v>C9415</v>
      </c>
      <c r="C604" t="str">
        <f>Raw_data!C604</f>
        <v>R2466</v>
      </c>
      <c r="D604" s="3">
        <f>Raw_data!D604</f>
        <v>45320.946782407409</v>
      </c>
      <c r="E604" s="3">
        <f>Raw_data!E604</f>
        <v>45321.008587962962</v>
      </c>
      <c r="F604" s="4">
        <f t="shared" si="54"/>
        <v>6.1805555553291924E-2</v>
      </c>
      <c r="G604" s="6">
        <f>Raw_data!F604</f>
        <v>1270</v>
      </c>
      <c r="H604" s="6">
        <f>Raw_data!G604</f>
        <v>20</v>
      </c>
      <c r="I604" t="str">
        <f>Raw_data!H604</f>
        <v>Credit Card</v>
      </c>
      <c r="J604" s="7" t="str">
        <f>IF(Raw_data!I604=0.1,"10%",Raw_data!I604)</f>
        <v>15% New User</v>
      </c>
      <c r="K604" s="6">
        <f>Raw_data!J604</f>
        <v>197</v>
      </c>
      <c r="L604" s="6">
        <f>Raw_data!K604</f>
        <v>21</v>
      </c>
      <c r="M604" s="6">
        <f>Raw_data!L604</f>
        <v>0</v>
      </c>
      <c r="N604" s="6">
        <f t="shared" si="55"/>
        <v>1052</v>
      </c>
      <c r="O604" s="6">
        <f t="shared" si="56"/>
        <v>218</v>
      </c>
      <c r="P604" s="6">
        <f t="shared" si="57"/>
        <v>1290</v>
      </c>
      <c r="Q604">
        <f t="shared" si="58"/>
        <v>1</v>
      </c>
      <c r="R604">
        <f t="shared" si="59"/>
        <v>2</v>
      </c>
    </row>
    <row r="605" spans="1:18" x14ac:dyDescent="0.25">
      <c r="A605">
        <f>Raw_data!A605</f>
        <v>604</v>
      </c>
      <c r="B605" t="str">
        <f>Raw_data!B605</f>
        <v>C8449</v>
      </c>
      <c r="C605" t="str">
        <f>Raw_data!C605</f>
        <v>R2413</v>
      </c>
      <c r="D605" s="3">
        <f>Raw_data!D605</f>
        <v>45305.708865740744</v>
      </c>
      <c r="E605" s="3">
        <f>Raw_data!E605</f>
        <v>45305.737337962964</v>
      </c>
      <c r="F605" s="4">
        <f t="shared" si="54"/>
        <v>2.8472222220443655E-2</v>
      </c>
      <c r="G605" s="6">
        <f>Raw_data!F605</f>
        <v>283</v>
      </c>
      <c r="H605" s="6">
        <f>Raw_data!G605</f>
        <v>40</v>
      </c>
      <c r="I605" t="str">
        <f>Raw_data!H605</f>
        <v>Credit Card</v>
      </c>
      <c r="J605" s="7" t="str">
        <f>IF(Raw_data!I605=0.1,"10%",Raw_data!I605)</f>
        <v>15% New User</v>
      </c>
      <c r="K605" s="6">
        <f>Raw_data!J605</f>
        <v>131</v>
      </c>
      <c r="L605" s="6">
        <f>Raw_data!K605</f>
        <v>47</v>
      </c>
      <c r="M605" s="6">
        <f>Raw_data!L605</f>
        <v>150</v>
      </c>
      <c r="N605" s="6">
        <f t="shared" si="55"/>
        <v>105</v>
      </c>
      <c r="O605" s="6">
        <f t="shared" si="56"/>
        <v>28</v>
      </c>
      <c r="P605" s="6">
        <f t="shared" si="57"/>
        <v>323</v>
      </c>
      <c r="Q605">
        <f t="shared" si="58"/>
        <v>1</v>
      </c>
      <c r="R605">
        <f t="shared" si="59"/>
        <v>2</v>
      </c>
    </row>
    <row r="606" spans="1:18" x14ac:dyDescent="0.25">
      <c r="A606">
        <f>Raw_data!A606</f>
        <v>605</v>
      </c>
      <c r="B606" t="str">
        <f>Raw_data!B606</f>
        <v>C5158</v>
      </c>
      <c r="C606" t="str">
        <f>Raw_data!C606</f>
        <v>R2454</v>
      </c>
      <c r="D606" s="3">
        <f>Raw_data!D606</f>
        <v>45307.429861111108</v>
      </c>
      <c r="E606" s="3">
        <f>Raw_data!E606</f>
        <v>45307.459027777775</v>
      </c>
      <c r="F606" s="4">
        <f t="shared" si="54"/>
        <v>2.9166666667151731E-2</v>
      </c>
      <c r="G606" s="6">
        <f>Raw_data!F606</f>
        <v>1151</v>
      </c>
      <c r="H606" s="6">
        <f>Raw_data!G606</f>
        <v>0</v>
      </c>
      <c r="I606" t="str">
        <f>Raw_data!H606</f>
        <v>Cash on Delivery</v>
      </c>
      <c r="J606" s="7" t="str">
        <f>IF(Raw_data!I606=0.1,"10%",Raw_data!I606)</f>
        <v>15% New User</v>
      </c>
      <c r="K606" s="6">
        <f>Raw_data!J606</f>
        <v>178</v>
      </c>
      <c r="L606" s="6">
        <f>Raw_data!K606</f>
        <v>48</v>
      </c>
      <c r="M606" s="6">
        <f>Raw_data!L606</f>
        <v>0</v>
      </c>
      <c r="N606" s="6">
        <f t="shared" si="55"/>
        <v>925</v>
      </c>
      <c r="O606" s="6">
        <f t="shared" si="56"/>
        <v>226</v>
      </c>
      <c r="P606" s="6">
        <f t="shared" si="57"/>
        <v>1151</v>
      </c>
      <c r="Q606">
        <f t="shared" si="58"/>
        <v>1</v>
      </c>
      <c r="R606">
        <f t="shared" si="59"/>
        <v>3</v>
      </c>
    </row>
    <row r="607" spans="1:18" x14ac:dyDescent="0.25">
      <c r="A607">
        <f>Raw_data!A607</f>
        <v>606</v>
      </c>
      <c r="B607" t="str">
        <f>Raw_data!B607</f>
        <v>C4925</v>
      </c>
      <c r="C607" t="str">
        <f>Raw_data!C607</f>
        <v>R2585</v>
      </c>
      <c r="D607" s="3">
        <f>Raw_data!D607</f>
        <v>45322.178368055553</v>
      </c>
      <c r="E607" s="3">
        <f>Raw_data!E607</f>
        <v>45322.202673611115</v>
      </c>
      <c r="F607" s="4">
        <f t="shared" si="54"/>
        <v>2.4305555562023073E-2</v>
      </c>
      <c r="G607" s="6">
        <f>Raw_data!F607</f>
        <v>1673</v>
      </c>
      <c r="H607" s="6">
        <f>Raw_data!G607</f>
        <v>0</v>
      </c>
      <c r="I607" t="str">
        <f>Raw_data!H607</f>
        <v>Credit Card</v>
      </c>
      <c r="J607" s="7" t="str">
        <f>IF(Raw_data!I607=0.1,"10%",Raw_data!I607)</f>
        <v>10%</v>
      </c>
      <c r="K607" s="6">
        <f>Raw_data!J607</f>
        <v>79</v>
      </c>
      <c r="L607" s="6">
        <f>Raw_data!K607</f>
        <v>42</v>
      </c>
      <c r="M607" s="6">
        <f>Raw_data!L607</f>
        <v>150</v>
      </c>
      <c r="N607" s="6">
        <f t="shared" si="55"/>
        <v>1552</v>
      </c>
      <c r="O607" s="6">
        <f t="shared" si="56"/>
        <v>-29</v>
      </c>
      <c r="P607" s="6">
        <f t="shared" si="57"/>
        <v>1673</v>
      </c>
      <c r="Q607">
        <f t="shared" si="58"/>
        <v>1</v>
      </c>
      <c r="R607">
        <f t="shared" si="59"/>
        <v>1</v>
      </c>
    </row>
    <row r="608" spans="1:18" x14ac:dyDescent="0.25">
      <c r="A608">
        <f>Raw_data!A608</f>
        <v>607</v>
      </c>
      <c r="B608" t="str">
        <f>Raw_data!B608</f>
        <v>C7970</v>
      </c>
      <c r="C608" t="str">
        <f>Raw_data!C608</f>
        <v>R2232</v>
      </c>
      <c r="D608" s="3">
        <f>Raw_data!D608</f>
        <v>45311.599988425929</v>
      </c>
      <c r="E608" s="3">
        <f>Raw_data!E608</f>
        <v>45311.663877314815</v>
      </c>
      <c r="F608" s="4">
        <f t="shared" si="54"/>
        <v>6.3888888886140194E-2</v>
      </c>
      <c r="G608" s="6">
        <f>Raw_data!F608</f>
        <v>1242</v>
      </c>
      <c r="H608" s="6">
        <f>Raw_data!G608</f>
        <v>40</v>
      </c>
      <c r="I608" t="str">
        <f>Raw_data!H608</f>
        <v>Credit Card</v>
      </c>
      <c r="J608" s="7" t="str">
        <f>IF(Raw_data!I608=0.1,"10%",Raw_data!I608)</f>
        <v>15% New User</v>
      </c>
      <c r="K608" s="6">
        <f>Raw_data!J608</f>
        <v>175</v>
      </c>
      <c r="L608" s="6">
        <f>Raw_data!K608</f>
        <v>42</v>
      </c>
      <c r="M608" s="6">
        <f>Raw_data!L608</f>
        <v>0</v>
      </c>
      <c r="N608" s="6">
        <f t="shared" si="55"/>
        <v>1025</v>
      </c>
      <c r="O608" s="6">
        <f t="shared" si="56"/>
        <v>217</v>
      </c>
      <c r="P608" s="6">
        <f t="shared" si="57"/>
        <v>1282</v>
      </c>
      <c r="Q608">
        <f t="shared" si="58"/>
        <v>1</v>
      </c>
      <c r="R608">
        <f t="shared" si="59"/>
        <v>2</v>
      </c>
    </row>
    <row r="609" spans="1:18" x14ac:dyDescent="0.25">
      <c r="A609">
        <f>Raw_data!A609</f>
        <v>608</v>
      </c>
      <c r="B609" t="str">
        <f>Raw_data!B609</f>
        <v>C7938</v>
      </c>
      <c r="C609" t="str">
        <f>Raw_data!C609</f>
        <v>R2223</v>
      </c>
      <c r="D609" s="3">
        <f>Raw_data!D609</f>
        <v>45313.19321759259</v>
      </c>
      <c r="E609" s="3">
        <f>Raw_data!E609</f>
        <v>45313.239745370367</v>
      </c>
      <c r="F609" s="4">
        <f t="shared" si="54"/>
        <v>4.6527777776645962E-2</v>
      </c>
      <c r="G609" s="6">
        <f>Raw_data!F609</f>
        <v>392</v>
      </c>
      <c r="H609" s="6">
        <f>Raw_data!G609</f>
        <v>20</v>
      </c>
      <c r="I609" t="str">
        <f>Raw_data!H609</f>
        <v>Cash on Delivery</v>
      </c>
      <c r="J609" s="7" t="str">
        <f>IF(Raw_data!I609=0.1,"10%",Raw_data!I609)</f>
        <v>15% New User</v>
      </c>
      <c r="K609" s="6">
        <f>Raw_data!J609</f>
        <v>146</v>
      </c>
      <c r="L609" s="6">
        <f>Raw_data!K609</f>
        <v>38</v>
      </c>
      <c r="M609" s="6">
        <f>Raw_data!L609</f>
        <v>0</v>
      </c>
      <c r="N609" s="6">
        <f t="shared" si="55"/>
        <v>208</v>
      </c>
      <c r="O609" s="6">
        <f t="shared" si="56"/>
        <v>184</v>
      </c>
      <c r="P609" s="6">
        <f t="shared" si="57"/>
        <v>412</v>
      </c>
      <c r="Q609">
        <f t="shared" si="58"/>
        <v>3</v>
      </c>
      <c r="R609">
        <f t="shared" si="59"/>
        <v>3</v>
      </c>
    </row>
    <row r="610" spans="1:18" x14ac:dyDescent="0.25">
      <c r="A610">
        <f>Raw_data!A610</f>
        <v>609</v>
      </c>
      <c r="B610" t="str">
        <f>Raw_data!B610</f>
        <v>C5784</v>
      </c>
      <c r="C610" t="str">
        <f>Raw_data!C610</f>
        <v>R2993</v>
      </c>
      <c r="D610" s="3">
        <f>Raw_data!D610</f>
        <v>45304.260706018518</v>
      </c>
      <c r="E610" s="3">
        <f>Raw_data!E610</f>
        <v>45304.315567129626</v>
      </c>
      <c r="F610" s="4">
        <f t="shared" si="54"/>
        <v>5.486111110803904E-2</v>
      </c>
      <c r="G610" s="6">
        <f>Raw_data!F610</f>
        <v>1494</v>
      </c>
      <c r="H610" s="6">
        <f>Raw_data!G610</f>
        <v>0</v>
      </c>
      <c r="I610" t="str">
        <f>Raw_data!H610</f>
        <v>Cash on Delivery</v>
      </c>
      <c r="J610" s="7" t="str">
        <f>IF(Raw_data!I610=0.1,"10%",Raw_data!I610)</f>
        <v>10%</v>
      </c>
      <c r="K610" s="6">
        <f>Raw_data!J610</f>
        <v>73</v>
      </c>
      <c r="L610" s="6">
        <f>Raw_data!K610</f>
        <v>14</v>
      </c>
      <c r="M610" s="6">
        <f>Raw_data!L610</f>
        <v>0</v>
      </c>
      <c r="N610" s="6">
        <f t="shared" si="55"/>
        <v>1407</v>
      </c>
      <c r="O610" s="6">
        <f t="shared" si="56"/>
        <v>87</v>
      </c>
      <c r="P610" s="6">
        <f t="shared" si="57"/>
        <v>1494</v>
      </c>
      <c r="Q610">
        <f t="shared" si="58"/>
        <v>1</v>
      </c>
      <c r="R610">
        <f t="shared" si="59"/>
        <v>2</v>
      </c>
    </row>
    <row r="611" spans="1:18" x14ac:dyDescent="0.25">
      <c r="A611">
        <f>Raw_data!A611</f>
        <v>610</v>
      </c>
      <c r="B611" t="str">
        <f>Raw_data!B611</f>
        <v>C5000</v>
      </c>
      <c r="C611" t="str">
        <f>Raw_data!C611</f>
        <v>R2830</v>
      </c>
      <c r="D611" s="3">
        <f>Raw_data!D611</f>
        <v>45323.545960648145</v>
      </c>
      <c r="E611" s="3">
        <f>Raw_data!E611</f>
        <v>45323.602210648147</v>
      </c>
      <c r="F611" s="4">
        <f t="shared" si="54"/>
        <v>5.6250000001455192E-2</v>
      </c>
      <c r="G611" s="6">
        <f>Raw_data!F611</f>
        <v>1367</v>
      </c>
      <c r="H611" s="6">
        <f>Raw_data!G611</f>
        <v>40</v>
      </c>
      <c r="I611" t="str">
        <f>Raw_data!H611</f>
        <v>Cash on Delivery</v>
      </c>
      <c r="J611" s="7" t="str">
        <f>IF(Raw_data!I611=0.1,"10%",Raw_data!I611)</f>
        <v>10%</v>
      </c>
      <c r="K611" s="6">
        <f>Raw_data!J611</f>
        <v>63</v>
      </c>
      <c r="L611" s="6">
        <f>Raw_data!K611</f>
        <v>15</v>
      </c>
      <c r="M611" s="6">
        <f>Raw_data!L611</f>
        <v>0</v>
      </c>
      <c r="N611" s="6">
        <f t="shared" si="55"/>
        <v>1289</v>
      </c>
      <c r="O611" s="6">
        <f t="shared" si="56"/>
        <v>78</v>
      </c>
      <c r="P611" s="6">
        <f t="shared" si="57"/>
        <v>1407</v>
      </c>
      <c r="Q611">
        <f t="shared" si="58"/>
        <v>2</v>
      </c>
      <c r="R611">
        <f t="shared" si="59"/>
        <v>2</v>
      </c>
    </row>
    <row r="612" spans="1:18" x14ac:dyDescent="0.25">
      <c r="A612">
        <f>Raw_data!A612</f>
        <v>611</v>
      </c>
      <c r="B612" t="str">
        <f>Raw_data!B612</f>
        <v>C2633</v>
      </c>
      <c r="C612" t="str">
        <f>Raw_data!C612</f>
        <v>R2411</v>
      </c>
      <c r="D612" s="3">
        <f>Raw_data!D612</f>
        <v>45312.012233796297</v>
      </c>
      <c r="E612" s="3">
        <f>Raw_data!E612</f>
        <v>45312.060150462959</v>
      </c>
      <c r="F612" s="4">
        <f t="shared" si="54"/>
        <v>4.7916666662786156E-2</v>
      </c>
      <c r="G612" s="6">
        <f>Raw_data!F612</f>
        <v>1703</v>
      </c>
      <c r="H612" s="6">
        <f>Raw_data!G612</f>
        <v>0</v>
      </c>
      <c r="I612" t="str">
        <f>Raw_data!H612</f>
        <v>Credit Card</v>
      </c>
      <c r="J612" s="7" t="str">
        <f>IF(Raw_data!I612=0.1,"10%",Raw_data!I612)</f>
        <v>50 off Promo</v>
      </c>
      <c r="K612" s="6">
        <f>Raw_data!J612</f>
        <v>85</v>
      </c>
      <c r="L612" s="6">
        <f>Raw_data!K612</f>
        <v>40</v>
      </c>
      <c r="M612" s="6">
        <f>Raw_data!L612</f>
        <v>100</v>
      </c>
      <c r="N612" s="6">
        <f t="shared" si="55"/>
        <v>1578</v>
      </c>
      <c r="O612" s="6">
        <f t="shared" si="56"/>
        <v>25</v>
      </c>
      <c r="P612" s="6">
        <f t="shared" si="57"/>
        <v>1703</v>
      </c>
      <c r="Q612">
        <f t="shared" si="58"/>
        <v>1</v>
      </c>
      <c r="R612">
        <f t="shared" si="59"/>
        <v>1</v>
      </c>
    </row>
    <row r="613" spans="1:18" x14ac:dyDescent="0.25">
      <c r="A613">
        <f>Raw_data!A613</f>
        <v>612</v>
      </c>
      <c r="B613" t="str">
        <f>Raw_data!B613</f>
        <v>C8266</v>
      </c>
      <c r="C613" t="str">
        <f>Raw_data!C613</f>
        <v>R2571</v>
      </c>
      <c r="D613" s="3">
        <f>Raw_data!D613</f>
        <v>45314.7265162037</v>
      </c>
      <c r="E613" s="3">
        <f>Raw_data!E613</f>
        <v>45314.752210648148</v>
      </c>
      <c r="F613" s="4">
        <f t="shared" si="54"/>
        <v>2.5694444448163267E-2</v>
      </c>
      <c r="G613" s="6">
        <f>Raw_data!F613</f>
        <v>1849</v>
      </c>
      <c r="H613" s="6">
        <f>Raw_data!G613</f>
        <v>30</v>
      </c>
      <c r="I613" t="str">
        <f>Raw_data!H613</f>
        <v>Digital Wallet</v>
      </c>
      <c r="J613" s="7" t="str">
        <f>IF(Raw_data!I613=0.1,"10%",Raw_data!I613)</f>
        <v>5% on App</v>
      </c>
      <c r="K613" s="6">
        <f>Raw_data!J613</f>
        <v>73</v>
      </c>
      <c r="L613" s="6">
        <f>Raw_data!K613</f>
        <v>25</v>
      </c>
      <c r="M613" s="6">
        <f>Raw_data!L613</f>
        <v>0</v>
      </c>
      <c r="N613" s="6">
        <f t="shared" si="55"/>
        <v>1751</v>
      </c>
      <c r="O613" s="6">
        <f t="shared" si="56"/>
        <v>98</v>
      </c>
      <c r="P613" s="6">
        <f t="shared" si="57"/>
        <v>1879</v>
      </c>
      <c r="Q613">
        <f t="shared" si="58"/>
        <v>2</v>
      </c>
      <c r="R613">
        <f t="shared" si="59"/>
        <v>1</v>
      </c>
    </row>
    <row r="614" spans="1:18" x14ac:dyDescent="0.25">
      <c r="A614">
        <f>Raw_data!A614</f>
        <v>613</v>
      </c>
      <c r="B614" t="str">
        <f>Raw_data!B614</f>
        <v>C9702</v>
      </c>
      <c r="C614" t="str">
        <f>Raw_data!C614</f>
        <v>R2334</v>
      </c>
      <c r="D614" s="3">
        <f>Raw_data!D614</f>
        <v>45307.604247685187</v>
      </c>
      <c r="E614" s="3">
        <f>Raw_data!E614</f>
        <v>45307.666747685187</v>
      </c>
      <c r="F614" s="4">
        <f t="shared" si="54"/>
        <v>6.25E-2</v>
      </c>
      <c r="G614" s="6">
        <f>Raw_data!F614</f>
        <v>1341</v>
      </c>
      <c r="H614" s="6">
        <f>Raw_data!G614</f>
        <v>50</v>
      </c>
      <c r="I614" t="str">
        <f>Raw_data!H614</f>
        <v>Credit Card</v>
      </c>
      <c r="J614" s="7" t="str">
        <f>IF(Raw_data!I614=0.1,"10%",Raw_data!I614)</f>
        <v>None</v>
      </c>
      <c r="K614" s="6">
        <f>Raw_data!J614</f>
        <v>144</v>
      </c>
      <c r="L614" s="6">
        <f>Raw_data!K614</f>
        <v>40</v>
      </c>
      <c r="M614" s="6">
        <f>Raw_data!L614</f>
        <v>100</v>
      </c>
      <c r="N614" s="6">
        <f t="shared" si="55"/>
        <v>1157</v>
      </c>
      <c r="O614" s="6">
        <f t="shared" si="56"/>
        <v>84</v>
      </c>
      <c r="P614" s="6">
        <f t="shared" si="57"/>
        <v>1391</v>
      </c>
      <c r="Q614">
        <f t="shared" si="58"/>
        <v>2</v>
      </c>
      <c r="R614">
        <f t="shared" si="59"/>
        <v>3</v>
      </c>
    </row>
    <row r="615" spans="1:18" x14ac:dyDescent="0.25">
      <c r="A615">
        <f>Raw_data!A615</f>
        <v>614</v>
      </c>
      <c r="B615" t="str">
        <f>Raw_data!B615</f>
        <v>C1384</v>
      </c>
      <c r="C615" t="str">
        <f>Raw_data!C615</f>
        <v>R2221</v>
      </c>
      <c r="D615" s="3">
        <f>Raw_data!D615</f>
        <v>45294.604386574072</v>
      </c>
      <c r="E615" s="3">
        <f>Raw_data!E615</f>
        <v>45294.63008101852</v>
      </c>
      <c r="F615" s="4">
        <f t="shared" si="54"/>
        <v>2.5694444448163267E-2</v>
      </c>
      <c r="G615" s="6">
        <f>Raw_data!F615</f>
        <v>276</v>
      </c>
      <c r="H615" s="6">
        <f>Raw_data!G615</f>
        <v>30</v>
      </c>
      <c r="I615" t="str">
        <f>Raw_data!H615</f>
        <v>Digital Wallet</v>
      </c>
      <c r="J615" s="7" t="str">
        <f>IF(Raw_data!I615=0.1,"10%",Raw_data!I615)</f>
        <v>None</v>
      </c>
      <c r="K615" s="6">
        <f>Raw_data!J615</f>
        <v>104</v>
      </c>
      <c r="L615" s="6">
        <f>Raw_data!K615</f>
        <v>34</v>
      </c>
      <c r="M615" s="6">
        <f>Raw_data!L615</f>
        <v>0</v>
      </c>
      <c r="N615" s="6">
        <f t="shared" si="55"/>
        <v>138</v>
      </c>
      <c r="O615" s="6">
        <f t="shared" si="56"/>
        <v>138</v>
      </c>
      <c r="P615" s="6">
        <f t="shared" si="57"/>
        <v>306</v>
      </c>
      <c r="Q615">
        <f t="shared" si="58"/>
        <v>1</v>
      </c>
      <c r="R615">
        <f t="shared" si="59"/>
        <v>1</v>
      </c>
    </row>
    <row r="616" spans="1:18" x14ac:dyDescent="0.25">
      <c r="A616">
        <f>Raw_data!A616</f>
        <v>615</v>
      </c>
      <c r="B616" t="str">
        <f>Raw_data!B616</f>
        <v>C1404</v>
      </c>
      <c r="C616" t="str">
        <f>Raw_data!C616</f>
        <v>R2036</v>
      </c>
      <c r="D616" s="3">
        <f>Raw_data!D616</f>
        <v>45309.073530092595</v>
      </c>
      <c r="E616" s="3">
        <f>Raw_data!E616</f>
        <v>45309.117280092592</v>
      </c>
      <c r="F616" s="4">
        <f t="shared" si="54"/>
        <v>4.3749999997089617E-2</v>
      </c>
      <c r="G616" s="6">
        <f>Raw_data!F616</f>
        <v>1422</v>
      </c>
      <c r="H616" s="6">
        <f>Raw_data!G616</f>
        <v>0</v>
      </c>
      <c r="I616" t="str">
        <f>Raw_data!H616</f>
        <v>Cash on Delivery</v>
      </c>
      <c r="J616" s="7" t="str">
        <f>IF(Raw_data!I616=0.1,"10%",Raw_data!I616)</f>
        <v>15% New User</v>
      </c>
      <c r="K616" s="6">
        <f>Raw_data!J616</f>
        <v>73</v>
      </c>
      <c r="L616" s="6">
        <f>Raw_data!K616</f>
        <v>42</v>
      </c>
      <c r="M616" s="6">
        <f>Raw_data!L616</f>
        <v>0</v>
      </c>
      <c r="N616" s="6">
        <f t="shared" si="55"/>
        <v>1307</v>
      </c>
      <c r="O616" s="6">
        <f t="shared" si="56"/>
        <v>115</v>
      </c>
      <c r="P616" s="6">
        <f t="shared" si="57"/>
        <v>1422</v>
      </c>
      <c r="Q616">
        <f t="shared" si="58"/>
        <v>1</v>
      </c>
      <c r="R616">
        <f t="shared" si="59"/>
        <v>2</v>
      </c>
    </row>
    <row r="617" spans="1:18" x14ac:dyDescent="0.25">
      <c r="A617">
        <f>Raw_data!A617</f>
        <v>616</v>
      </c>
      <c r="B617" t="str">
        <f>Raw_data!B617</f>
        <v>C9175</v>
      </c>
      <c r="C617" t="str">
        <f>Raw_data!C617</f>
        <v>R2988</v>
      </c>
      <c r="D617" s="3">
        <f>Raw_data!D617</f>
        <v>45313.484155092592</v>
      </c>
      <c r="E617" s="3">
        <f>Raw_data!E617</f>
        <v>45313.559155092589</v>
      </c>
      <c r="F617" s="4">
        <f t="shared" si="54"/>
        <v>7.4999999997089617E-2</v>
      </c>
      <c r="G617" s="6">
        <f>Raw_data!F617</f>
        <v>1799</v>
      </c>
      <c r="H617" s="6">
        <f>Raw_data!G617</f>
        <v>20</v>
      </c>
      <c r="I617" t="str">
        <f>Raw_data!H617</f>
        <v>Digital Wallet</v>
      </c>
      <c r="J617" s="7" t="str">
        <f>IF(Raw_data!I617=0.1,"10%",Raw_data!I617)</f>
        <v>50 off Promo</v>
      </c>
      <c r="K617" s="6">
        <f>Raw_data!J617</f>
        <v>75</v>
      </c>
      <c r="L617" s="6">
        <f>Raw_data!K617</f>
        <v>22</v>
      </c>
      <c r="M617" s="6">
        <f>Raw_data!L617</f>
        <v>50</v>
      </c>
      <c r="N617" s="6">
        <f t="shared" si="55"/>
        <v>1702</v>
      </c>
      <c r="O617" s="6">
        <f t="shared" si="56"/>
        <v>47</v>
      </c>
      <c r="P617" s="6">
        <f t="shared" si="57"/>
        <v>1819</v>
      </c>
      <c r="Q617">
        <f t="shared" si="58"/>
        <v>1</v>
      </c>
      <c r="R617">
        <f t="shared" si="59"/>
        <v>3</v>
      </c>
    </row>
    <row r="618" spans="1:18" x14ac:dyDescent="0.25">
      <c r="A618">
        <f>Raw_data!A618</f>
        <v>617</v>
      </c>
      <c r="B618" t="str">
        <f>Raw_data!B618</f>
        <v>C3000</v>
      </c>
      <c r="C618" t="str">
        <f>Raw_data!C618</f>
        <v>R2277</v>
      </c>
      <c r="D618" s="3">
        <f>Raw_data!D618</f>
        <v>45298.912245370368</v>
      </c>
      <c r="E618" s="3">
        <f>Raw_data!E618</f>
        <v>45298.974050925928</v>
      </c>
      <c r="F618" s="4">
        <f t="shared" si="54"/>
        <v>6.1805555560567882E-2</v>
      </c>
      <c r="G618" s="6">
        <f>Raw_data!F618</f>
        <v>157</v>
      </c>
      <c r="H618" s="6">
        <f>Raw_data!G618</f>
        <v>50</v>
      </c>
      <c r="I618" t="str">
        <f>Raw_data!H618</f>
        <v>Cash on Delivery</v>
      </c>
      <c r="J618" s="7" t="str">
        <f>IF(Raw_data!I618=0.1,"10%",Raw_data!I618)</f>
        <v>15% New User</v>
      </c>
      <c r="K618" s="6">
        <f>Raw_data!J618</f>
        <v>129</v>
      </c>
      <c r="L618" s="6">
        <f>Raw_data!K618</f>
        <v>19</v>
      </c>
      <c r="M618" s="6">
        <f>Raw_data!L618</f>
        <v>0</v>
      </c>
      <c r="N618" s="6">
        <f t="shared" si="55"/>
        <v>9</v>
      </c>
      <c r="O618" s="6">
        <f t="shared" si="56"/>
        <v>148</v>
      </c>
      <c r="P618" s="6">
        <f t="shared" si="57"/>
        <v>207</v>
      </c>
      <c r="Q618">
        <f t="shared" si="58"/>
        <v>1</v>
      </c>
      <c r="R618">
        <f t="shared" si="59"/>
        <v>2</v>
      </c>
    </row>
    <row r="619" spans="1:18" x14ac:dyDescent="0.25">
      <c r="A619">
        <f>Raw_data!A619</f>
        <v>618</v>
      </c>
      <c r="B619" t="str">
        <f>Raw_data!B619</f>
        <v>C6989</v>
      </c>
      <c r="C619" t="str">
        <f>Raw_data!C619</f>
        <v>R2195</v>
      </c>
      <c r="D619" s="3">
        <f>Raw_data!D619</f>
        <v>45301.456620370373</v>
      </c>
      <c r="E619" s="3">
        <f>Raw_data!E619</f>
        <v>45301.516342592593</v>
      </c>
      <c r="F619" s="4">
        <f t="shared" si="54"/>
        <v>5.9722222220443655E-2</v>
      </c>
      <c r="G619" s="6">
        <f>Raw_data!F619</f>
        <v>1392</v>
      </c>
      <c r="H619" s="6">
        <f>Raw_data!G619</f>
        <v>30</v>
      </c>
      <c r="I619" t="str">
        <f>Raw_data!H619</f>
        <v>Cash on Delivery</v>
      </c>
      <c r="J619" s="7" t="str">
        <f>IF(Raw_data!I619=0.1,"10%",Raw_data!I619)</f>
        <v>None</v>
      </c>
      <c r="K619" s="6">
        <f>Raw_data!J619</f>
        <v>114</v>
      </c>
      <c r="L619" s="6">
        <f>Raw_data!K619</f>
        <v>33</v>
      </c>
      <c r="M619" s="6">
        <f>Raw_data!L619</f>
        <v>0</v>
      </c>
      <c r="N619" s="6">
        <f t="shared" si="55"/>
        <v>1245</v>
      </c>
      <c r="O619" s="6">
        <f t="shared" si="56"/>
        <v>147</v>
      </c>
      <c r="P619" s="6">
        <f t="shared" si="57"/>
        <v>1422</v>
      </c>
      <c r="Q619">
        <f t="shared" si="58"/>
        <v>1</v>
      </c>
      <c r="R619">
        <f t="shared" si="59"/>
        <v>1</v>
      </c>
    </row>
    <row r="620" spans="1:18" x14ac:dyDescent="0.25">
      <c r="A620">
        <f>Raw_data!A620</f>
        <v>619</v>
      </c>
      <c r="B620" t="str">
        <f>Raw_data!B620</f>
        <v>C2460</v>
      </c>
      <c r="C620" t="str">
        <f>Raw_data!C620</f>
        <v>R2915</v>
      </c>
      <c r="D620" s="3">
        <f>Raw_data!D620</f>
        <v>45314.985613425924</v>
      </c>
      <c r="E620" s="3">
        <f>Raw_data!E620</f>
        <v>45315.03769675926</v>
      </c>
      <c r="F620" s="4">
        <f t="shared" si="54"/>
        <v>5.2083333335758653E-2</v>
      </c>
      <c r="G620" s="6">
        <f>Raw_data!F620</f>
        <v>407</v>
      </c>
      <c r="H620" s="6">
        <f>Raw_data!G620</f>
        <v>40</v>
      </c>
      <c r="I620" t="str">
        <f>Raw_data!H620</f>
        <v>Digital Wallet</v>
      </c>
      <c r="J620" s="7" t="str">
        <f>IF(Raw_data!I620=0.1,"10%",Raw_data!I620)</f>
        <v>10%</v>
      </c>
      <c r="K620" s="6">
        <f>Raw_data!J620</f>
        <v>124</v>
      </c>
      <c r="L620" s="6">
        <f>Raw_data!K620</f>
        <v>19</v>
      </c>
      <c r="M620" s="6">
        <f>Raw_data!L620</f>
        <v>100</v>
      </c>
      <c r="N620" s="6">
        <f t="shared" si="55"/>
        <v>264</v>
      </c>
      <c r="O620" s="6">
        <f t="shared" si="56"/>
        <v>43</v>
      </c>
      <c r="P620" s="6">
        <f t="shared" si="57"/>
        <v>447</v>
      </c>
      <c r="Q620">
        <f t="shared" si="58"/>
        <v>2</v>
      </c>
      <c r="R620">
        <f t="shared" si="59"/>
        <v>3</v>
      </c>
    </row>
    <row r="621" spans="1:18" x14ac:dyDescent="0.25">
      <c r="A621">
        <f>Raw_data!A621</f>
        <v>620</v>
      </c>
      <c r="B621" t="str">
        <f>Raw_data!B621</f>
        <v>C8190</v>
      </c>
      <c r="C621" t="str">
        <f>Raw_data!C621</f>
        <v>R2863</v>
      </c>
      <c r="D621" s="3">
        <f>Raw_data!D621</f>
        <v>45300.32640046296</v>
      </c>
      <c r="E621" s="3">
        <f>Raw_data!E621</f>
        <v>45300.361817129633</v>
      </c>
      <c r="F621" s="4">
        <f t="shared" si="54"/>
        <v>3.5416666672972497E-2</v>
      </c>
      <c r="G621" s="6">
        <f>Raw_data!F621</f>
        <v>1693</v>
      </c>
      <c r="H621" s="6">
        <f>Raw_data!G621</f>
        <v>20</v>
      </c>
      <c r="I621" t="str">
        <f>Raw_data!H621</f>
        <v>Cash on Delivery</v>
      </c>
      <c r="J621" s="7" t="str">
        <f>IF(Raw_data!I621=0.1,"10%",Raw_data!I621)</f>
        <v>5% on App</v>
      </c>
      <c r="K621" s="6">
        <f>Raw_data!J621</f>
        <v>92</v>
      </c>
      <c r="L621" s="6">
        <f>Raw_data!K621</f>
        <v>50</v>
      </c>
      <c r="M621" s="6">
        <f>Raw_data!L621</f>
        <v>0</v>
      </c>
      <c r="N621" s="6">
        <f t="shared" si="55"/>
        <v>1551</v>
      </c>
      <c r="O621" s="6">
        <f t="shared" si="56"/>
        <v>142</v>
      </c>
      <c r="P621" s="6">
        <f t="shared" si="57"/>
        <v>1713</v>
      </c>
      <c r="Q621">
        <f t="shared" si="58"/>
        <v>1</v>
      </c>
      <c r="R621">
        <f t="shared" si="59"/>
        <v>1</v>
      </c>
    </row>
    <row r="622" spans="1:18" x14ac:dyDescent="0.25">
      <c r="A622">
        <f>Raw_data!A622</f>
        <v>621</v>
      </c>
      <c r="B622" t="str">
        <f>Raw_data!B622</f>
        <v>C8140</v>
      </c>
      <c r="C622" t="str">
        <f>Raw_data!C622</f>
        <v>R2483</v>
      </c>
      <c r="D622" s="3">
        <f>Raw_data!D622</f>
        <v>45316.016435185185</v>
      </c>
      <c r="E622" s="3">
        <f>Raw_data!E622</f>
        <v>45316.096990740742</v>
      </c>
      <c r="F622" s="4">
        <f t="shared" si="54"/>
        <v>8.0555555556202307E-2</v>
      </c>
      <c r="G622" s="6">
        <f>Raw_data!F622</f>
        <v>1411</v>
      </c>
      <c r="H622" s="6">
        <f>Raw_data!G622</f>
        <v>30</v>
      </c>
      <c r="I622" t="str">
        <f>Raw_data!H622</f>
        <v>Digital Wallet</v>
      </c>
      <c r="J622" s="7" t="str">
        <f>IF(Raw_data!I622=0.1,"10%",Raw_data!I622)</f>
        <v>50 off Promo</v>
      </c>
      <c r="K622" s="6">
        <f>Raw_data!J622</f>
        <v>78</v>
      </c>
      <c r="L622" s="6">
        <f>Raw_data!K622</f>
        <v>40</v>
      </c>
      <c r="M622" s="6">
        <f>Raw_data!L622</f>
        <v>0</v>
      </c>
      <c r="N622" s="6">
        <f t="shared" si="55"/>
        <v>1293</v>
      </c>
      <c r="O622" s="6">
        <f t="shared" si="56"/>
        <v>118</v>
      </c>
      <c r="P622" s="6">
        <f t="shared" si="57"/>
        <v>1441</v>
      </c>
      <c r="Q622">
        <f t="shared" si="58"/>
        <v>1</v>
      </c>
      <c r="R622">
        <f t="shared" si="59"/>
        <v>1</v>
      </c>
    </row>
    <row r="623" spans="1:18" x14ac:dyDescent="0.25">
      <c r="A623">
        <f>Raw_data!A623</f>
        <v>622</v>
      </c>
      <c r="B623" t="str">
        <f>Raw_data!B623</f>
        <v>C4636</v>
      </c>
      <c r="C623" t="str">
        <f>Raw_data!C623</f>
        <v>R2241</v>
      </c>
      <c r="D623" s="3">
        <f>Raw_data!D623</f>
        <v>45308.528703703705</v>
      </c>
      <c r="E623" s="3">
        <f>Raw_data!E623</f>
        <v>45308.576620370368</v>
      </c>
      <c r="F623" s="4">
        <f t="shared" si="54"/>
        <v>4.7916666662786156E-2</v>
      </c>
      <c r="G623" s="6">
        <f>Raw_data!F623</f>
        <v>1076</v>
      </c>
      <c r="H623" s="6">
        <f>Raw_data!G623</f>
        <v>40</v>
      </c>
      <c r="I623" t="str">
        <f>Raw_data!H623</f>
        <v>Cash on Delivery</v>
      </c>
      <c r="J623" s="7" t="str">
        <f>IF(Raw_data!I623=0.1,"10%",Raw_data!I623)</f>
        <v>10%</v>
      </c>
      <c r="K623" s="6">
        <f>Raw_data!J623</f>
        <v>130</v>
      </c>
      <c r="L623" s="6">
        <f>Raw_data!K623</f>
        <v>22</v>
      </c>
      <c r="M623" s="6">
        <f>Raw_data!L623</f>
        <v>0</v>
      </c>
      <c r="N623" s="6">
        <f t="shared" si="55"/>
        <v>924</v>
      </c>
      <c r="O623" s="6">
        <f t="shared" si="56"/>
        <v>152</v>
      </c>
      <c r="P623" s="6">
        <f t="shared" si="57"/>
        <v>1116</v>
      </c>
      <c r="Q623">
        <f t="shared" si="58"/>
        <v>2</v>
      </c>
      <c r="R623">
        <f t="shared" si="59"/>
        <v>2</v>
      </c>
    </row>
    <row r="624" spans="1:18" x14ac:dyDescent="0.25">
      <c r="A624">
        <f>Raw_data!A624</f>
        <v>623</v>
      </c>
      <c r="B624" t="str">
        <f>Raw_data!B624</f>
        <v>C5809</v>
      </c>
      <c r="C624" t="str">
        <f>Raw_data!C624</f>
        <v>R2323</v>
      </c>
      <c r="D624" s="3">
        <f>Raw_data!D624</f>
        <v>45304.753796296296</v>
      </c>
      <c r="E624" s="3">
        <f>Raw_data!E624</f>
        <v>45304.805185185185</v>
      </c>
      <c r="F624" s="4">
        <f t="shared" si="54"/>
        <v>5.1388888889050577E-2</v>
      </c>
      <c r="G624" s="6">
        <f>Raw_data!F624</f>
        <v>1228</v>
      </c>
      <c r="H624" s="6">
        <f>Raw_data!G624</f>
        <v>0</v>
      </c>
      <c r="I624" t="str">
        <f>Raw_data!H624</f>
        <v>Credit Card</v>
      </c>
      <c r="J624" s="7" t="str">
        <f>IF(Raw_data!I624=0.1,"10%",Raw_data!I624)</f>
        <v>5% on App</v>
      </c>
      <c r="K624" s="6">
        <f>Raw_data!J624</f>
        <v>103</v>
      </c>
      <c r="L624" s="6">
        <f>Raw_data!K624</f>
        <v>12</v>
      </c>
      <c r="M624" s="6">
        <f>Raw_data!L624</f>
        <v>0</v>
      </c>
      <c r="N624" s="6">
        <f t="shared" si="55"/>
        <v>1113</v>
      </c>
      <c r="O624" s="6">
        <f t="shared" si="56"/>
        <v>115</v>
      </c>
      <c r="P624" s="6">
        <f t="shared" si="57"/>
        <v>1228</v>
      </c>
      <c r="Q624">
        <f t="shared" si="58"/>
        <v>1</v>
      </c>
      <c r="R624">
        <f t="shared" si="59"/>
        <v>2</v>
      </c>
    </row>
    <row r="625" spans="1:18" x14ac:dyDescent="0.25">
      <c r="A625">
        <f>Raw_data!A625</f>
        <v>624</v>
      </c>
      <c r="B625" t="str">
        <f>Raw_data!B625</f>
        <v>C5178</v>
      </c>
      <c r="C625" t="str">
        <f>Raw_data!C625</f>
        <v>R2730</v>
      </c>
      <c r="D625" s="3">
        <f>Raw_data!D625</f>
        <v>45321.181469907409</v>
      </c>
      <c r="E625" s="3">
        <f>Raw_data!E625</f>
        <v>45321.239803240744</v>
      </c>
      <c r="F625" s="4">
        <f t="shared" si="54"/>
        <v>5.8333333334303461E-2</v>
      </c>
      <c r="G625" s="6">
        <f>Raw_data!F625</f>
        <v>1351</v>
      </c>
      <c r="H625" s="6">
        <f>Raw_data!G625</f>
        <v>40</v>
      </c>
      <c r="I625" t="str">
        <f>Raw_data!H625</f>
        <v>Credit Card</v>
      </c>
      <c r="J625" s="7" t="str">
        <f>IF(Raw_data!I625=0.1,"10%",Raw_data!I625)</f>
        <v>50 off Promo</v>
      </c>
      <c r="K625" s="6">
        <f>Raw_data!J625</f>
        <v>88</v>
      </c>
      <c r="L625" s="6">
        <f>Raw_data!K625</f>
        <v>43</v>
      </c>
      <c r="M625" s="6">
        <f>Raw_data!L625</f>
        <v>0</v>
      </c>
      <c r="N625" s="6">
        <f t="shared" si="55"/>
        <v>1220</v>
      </c>
      <c r="O625" s="6">
        <f t="shared" si="56"/>
        <v>131</v>
      </c>
      <c r="P625" s="6">
        <f t="shared" si="57"/>
        <v>1391</v>
      </c>
      <c r="Q625">
        <f t="shared" si="58"/>
        <v>1</v>
      </c>
      <c r="R625">
        <f t="shared" si="59"/>
        <v>2</v>
      </c>
    </row>
    <row r="626" spans="1:18" x14ac:dyDescent="0.25">
      <c r="A626">
        <f>Raw_data!A626</f>
        <v>625</v>
      </c>
      <c r="B626" t="str">
        <f>Raw_data!B626</f>
        <v>C8245</v>
      </c>
      <c r="C626" t="str">
        <f>Raw_data!C626</f>
        <v>R2191</v>
      </c>
      <c r="D626" s="3">
        <f>Raw_data!D626</f>
        <v>45316.309525462966</v>
      </c>
      <c r="E626" s="3">
        <f>Raw_data!E626</f>
        <v>45316.365081018521</v>
      </c>
      <c r="F626" s="4">
        <f t="shared" si="54"/>
        <v>5.5555555554747116E-2</v>
      </c>
      <c r="G626" s="6">
        <f>Raw_data!F626</f>
        <v>1370</v>
      </c>
      <c r="H626" s="6">
        <f>Raw_data!G626</f>
        <v>30</v>
      </c>
      <c r="I626" t="str">
        <f>Raw_data!H626</f>
        <v>Cash on Delivery</v>
      </c>
      <c r="J626" s="7" t="str">
        <f>IF(Raw_data!I626=0.1,"10%",Raw_data!I626)</f>
        <v>50 off Promo</v>
      </c>
      <c r="K626" s="6">
        <f>Raw_data!J626</f>
        <v>91</v>
      </c>
      <c r="L626" s="6">
        <f>Raw_data!K626</f>
        <v>37</v>
      </c>
      <c r="M626" s="6">
        <f>Raw_data!L626</f>
        <v>0</v>
      </c>
      <c r="N626" s="6">
        <f t="shared" si="55"/>
        <v>1242</v>
      </c>
      <c r="O626" s="6">
        <f t="shared" si="56"/>
        <v>128</v>
      </c>
      <c r="P626" s="6">
        <f t="shared" si="57"/>
        <v>1400</v>
      </c>
      <c r="Q626">
        <f t="shared" si="58"/>
        <v>1</v>
      </c>
      <c r="R626">
        <f t="shared" si="59"/>
        <v>1</v>
      </c>
    </row>
    <row r="627" spans="1:18" x14ac:dyDescent="0.25">
      <c r="A627">
        <f>Raw_data!A627</f>
        <v>626</v>
      </c>
      <c r="B627" t="str">
        <f>Raw_data!B627</f>
        <v>C7600</v>
      </c>
      <c r="C627" t="str">
        <f>Raw_data!C627</f>
        <v>R2016</v>
      </c>
      <c r="D627" s="3">
        <f>Raw_data!D627</f>
        <v>45314.28638888889</v>
      </c>
      <c r="E627" s="3">
        <f>Raw_data!E627</f>
        <v>45314.366249999999</v>
      </c>
      <c r="F627" s="4">
        <f t="shared" si="54"/>
        <v>7.9861111109494232E-2</v>
      </c>
      <c r="G627" s="6">
        <f>Raw_data!F627</f>
        <v>799</v>
      </c>
      <c r="H627" s="6">
        <f>Raw_data!G627</f>
        <v>30</v>
      </c>
      <c r="I627" t="str">
        <f>Raw_data!H627</f>
        <v>Cash on Delivery</v>
      </c>
      <c r="J627" s="7" t="str">
        <f>IF(Raw_data!I627=0.1,"10%",Raw_data!I627)</f>
        <v>None</v>
      </c>
      <c r="K627" s="6">
        <f>Raw_data!J627</f>
        <v>78</v>
      </c>
      <c r="L627" s="6">
        <f>Raw_data!K627</f>
        <v>28</v>
      </c>
      <c r="M627" s="6">
        <f>Raw_data!L627</f>
        <v>100</v>
      </c>
      <c r="N627" s="6">
        <f t="shared" si="55"/>
        <v>693</v>
      </c>
      <c r="O627" s="6">
        <f t="shared" si="56"/>
        <v>6</v>
      </c>
      <c r="P627" s="6">
        <f t="shared" si="57"/>
        <v>829</v>
      </c>
      <c r="Q627">
        <f t="shared" si="58"/>
        <v>1</v>
      </c>
      <c r="R627">
        <f t="shared" si="59"/>
        <v>5</v>
      </c>
    </row>
    <row r="628" spans="1:18" x14ac:dyDescent="0.25">
      <c r="A628">
        <f>Raw_data!A628</f>
        <v>627</v>
      </c>
      <c r="B628" t="str">
        <f>Raw_data!B628</f>
        <v>C6997</v>
      </c>
      <c r="C628" t="str">
        <f>Raw_data!C628</f>
        <v>R2523</v>
      </c>
      <c r="D628" s="3">
        <f>Raw_data!D628</f>
        <v>45323.551111111112</v>
      </c>
      <c r="E628" s="3">
        <f>Raw_data!E628</f>
        <v>45323.57472222222</v>
      </c>
      <c r="F628" s="4">
        <f t="shared" si="54"/>
        <v>2.361111110803904E-2</v>
      </c>
      <c r="G628" s="6">
        <f>Raw_data!F628</f>
        <v>1617</v>
      </c>
      <c r="H628" s="6">
        <f>Raw_data!G628</f>
        <v>0</v>
      </c>
      <c r="I628" t="str">
        <f>Raw_data!H628</f>
        <v>Digital Wallet</v>
      </c>
      <c r="J628" s="7" t="str">
        <f>IF(Raw_data!I628=0.1,"10%",Raw_data!I628)</f>
        <v>10%</v>
      </c>
      <c r="K628" s="6">
        <f>Raw_data!J628</f>
        <v>180</v>
      </c>
      <c r="L628" s="6">
        <f>Raw_data!K628</f>
        <v>32</v>
      </c>
      <c r="M628" s="6">
        <f>Raw_data!L628</f>
        <v>0</v>
      </c>
      <c r="N628" s="6">
        <f t="shared" si="55"/>
        <v>1405</v>
      </c>
      <c r="O628" s="6">
        <f t="shared" si="56"/>
        <v>212</v>
      </c>
      <c r="P628" s="6">
        <f t="shared" si="57"/>
        <v>1617</v>
      </c>
      <c r="Q628">
        <f t="shared" si="58"/>
        <v>1</v>
      </c>
      <c r="R628">
        <f t="shared" si="59"/>
        <v>5</v>
      </c>
    </row>
    <row r="629" spans="1:18" x14ac:dyDescent="0.25">
      <c r="A629">
        <f>Raw_data!A629</f>
        <v>628</v>
      </c>
      <c r="B629" t="str">
        <f>Raw_data!B629</f>
        <v>C3048</v>
      </c>
      <c r="C629" t="str">
        <f>Raw_data!C629</f>
        <v>R2917</v>
      </c>
      <c r="D629" s="3">
        <f>Raw_data!D629</f>
        <v>45306.401493055557</v>
      </c>
      <c r="E629" s="3">
        <f>Raw_data!E629</f>
        <v>45306.430659722224</v>
      </c>
      <c r="F629" s="4">
        <f t="shared" si="54"/>
        <v>2.9166666667151731E-2</v>
      </c>
      <c r="G629" s="6">
        <f>Raw_data!F629</f>
        <v>182</v>
      </c>
      <c r="H629" s="6">
        <f>Raw_data!G629</f>
        <v>40</v>
      </c>
      <c r="I629" t="str">
        <f>Raw_data!H629</f>
        <v>Credit Card</v>
      </c>
      <c r="J629" s="7" t="str">
        <f>IF(Raw_data!I629=0.1,"10%",Raw_data!I629)</f>
        <v>50 off Promo</v>
      </c>
      <c r="K629" s="6">
        <f>Raw_data!J629</f>
        <v>187</v>
      </c>
      <c r="L629" s="6">
        <f>Raw_data!K629</f>
        <v>41</v>
      </c>
      <c r="M629" s="6">
        <f>Raw_data!L629</f>
        <v>100</v>
      </c>
      <c r="N629" s="6">
        <f t="shared" si="55"/>
        <v>-46</v>
      </c>
      <c r="O629" s="6">
        <f t="shared" si="56"/>
        <v>128</v>
      </c>
      <c r="P629" s="6">
        <f t="shared" si="57"/>
        <v>222</v>
      </c>
      <c r="Q629">
        <f t="shared" si="58"/>
        <v>2</v>
      </c>
      <c r="R629">
        <f t="shared" si="59"/>
        <v>2</v>
      </c>
    </row>
    <row r="630" spans="1:18" x14ac:dyDescent="0.25">
      <c r="A630">
        <f>Raw_data!A630</f>
        <v>629</v>
      </c>
      <c r="B630" t="str">
        <f>Raw_data!B630</f>
        <v>C5780</v>
      </c>
      <c r="C630" t="str">
        <f>Raw_data!C630</f>
        <v>R2400</v>
      </c>
      <c r="D630" s="3">
        <f>Raw_data!D630</f>
        <v>45297.126608796294</v>
      </c>
      <c r="E630" s="3">
        <f>Raw_data!E630</f>
        <v>45297.166192129633</v>
      </c>
      <c r="F630" s="4">
        <f t="shared" si="54"/>
        <v>3.9583333338669036E-2</v>
      </c>
      <c r="G630" s="6">
        <f>Raw_data!F630</f>
        <v>1309</v>
      </c>
      <c r="H630" s="6">
        <f>Raw_data!G630</f>
        <v>40</v>
      </c>
      <c r="I630" t="str">
        <f>Raw_data!H630</f>
        <v>Digital Wallet</v>
      </c>
      <c r="J630" s="7" t="str">
        <f>IF(Raw_data!I630=0.1,"10%",Raw_data!I630)</f>
        <v>50 off Promo</v>
      </c>
      <c r="K630" s="6">
        <f>Raw_data!J630</f>
        <v>191</v>
      </c>
      <c r="L630" s="6">
        <f>Raw_data!K630</f>
        <v>22</v>
      </c>
      <c r="M630" s="6">
        <f>Raw_data!L630</f>
        <v>0</v>
      </c>
      <c r="N630" s="6">
        <f t="shared" si="55"/>
        <v>1096</v>
      </c>
      <c r="O630" s="6">
        <f t="shared" si="56"/>
        <v>213</v>
      </c>
      <c r="P630" s="6">
        <f t="shared" si="57"/>
        <v>1349</v>
      </c>
      <c r="Q630">
        <f t="shared" si="58"/>
        <v>2</v>
      </c>
      <c r="R630">
        <f t="shared" si="59"/>
        <v>4</v>
      </c>
    </row>
    <row r="631" spans="1:18" x14ac:dyDescent="0.25">
      <c r="A631">
        <f>Raw_data!A631</f>
        <v>630</v>
      </c>
      <c r="B631" t="str">
        <f>Raw_data!B631</f>
        <v>C1716</v>
      </c>
      <c r="C631" t="str">
        <f>Raw_data!C631</f>
        <v>R2905</v>
      </c>
      <c r="D631" s="3">
        <f>Raw_data!D631</f>
        <v>45304.17832175926</v>
      </c>
      <c r="E631" s="3">
        <f>Raw_data!E631</f>
        <v>45304.256793981483</v>
      </c>
      <c r="F631" s="4">
        <f t="shared" si="54"/>
        <v>7.8472222223354038E-2</v>
      </c>
      <c r="G631" s="6">
        <f>Raw_data!F631</f>
        <v>351</v>
      </c>
      <c r="H631" s="6">
        <f>Raw_data!G631</f>
        <v>0</v>
      </c>
      <c r="I631" t="str">
        <f>Raw_data!H631</f>
        <v>Cash on Delivery</v>
      </c>
      <c r="J631" s="7" t="str">
        <f>IF(Raw_data!I631=0.1,"10%",Raw_data!I631)</f>
        <v>5% on App</v>
      </c>
      <c r="K631" s="6">
        <f>Raw_data!J631</f>
        <v>91</v>
      </c>
      <c r="L631" s="6">
        <f>Raw_data!K631</f>
        <v>42</v>
      </c>
      <c r="M631" s="6">
        <f>Raw_data!L631</f>
        <v>100</v>
      </c>
      <c r="N631" s="6">
        <f t="shared" si="55"/>
        <v>218</v>
      </c>
      <c r="O631" s="6">
        <f t="shared" si="56"/>
        <v>33</v>
      </c>
      <c r="P631" s="6">
        <f t="shared" si="57"/>
        <v>351</v>
      </c>
      <c r="Q631">
        <f t="shared" si="58"/>
        <v>1</v>
      </c>
      <c r="R631">
        <f t="shared" si="59"/>
        <v>2</v>
      </c>
    </row>
    <row r="632" spans="1:18" x14ac:dyDescent="0.25">
      <c r="A632">
        <f>Raw_data!A632</f>
        <v>631</v>
      </c>
      <c r="B632" t="str">
        <f>Raw_data!B632</f>
        <v>C8939</v>
      </c>
      <c r="C632" t="str">
        <f>Raw_data!C632</f>
        <v>R2885</v>
      </c>
      <c r="D632" s="3">
        <f>Raw_data!D632</f>
        <v>45329.997361111113</v>
      </c>
      <c r="E632" s="3">
        <f>Raw_data!E632</f>
        <v>45330.073055555556</v>
      </c>
      <c r="F632" s="4">
        <f t="shared" si="54"/>
        <v>7.5694444443797693E-2</v>
      </c>
      <c r="G632" s="6">
        <f>Raw_data!F632</f>
        <v>1478</v>
      </c>
      <c r="H632" s="6">
        <f>Raw_data!G632</f>
        <v>40</v>
      </c>
      <c r="I632" t="str">
        <f>Raw_data!H632</f>
        <v>Cash on Delivery</v>
      </c>
      <c r="J632" s="7" t="str">
        <f>IF(Raw_data!I632=0.1,"10%",Raw_data!I632)</f>
        <v>None</v>
      </c>
      <c r="K632" s="6">
        <f>Raw_data!J632</f>
        <v>143</v>
      </c>
      <c r="L632" s="6">
        <f>Raw_data!K632</f>
        <v>43</v>
      </c>
      <c r="M632" s="6">
        <f>Raw_data!L632</f>
        <v>100</v>
      </c>
      <c r="N632" s="6">
        <f t="shared" si="55"/>
        <v>1292</v>
      </c>
      <c r="O632" s="6">
        <f t="shared" si="56"/>
        <v>86</v>
      </c>
      <c r="P632" s="6">
        <f t="shared" si="57"/>
        <v>1518</v>
      </c>
      <c r="Q632">
        <f t="shared" si="58"/>
        <v>1</v>
      </c>
      <c r="R632">
        <f t="shared" si="59"/>
        <v>1</v>
      </c>
    </row>
    <row r="633" spans="1:18" x14ac:dyDescent="0.25">
      <c r="A633">
        <f>Raw_data!A633</f>
        <v>632</v>
      </c>
      <c r="B633" t="str">
        <f>Raw_data!B633</f>
        <v>C6565</v>
      </c>
      <c r="C633" t="str">
        <f>Raw_data!C633</f>
        <v>R2704</v>
      </c>
      <c r="D633" s="3">
        <f>Raw_data!D633</f>
        <v>45295.521111111113</v>
      </c>
      <c r="E633" s="3">
        <f>Raw_data!E633</f>
        <v>45295.584305555552</v>
      </c>
      <c r="F633" s="4">
        <f t="shared" si="54"/>
        <v>6.3194444439432118E-2</v>
      </c>
      <c r="G633" s="6">
        <f>Raw_data!F633</f>
        <v>1873</v>
      </c>
      <c r="H633" s="6">
        <f>Raw_data!G633</f>
        <v>0</v>
      </c>
      <c r="I633" t="str">
        <f>Raw_data!H633</f>
        <v>Digital Wallet</v>
      </c>
      <c r="J633" s="7" t="str">
        <f>IF(Raw_data!I633=0.1,"10%",Raw_data!I633)</f>
        <v>15% New User</v>
      </c>
      <c r="K633" s="6">
        <f>Raw_data!J633</f>
        <v>81</v>
      </c>
      <c r="L633" s="6">
        <f>Raw_data!K633</f>
        <v>42</v>
      </c>
      <c r="M633" s="6">
        <f>Raw_data!L633</f>
        <v>0</v>
      </c>
      <c r="N633" s="6">
        <f t="shared" si="55"/>
        <v>1750</v>
      </c>
      <c r="O633" s="6">
        <f t="shared" si="56"/>
        <v>123</v>
      </c>
      <c r="P633" s="6">
        <f t="shared" si="57"/>
        <v>1873</v>
      </c>
      <c r="Q633">
        <f t="shared" si="58"/>
        <v>1</v>
      </c>
      <c r="R633">
        <f t="shared" si="59"/>
        <v>3</v>
      </c>
    </row>
    <row r="634" spans="1:18" x14ac:dyDescent="0.25">
      <c r="A634">
        <f>Raw_data!A634</f>
        <v>633</v>
      </c>
      <c r="B634" t="str">
        <f>Raw_data!B634</f>
        <v>C5544</v>
      </c>
      <c r="C634" t="str">
        <f>Raw_data!C634</f>
        <v>R2021</v>
      </c>
      <c r="D634" s="3">
        <f>Raw_data!D634</f>
        <v>45294.548252314817</v>
      </c>
      <c r="E634" s="3">
        <f>Raw_data!E634</f>
        <v>45294.628807870373</v>
      </c>
      <c r="F634" s="4">
        <f t="shared" si="54"/>
        <v>8.0555555556202307E-2</v>
      </c>
      <c r="G634" s="6">
        <f>Raw_data!F634</f>
        <v>1995</v>
      </c>
      <c r="H634" s="6">
        <f>Raw_data!G634</f>
        <v>20</v>
      </c>
      <c r="I634" t="str">
        <f>Raw_data!H634</f>
        <v>Cash on Delivery</v>
      </c>
      <c r="J634" s="7" t="str">
        <f>IF(Raw_data!I634=0.1,"10%",Raw_data!I634)</f>
        <v>None</v>
      </c>
      <c r="K634" s="6">
        <f>Raw_data!J634</f>
        <v>75</v>
      </c>
      <c r="L634" s="6">
        <f>Raw_data!K634</f>
        <v>14</v>
      </c>
      <c r="M634" s="6">
        <f>Raw_data!L634</f>
        <v>0</v>
      </c>
      <c r="N634" s="6">
        <f t="shared" si="55"/>
        <v>1906</v>
      </c>
      <c r="O634" s="6">
        <f t="shared" si="56"/>
        <v>89</v>
      </c>
      <c r="P634" s="6">
        <f t="shared" si="57"/>
        <v>2015</v>
      </c>
      <c r="Q634">
        <f t="shared" si="58"/>
        <v>1</v>
      </c>
      <c r="R634">
        <f t="shared" si="59"/>
        <v>3</v>
      </c>
    </row>
    <row r="635" spans="1:18" x14ac:dyDescent="0.25">
      <c r="A635">
        <f>Raw_data!A635</f>
        <v>634</v>
      </c>
      <c r="B635" t="str">
        <f>Raw_data!B635</f>
        <v>C5976</v>
      </c>
      <c r="C635" t="str">
        <f>Raw_data!C635</f>
        <v>R2473</v>
      </c>
      <c r="D635" s="3">
        <f>Raw_data!D635</f>
        <v>45323.386493055557</v>
      </c>
      <c r="E635" s="3">
        <f>Raw_data!E635</f>
        <v>45323.423298611109</v>
      </c>
      <c r="F635" s="4">
        <f t="shared" si="54"/>
        <v>3.6805555551836733E-2</v>
      </c>
      <c r="G635" s="6">
        <f>Raw_data!F635</f>
        <v>1819</v>
      </c>
      <c r="H635" s="6">
        <f>Raw_data!G635</f>
        <v>30</v>
      </c>
      <c r="I635" t="str">
        <f>Raw_data!H635</f>
        <v>Credit Card</v>
      </c>
      <c r="J635" s="7" t="str">
        <f>IF(Raw_data!I635=0.1,"10%",Raw_data!I635)</f>
        <v>15% New User</v>
      </c>
      <c r="K635" s="6">
        <f>Raw_data!J635</f>
        <v>164</v>
      </c>
      <c r="L635" s="6">
        <f>Raw_data!K635</f>
        <v>12</v>
      </c>
      <c r="M635" s="6">
        <f>Raw_data!L635</f>
        <v>0</v>
      </c>
      <c r="N635" s="6">
        <f t="shared" si="55"/>
        <v>1643</v>
      </c>
      <c r="O635" s="6">
        <f t="shared" si="56"/>
        <v>176</v>
      </c>
      <c r="P635" s="6">
        <f t="shared" si="57"/>
        <v>1849</v>
      </c>
      <c r="Q635">
        <f t="shared" si="58"/>
        <v>1</v>
      </c>
      <c r="R635">
        <f t="shared" si="59"/>
        <v>1</v>
      </c>
    </row>
    <row r="636" spans="1:18" x14ac:dyDescent="0.25">
      <c r="A636">
        <f>Raw_data!A636</f>
        <v>635</v>
      </c>
      <c r="B636" t="str">
        <f>Raw_data!B636</f>
        <v>C4419</v>
      </c>
      <c r="C636" t="str">
        <f>Raw_data!C636</f>
        <v>R2119</v>
      </c>
      <c r="D636" s="3">
        <f>Raw_data!D636</f>
        <v>45308.9221412037</v>
      </c>
      <c r="E636" s="3">
        <f>Raw_data!E636</f>
        <v>45308.947141203702</v>
      </c>
      <c r="F636" s="4">
        <f t="shared" si="54"/>
        <v>2.5000000001455192E-2</v>
      </c>
      <c r="G636" s="6">
        <f>Raw_data!F636</f>
        <v>895</v>
      </c>
      <c r="H636" s="6">
        <f>Raw_data!G636</f>
        <v>20</v>
      </c>
      <c r="I636" t="str">
        <f>Raw_data!H636</f>
        <v>Digital Wallet</v>
      </c>
      <c r="J636" s="7" t="str">
        <f>IF(Raw_data!I636=0.1,"10%",Raw_data!I636)</f>
        <v>10%</v>
      </c>
      <c r="K636" s="6">
        <f>Raw_data!J636</f>
        <v>178</v>
      </c>
      <c r="L636" s="6">
        <f>Raw_data!K636</f>
        <v>16</v>
      </c>
      <c r="M636" s="6">
        <f>Raw_data!L636</f>
        <v>0</v>
      </c>
      <c r="N636" s="6">
        <f t="shared" si="55"/>
        <v>701</v>
      </c>
      <c r="O636" s="6">
        <f t="shared" si="56"/>
        <v>194</v>
      </c>
      <c r="P636" s="6">
        <f t="shared" si="57"/>
        <v>915</v>
      </c>
      <c r="Q636">
        <f t="shared" si="58"/>
        <v>1</v>
      </c>
      <c r="R636">
        <f t="shared" si="59"/>
        <v>3</v>
      </c>
    </row>
    <row r="637" spans="1:18" x14ac:dyDescent="0.25">
      <c r="A637">
        <f>Raw_data!A637</f>
        <v>636</v>
      </c>
      <c r="B637" t="str">
        <f>Raw_data!B637</f>
        <v>C8239</v>
      </c>
      <c r="C637" t="str">
        <f>Raw_data!C637</f>
        <v>R2209</v>
      </c>
      <c r="D637" s="3">
        <f>Raw_data!D637</f>
        <v>45298.399988425925</v>
      </c>
      <c r="E637" s="3">
        <f>Raw_data!E637</f>
        <v>45298.446516203701</v>
      </c>
      <c r="F637" s="4">
        <f t="shared" si="54"/>
        <v>4.6527777776645962E-2</v>
      </c>
      <c r="G637" s="6">
        <f>Raw_data!F637</f>
        <v>996</v>
      </c>
      <c r="H637" s="6">
        <f>Raw_data!G637</f>
        <v>50</v>
      </c>
      <c r="I637" t="str">
        <f>Raw_data!H637</f>
        <v>Credit Card</v>
      </c>
      <c r="J637" s="7" t="str">
        <f>IF(Raw_data!I637=0.1,"10%",Raw_data!I637)</f>
        <v>10%</v>
      </c>
      <c r="K637" s="6">
        <f>Raw_data!J637</f>
        <v>105</v>
      </c>
      <c r="L637" s="6">
        <f>Raw_data!K637</f>
        <v>33</v>
      </c>
      <c r="M637" s="6">
        <f>Raw_data!L637</f>
        <v>0</v>
      </c>
      <c r="N637" s="6">
        <f t="shared" si="55"/>
        <v>858</v>
      </c>
      <c r="O637" s="6">
        <f t="shared" si="56"/>
        <v>138</v>
      </c>
      <c r="P637" s="6">
        <f t="shared" si="57"/>
        <v>1046</v>
      </c>
      <c r="Q637">
        <f t="shared" si="58"/>
        <v>1</v>
      </c>
      <c r="R637">
        <f t="shared" si="59"/>
        <v>1</v>
      </c>
    </row>
    <row r="638" spans="1:18" x14ac:dyDescent="0.25">
      <c r="A638">
        <f>Raw_data!A638</f>
        <v>637</v>
      </c>
      <c r="B638" t="str">
        <f>Raw_data!B638</f>
        <v>C1249</v>
      </c>
      <c r="C638" t="str">
        <f>Raw_data!C638</f>
        <v>R2305</v>
      </c>
      <c r="D638" s="3">
        <f>Raw_data!D638</f>
        <v>45311.625868055555</v>
      </c>
      <c r="E638" s="3">
        <f>Raw_data!E638</f>
        <v>45311.671701388892</v>
      </c>
      <c r="F638" s="4">
        <f t="shared" si="54"/>
        <v>4.5833333337213844E-2</v>
      </c>
      <c r="G638" s="6">
        <f>Raw_data!F638</f>
        <v>309</v>
      </c>
      <c r="H638" s="6">
        <f>Raw_data!G638</f>
        <v>50</v>
      </c>
      <c r="I638" t="str">
        <f>Raw_data!H638</f>
        <v>Credit Card</v>
      </c>
      <c r="J638" s="7" t="str">
        <f>IF(Raw_data!I638=0.1,"10%",Raw_data!I638)</f>
        <v>50 off Promo</v>
      </c>
      <c r="K638" s="6">
        <f>Raw_data!J638</f>
        <v>171</v>
      </c>
      <c r="L638" s="6">
        <f>Raw_data!K638</f>
        <v>31</v>
      </c>
      <c r="M638" s="6">
        <f>Raw_data!L638</f>
        <v>100</v>
      </c>
      <c r="N638" s="6">
        <f t="shared" si="55"/>
        <v>107</v>
      </c>
      <c r="O638" s="6">
        <f t="shared" si="56"/>
        <v>102</v>
      </c>
      <c r="P638" s="6">
        <f t="shared" si="57"/>
        <v>359</v>
      </c>
      <c r="Q638">
        <f t="shared" si="58"/>
        <v>1</v>
      </c>
      <c r="R638">
        <f t="shared" si="59"/>
        <v>1</v>
      </c>
    </row>
    <row r="639" spans="1:18" x14ac:dyDescent="0.25">
      <c r="A639">
        <f>Raw_data!A639</f>
        <v>638</v>
      </c>
      <c r="B639" t="str">
        <f>Raw_data!B639</f>
        <v>C9865</v>
      </c>
      <c r="C639" t="str">
        <f>Raw_data!C639</f>
        <v>R2269</v>
      </c>
      <c r="D639" s="3">
        <f>Raw_data!D639</f>
        <v>45318.84171296296</v>
      </c>
      <c r="E639" s="3">
        <f>Raw_data!E639</f>
        <v>45318.909074074072</v>
      </c>
      <c r="F639" s="4">
        <f t="shared" si="54"/>
        <v>6.7361111112404615E-2</v>
      </c>
      <c r="G639" s="6">
        <f>Raw_data!F639</f>
        <v>915</v>
      </c>
      <c r="H639" s="6">
        <f>Raw_data!G639</f>
        <v>50</v>
      </c>
      <c r="I639" t="str">
        <f>Raw_data!H639</f>
        <v>Credit Card</v>
      </c>
      <c r="J639" s="7" t="str">
        <f>IF(Raw_data!I639=0.1,"10%",Raw_data!I639)</f>
        <v>10%</v>
      </c>
      <c r="K639" s="6">
        <f>Raw_data!J639</f>
        <v>155</v>
      </c>
      <c r="L639" s="6">
        <f>Raw_data!K639</f>
        <v>32</v>
      </c>
      <c r="M639" s="6">
        <f>Raw_data!L639</f>
        <v>0</v>
      </c>
      <c r="N639" s="6">
        <f t="shared" si="55"/>
        <v>728</v>
      </c>
      <c r="O639" s="6">
        <f t="shared" si="56"/>
        <v>187</v>
      </c>
      <c r="P639" s="6">
        <f t="shared" si="57"/>
        <v>965</v>
      </c>
      <c r="Q639">
        <f t="shared" si="58"/>
        <v>1</v>
      </c>
      <c r="R639">
        <f t="shared" si="59"/>
        <v>1</v>
      </c>
    </row>
    <row r="640" spans="1:18" x14ac:dyDescent="0.25">
      <c r="A640">
        <f>Raw_data!A640</f>
        <v>639</v>
      </c>
      <c r="B640" t="str">
        <f>Raw_data!B640</f>
        <v>C1770</v>
      </c>
      <c r="C640" t="str">
        <f>Raw_data!C640</f>
        <v>R2703</v>
      </c>
      <c r="D640" s="3">
        <f>Raw_data!D640</f>
        <v>45315.996412037035</v>
      </c>
      <c r="E640" s="3">
        <f>Raw_data!E640</f>
        <v>45316.045717592591</v>
      </c>
      <c r="F640" s="4">
        <f t="shared" si="54"/>
        <v>4.9305555556202307E-2</v>
      </c>
      <c r="G640" s="6">
        <f>Raw_data!F640</f>
        <v>1931</v>
      </c>
      <c r="H640" s="6">
        <f>Raw_data!G640</f>
        <v>0</v>
      </c>
      <c r="I640" t="str">
        <f>Raw_data!H640</f>
        <v>Digital Wallet</v>
      </c>
      <c r="J640" s="7" t="str">
        <f>IF(Raw_data!I640=0.1,"10%",Raw_data!I640)</f>
        <v>50 off Promo</v>
      </c>
      <c r="K640" s="6">
        <f>Raw_data!J640</f>
        <v>179</v>
      </c>
      <c r="L640" s="6">
        <f>Raw_data!K640</f>
        <v>39</v>
      </c>
      <c r="M640" s="6">
        <f>Raw_data!L640</f>
        <v>50</v>
      </c>
      <c r="N640" s="6">
        <f t="shared" si="55"/>
        <v>1713</v>
      </c>
      <c r="O640" s="6">
        <f t="shared" si="56"/>
        <v>168</v>
      </c>
      <c r="P640" s="6">
        <f t="shared" si="57"/>
        <v>1931</v>
      </c>
      <c r="Q640">
        <f t="shared" si="58"/>
        <v>1</v>
      </c>
      <c r="R640">
        <f t="shared" si="59"/>
        <v>1</v>
      </c>
    </row>
    <row r="641" spans="1:18" x14ac:dyDescent="0.25">
      <c r="A641">
        <f>Raw_data!A641</f>
        <v>640</v>
      </c>
      <c r="B641" t="str">
        <f>Raw_data!B641</f>
        <v>C5363</v>
      </c>
      <c r="C641" t="str">
        <f>Raw_data!C641</f>
        <v>R2686</v>
      </c>
      <c r="D641" s="3">
        <f>Raw_data!D641</f>
        <v>45308.648773148147</v>
      </c>
      <c r="E641" s="3">
        <f>Raw_data!E641</f>
        <v>45308.728634259256</v>
      </c>
      <c r="F641" s="4">
        <f t="shared" si="54"/>
        <v>7.9861111109494232E-2</v>
      </c>
      <c r="G641" s="6">
        <f>Raw_data!F641</f>
        <v>708</v>
      </c>
      <c r="H641" s="6">
        <f>Raw_data!G641</f>
        <v>40</v>
      </c>
      <c r="I641" t="str">
        <f>Raw_data!H641</f>
        <v>Cash on Delivery</v>
      </c>
      <c r="J641" s="7" t="str">
        <f>IF(Raw_data!I641=0.1,"10%",Raw_data!I641)</f>
        <v>None</v>
      </c>
      <c r="K641" s="6">
        <f>Raw_data!J641</f>
        <v>130</v>
      </c>
      <c r="L641" s="6">
        <f>Raw_data!K641</f>
        <v>27</v>
      </c>
      <c r="M641" s="6">
        <f>Raw_data!L641</f>
        <v>100</v>
      </c>
      <c r="N641" s="6">
        <f t="shared" si="55"/>
        <v>551</v>
      </c>
      <c r="O641" s="6">
        <f t="shared" si="56"/>
        <v>57</v>
      </c>
      <c r="P641" s="6">
        <f t="shared" si="57"/>
        <v>748</v>
      </c>
      <c r="Q641">
        <f t="shared" si="58"/>
        <v>1</v>
      </c>
      <c r="R641">
        <f t="shared" si="59"/>
        <v>2</v>
      </c>
    </row>
    <row r="642" spans="1:18" x14ac:dyDescent="0.25">
      <c r="A642">
        <f>Raw_data!A642</f>
        <v>641</v>
      </c>
      <c r="B642" t="str">
        <f>Raw_data!B642</f>
        <v>C2077</v>
      </c>
      <c r="C642" t="str">
        <f>Raw_data!C642</f>
        <v>R2284</v>
      </c>
      <c r="D642" s="3">
        <f>Raw_data!D642</f>
        <v>45300.661122685182</v>
      </c>
      <c r="E642" s="3">
        <f>Raw_data!E642</f>
        <v>45300.684733796297</v>
      </c>
      <c r="F642" s="4">
        <f t="shared" si="54"/>
        <v>2.3611111115314998E-2</v>
      </c>
      <c r="G642" s="6">
        <f>Raw_data!F642</f>
        <v>546</v>
      </c>
      <c r="H642" s="6">
        <f>Raw_data!G642</f>
        <v>20</v>
      </c>
      <c r="I642" t="str">
        <f>Raw_data!H642</f>
        <v>Credit Card</v>
      </c>
      <c r="J642" s="7" t="str">
        <f>IF(Raw_data!I642=0.1,"10%",Raw_data!I642)</f>
        <v>10%</v>
      </c>
      <c r="K642" s="6">
        <f>Raw_data!J642</f>
        <v>169</v>
      </c>
      <c r="L642" s="6">
        <f>Raw_data!K642</f>
        <v>41</v>
      </c>
      <c r="M642" s="6">
        <f>Raw_data!L642</f>
        <v>150</v>
      </c>
      <c r="N642" s="6">
        <f t="shared" si="55"/>
        <v>336</v>
      </c>
      <c r="O642" s="6">
        <f t="shared" si="56"/>
        <v>60</v>
      </c>
      <c r="P642" s="6">
        <f t="shared" si="57"/>
        <v>566</v>
      </c>
      <c r="Q642">
        <f t="shared" si="58"/>
        <v>1</v>
      </c>
      <c r="R642">
        <f t="shared" si="59"/>
        <v>3</v>
      </c>
    </row>
    <row r="643" spans="1:18" x14ac:dyDescent="0.25">
      <c r="A643">
        <f>Raw_data!A643</f>
        <v>642</v>
      </c>
      <c r="B643" t="str">
        <f>Raw_data!B643</f>
        <v>C9427</v>
      </c>
      <c r="C643" t="str">
        <f>Raw_data!C643</f>
        <v>R2715</v>
      </c>
      <c r="D643" s="3">
        <f>Raw_data!D643</f>
        <v>45322.160081018519</v>
      </c>
      <c r="E643" s="3">
        <f>Raw_data!E643</f>
        <v>45322.224664351852</v>
      </c>
      <c r="F643" s="4">
        <f t="shared" ref="F643:F706" si="60">E643-D643</f>
        <v>6.4583333332848269E-2</v>
      </c>
      <c r="G643" s="6">
        <f>Raw_data!F643</f>
        <v>559</v>
      </c>
      <c r="H643" s="6">
        <f>Raw_data!G643</f>
        <v>20</v>
      </c>
      <c r="I643" t="str">
        <f>Raw_data!H643</f>
        <v>Credit Card</v>
      </c>
      <c r="J643" s="7" t="str">
        <f>IF(Raw_data!I643=0.1,"10%",Raw_data!I643)</f>
        <v>None</v>
      </c>
      <c r="K643" s="6">
        <f>Raw_data!J643</f>
        <v>101</v>
      </c>
      <c r="L643" s="6">
        <f>Raw_data!K643</f>
        <v>16</v>
      </c>
      <c r="M643" s="6">
        <f>Raw_data!L643</f>
        <v>150</v>
      </c>
      <c r="N643" s="6">
        <f t="shared" ref="N643:N706" si="61">G643-K643-L643</f>
        <v>442</v>
      </c>
      <c r="O643" s="6">
        <f t="shared" ref="O643:O706" si="62">K643+L643-M643</f>
        <v>-33</v>
      </c>
      <c r="P643" s="6">
        <f t="shared" ref="P643:P706" si="63">G643+H643</f>
        <v>579</v>
      </c>
      <c r="Q643">
        <f t="shared" ref="Q643:Q706" si="64">COUNTIF(B$2:B$1001,B643)</f>
        <v>1</v>
      </c>
      <c r="R643">
        <f t="shared" ref="R643:R706" si="65">COUNTIF(C$2:C$1001,C643)</f>
        <v>2</v>
      </c>
    </row>
    <row r="644" spans="1:18" x14ac:dyDescent="0.25">
      <c r="A644">
        <f>Raw_data!A644</f>
        <v>643</v>
      </c>
      <c r="B644" t="str">
        <f>Raw_data!B644</f>
        <v>C9580</v>
      </c>
      <c r="C644" t="str">
        <f>Raw_data!C644</f>
        <v>R2675</v>
      </c>
      <c r="D644" s="3">
        <f>Raw_data!D644</f>
        <v>45321.154745370368</v>
      </c>
      <c r="E644" s="3">
        <f>Raw_data!E644</f>
        <v>45321.209606481483</v>
      </c>
      <c r="F644" s="4">
        <f t="shared" si="60"/>
        <v>5.4861111115314998E-2</v>
      </c>
      <c r="G644" s="6">
        <f>Raw_data!F644</f>
        <v>1067</v>
      </c>
      <c r="H644" s="6">
        <f>Raw_data!G644</f>
        <v>20</v>
      </c>
      <c r="I644" t="str">
        <f>Raw_data!H644</f>
        <v>Credit Card</v>
      </c>
      <c r="J644" s="7" t="str">
        <f>IF(Raw_data!I644=0.1,"10%",Raw_data!I644)</f>
        <v>None</v>
      </c>
      <c r="K644" s="6">
        <f>Raw_data!J644</f>
        <v>140</v>
      </c>
      <c r="L644" s="6">
        <f>Raw_data!K644</f>
        <v>42</v>
      </c>
      <c r="M644" s="6">
        <f>Raw_data!L644</f>
        <v>0</v>
      </c>
      <c r="N644" s="6">
        <f t="shared" si="61"/>
        <v>885</v>
      </c>
      <c r="O644" s="6">
        <f t="shared" si="62"/>
        <v>182</v>
      </c>
      <c r="P644" s="6">
        <f t="shared" si="63"/>
        <v>1087</v>
      </c>
      <c r="Q644">
        <f t="shared" si="64"/>
        <v>1</v>
      </c>
      <c r="R644">
        <f t="shared" si="65"/>
        <v>2</v>
      </c>
    </row>
    <row r="645" spans="1:18" x14ac:dyDescent="0.25">
      <c r="A645">
        <f>Raw_data!A645</f>
        <v>644</v>
      </c>
      <c r="B645" t="str">
        <f>Raw_data!B645</f>
        <v>C8901</v>
      </c>
      <c r="C645" t="str">
        <f>Raw_data!C645</f>
        <v>R2762</v>
      </c>
      <c r="D645" s="3">
        <f>Raw_data!D645</f>
        <v>45311.993148148147</v>
      </c>
      <c r="E645" s="3">
        <f>Raw_data!E645</f>
        <v>45312.073703703703</v>
      </c>
      <c r="F645" s="4">
        <f t="shared" si="60"/>
        <v>8.0555555556202307E-2</v>
      </c>
      <c r="G645" s="6">
        <f>Raw_data!F645</f>
        <v>571</v>
      </c>
      <c r="H645" s="6">
        <f>Raw_data!G645</f>
        <v>20</v>
      </c>
      <c r="I645" t="str">
        <f>Raw_data!H645</f>
        <v>Cash on Delivery</v>
      </c>
      <c r="J645" s="7" t="str">
        <f>IF(Raw_data!I645=0.1,"10%",Raw_data!I645)</f>
        <v>10%</v>
      </c>
      <c r="K645" s="6">
        <f>Raw_data!J645</f>
        <v>186</v>
      </c>
      <c r="L645" s="6">
        <f>Raw_data!K645</f>
        <v>14</v>
      </c>
      <c r="M645" s="6">
        <f>Raw_data!L645</f>
        <v>150</v>
      </c>
      <c r="N645" s="6">
        <f t="shared" si="61"/>
        <v>371</v>
      </c>
      <c r="O645" s="6">
        <f t="shared" si="62"/>
        <v>50</v>
      </c>
      <c r="P645" s="6">
        <f t="shared" si="63"/>
        <v>591</v>
      </c>
      <c r="Q645">
        <f t="shared" si="64"/>
        <v>1</v>
      </c>
      <c r="R645">
        <f t="shared" si="65"/>
        <v>1</v>
      </c>
    </row>
    <row r="646" spans="1:18" x14ac:dyDescent="0.25">
      <c r="A646">
        <f>Raw_data!A646</f>
        <v>645</v>
      </c>
      <c r="B646" t="str">
        <f>Raw_data!B646</f>
        <v>C5858</v>
      </c>
      <c r="C646" t="str">
        <f>Raw_data!C646</f>
        <v>R2226</v>
      </c>
      <c r="D646" s="3">
        <f>Raw_data!D646</f>
        <v>45324.427569444444</v>
      </c>
      <c r="E646" s="3">
        <f>Raw_data!E646</f>
        <v>45324.458124999997</v>
      </c>
      <c r="F646" s="4">
        <f t="shared" si="60"/>
        <v>3.0555555553291924E-2</v>
      </c>
      <c r="G646" s="6">
        <f>Raw_data!F646</f>
        <v>1843</v>
      </c>
      <c r="H646" s="6">
        <f>Raw_data!G646</f>
        <v>50</v>
      </c>
      <c r="I646" t="str">
        <f>Raw_data!H646</f>
        <v>Cash on Delivery</v>
      </c>
      <c r="J646" s="7" t="str">
        <f>IF(Raw_data!I646=0.1,"10%",Raw_data!I646)</f>
        <v>None</v>
      </c>
      <c r="K646" s="6">
        <f>Raw_data!J646</f>
        <v>71</v>
      </c>
      <c r="L646" s="6">
        <f>Raw_data!K646</f>
        <v>37</v>
      </c>
      <c r="M646" s="6">
        <f>Raw_data!L646</f>
        <v>0</v>
      </c>
      <c r="N646" s="6">
        <f t="shared" si="61"/>
        <v>1735</v>
      </c>
      <c r="O646" s="6">
        <f t="shared" si="62"/>
        <v>108</v>
      </c>
      <c r="P646" s="6">
        <f t="shared" si="63"/>
        <v>1893</v>
      </c>
      <c r="Q646">
        <f t="shared" si="64"/>
        <v>1</v>
      </c>
      <c r="R646">
        <f t="shared" si="65"/>
        <v>2</v>
      </c>
    </row>
    <row r="647" spans="1:18" x14ac:dyDescent="0.25">
      <c r="A647">
        <f>Raw_data!A647</f>
        <v>646</v>
      </c>
      <c r="B647" t="str">
        <f>Raw_data!B647</f>
        <v>C7544</v>
      </c>
      <c r="C647" t="str">
        <f>Raw_data!C647</f>
        <v>R2947</v>
      </c>
      <c r="D647" s="3">
        <f>Raw_data!D647</f>
        <v>45327.743888888886</v>
      </c>
      <c r="E647" s="3">
        <f>Raw_data!E647</f>
        <v>45327.814722222225</v>
      </c>
      <c r="F647" s="4">
        <f t="shared" si="60"/>
        <v>7.0833333338669036E-2</v>
      </c>
      <c r="G647" s="6">
        <f>Raw_data!F647</f>
        <v>469</v>
      </c>
      <c r="H647" s="6">
        <f>Raw_data!G647</f>
        <v>20</v>
      </c>
      <c r="I647" t="str">
        <f>Raw_data!H647</f>
        <v>Digital Wallet</v>
      </c>
      <c r="J647" s="7" t="str">
        <f>IF(Raw_data!I647=0.1,"10%",Raw_data!I647)</f>
        <v>10%</v>
      </c>
      <c r="K647" s="6">
        <f>Raw_data!J647</f>
        <v>83</v>
      </c>
      <c r="L647" s="6">
        <f>Raw_data!K647</f>
        <v>17</v>
      </c>
      <c r="M647" s="6">
        <f>Raw_data!L647</f>
        <v>0</v>
      </c>
      <c r="N647" s="6">
        <f t="shared" si="61"/>
        <v>369</v>
      </c>
      <c r="O647" s="6">
        <f t="shared" si="62"/>
        <v>100</v>
      </c>
      <c r="P647" s="6">
        <f t="shared" si="63"/>
        <v>489</v>
      </c>
      <c r="Q647">
        <f t="shared" si="64"/>
        <v>1</v>
      </c>
      <c r="R647">
        <f t="shared" si="65"/>
        <v>1</v>
      </c>
    </row>
    <row r="648" spans="1:18" x14ac:dyDescent="0.25">
      <c r="A648">
        <f>Raw_data!A648</f>
        <v>647</v>
      </c>
      <c r="B648" t="str">
        <f>Raw_data!B648</f>
        <v>C5719</v>
      </c>
      <c r="C648" t="str">
        <f>Raw_data!C648</f>
        <v>R2380</v>
      </c>
      <c r="D648" s="3">
        <f>Raw_data!D648</f>
        <v>45304.218460648146</v>
      </c>
      <c r="E648" s="3">
        <f>Raw_data!E648</f>
        <v>45304.275405092594</v>
      </c>
      <c r="F648" s="4">
        <f t="shared" si="60"/>
        <v>5.6944444448163267E-2</v>
      </c>
      <c r="G648" s="6">
        <f>Raw_data!F648</f>
        <v>999</v>
      </c>
      <c r="H648" s="6">
        <f>Raw_data!G648</f>
        <v>40</v>
      </c>
      <c r="I648" t="str">
        <f>Raw_data!H648</f>
        <v>Cash on Delivery</v>
      </c>
      <c r="J648" s="7" t="str">
        <f>IF(Raw_data!I648=0.1,"10%",Raw_data!I648)</f>
        <v>10%</v>
      </c>
      <c r="K648" s="6">
        <f>Raw_data!J648</f>
        <v>159</v>
      </c>
      <c r="L648" s="6">
        <f>Raw_data!K648</f>
        <v>24</v>
      </c>
      <c r="M648" s="6">
        <f>Raw_data!L648</f>
        <v>0</v>
      </c>
      <c r="N648" s="6">
        <f t="shared" si="61"/>
        <v>816</v>
      </c>
      <c r="O648" s="6">
        <f t="shared" si="62"/>
        <v>183</v>
      </c>
      <c r="P648" s="6">
        <f t="shared" si="63"/>
        <v>1039</v>
      </c>
      <c r="Q648">
        <f t="shared" si="64"/>
        <v>1</v>
      </c>
      <c r="R648">
        <f t="shared" si="65"/>
        <v>3</v>
      </c>
    </row>
    <row r="649" spans="1:18" x14ac:dyDescent="0.25">
      <c r="A649">
        <f>Raw_data!A649</f>
        <v>648</v>
      </c>
      <c r="B649" t="str">
        <f>Raw_data!B649</f>
        <v>C3814</v>
      </c>
      <c r="C649" t="str">
        <f>Raw_data!C649</f>
        <v>R2459</v>
      </c>
      <c r="D649" s="3">
        <f>Raw_data!D649</f>
        <v>45313.094328703701</v>
      </c>
      <c r="E649" s="3">
        <f>Raw_data!E649</f>
        <v>45313.131828703707</v>
      </c>
      <c r="F649" s="4">
        <f t="shared" si="60"/>
        <v>3.7500000005820766E-2</v>
      </c>
      <c r="G649" s="6">
        <f>Raw_data!F649</f>
        <v>1615</v>
      </c>
      <c r="H649" s="6">
        <f>Raw_data!G649</f>
        <v>50</v>
      </c>
      <c r="I649" t="str">
        <f>Raw_data!H649</f>
        <v>Digital Wallet</v>
      </c>
      <c r="J649" s="7" t="str">
        <f>IF(Raw_data!I649=0.1,"10%",Raw_data!I649)</f>
        <v>10%</v>
      </c>
      <c r="K649" s="6">
        <f>Raw_data!J649</f>
        <v>98</v>
      </c>
      <c r="L649" s="6">
        <f>Raw_data!K649</f>
        <v>13</v>
      </c>
      <c r="M649" s="6">
        <f>Raw_data!L649</f>
        <v>0</v>
      </c>
      <c r="N649" s="6">
        <f t="shared" si="61"/>
        <v>1504</v>
      </c>
      <c r="O649" s="6">
        <f t="shared" si="62"/>
        <v>111</v>
      </c>
      <c r="P649" s="6">
        <f t="shared" si="63"/>
        <v>1665</v>
      </c>
      <c r="Q649">
        <f t="shared" si="64"/>
        <v>1</v>
      </c>
      <c r="R649">
        <f t="shared" si="65"/>
        <v>1</v>
      </c>
    </row>
    <row r="650" spans="1:18" x14ac:dyDescent="0.25">
      <c r="A650">
        <f>Raw_data!A650</f>
        <v>649</v>
      </c>
      <c r="B650" t="str">
        <f>Raw_data!B650</f>
        <v>C4374</v>
      </c>
      <c r="C650" t="str">
        <f>Raw_data!C650</f>
        <v>R2006</v>
      </c>
      <c r="D650" s="3">
        <f>Raw_data!D650</f>
        <v>45322.994583333333</v>
      </c>
      <c r="E650" s="3">
        <f>Raw_data!E650</f>
        <v>45323.076527777775</v>
      </c>
      <c r="F650" s="4">
        <f t="shared" si="60"/>
        <v>8.1944444442342501E-2</v>
      </c>
      <c r="G650" s="6">
        <f>Raw_data!F650</f>
        <v>1022</v>
      </c>
      <c r="H650" s="6">
        <f>Raw_data!G650</f>
        <v>20</v>
      </c>
      <c r="I650" t="str">
        <f>Raw_data!H650</f>
        <v>Digital Wallet</v>
      </c>
      <c r="J650" s="7" t="str">
        <f>IF(Raw_data!I650=0.1,"10%",Raw_data!I650)</f>
        <v>15% New User</v>
      </c>
      <c r="K650" s="6">
        <f>Raw_data!J650</f>
        <v>178</v>
      </c>
      <c r="L650" s="6">
        <f>Raw_data!K650</f>
        <v>43</v>
      </c>
      <c r="M650" s="6">
        <f>Raw_data!L650</f>
        <v>0</v>
      </c>
      <c r="N650" s="6">
        <f t="shared" si="61"/>
        <v>801</v>
      </c>
      <c r="O650" s="6">
        <f t="shared" si="62"/>
        <v>221</v>
      </c>
      <c r="P650" s="6">
        <f t="shared" si="63"/>
        <v>1042</v>
      </c>
      <c r="Q650">
        <f t="shared" si="64"/>
        <v>1</v>
      </c>
      <c r="R650">
        <f t="shared" si="65"/>
        <v>4</v>
      </c>
    </row>
    <row r="651" spans="1:18" x14ac:dyDescent="0.25">
      <c r="A651">
        <f>Raw_data!A651</f>
        <v>650</v>
      </c>
      <c r="B651" t="str">
        <f>Raw_data!B651</f>
        <v>C2252</v>
      </c>
      <c r="C651" t="str">
        <f>Raw_data!C651</f>
        <v>R2028</v>
      </c>
      <c r="D651" s="3">
        <f>Raw_data!D651</f>
        <v>45329.528356481482</v>
      </c>
      <c r="E651" s="3">
        <f>Raw_data!E651</f>
        <v>45329.607523148145</v>
      </c>
      <c r="F651" s="4">
        <f t="shared" si="60"/>
        <v>7.9166666662786156E-2</v>
      </c>
      <c r="G651" s="6">
        <f>Raw_data!F651</f>
        <v>236</v>
      </c>
      <c r="H651" s="6">
        <f>Raw_data!G651</f>
        <v>0</v>
      </c>
      <c r="I651" t="str">
        <f>Raw_data!H651</f>
        <v>Digital Wallet</v>
      </c>
      <c r="J651" s="7" t="str">
        <f>IF(Raw_data!I651=0.1,"10%",Raw_data!I651)</f>
        <v>None</v>
      </c>
      <c r="K651" s="6">
        <f>Raw_data!J651</f>
        <v>122</v>
      </c>
      <c r="L651" s="6">
        <f>Raw_data!K651</f>
        <v>14</v>
      </c>
      <c r="M651" s="6">
        <f>Raw_data!L651</f>
        <v>50</v>
      </c>
      <c r="N651" s="6">
        <f t="shared" si="61"/>
        <v>100</v>
      </c>
      <c r="O651" s="6">
        <f t="shared" si="62"/>
        <v>86</v>
      </c>
      <c r="P651" s="6">
        <f t="shared" si="63"/>
        <v>236</v>
      </c>
      <c r="Q651">
        <f t="shared" si="64"/>
        <v>1</v>
      </c>
      <c r="R651">
        <f t="shared" si="65"/>
        <v>4</v>
      </c>
    </row>
    <row r="652" spans="1:18" x14ac:dyDescent="0.25">
      <c r="A652">
        <f>Raw_data!A652</f>
        <v>651</v>
      </c>
      <c r="B652" t="str">
        <f>Raw_data!B652</f>
        <v>C7996</v>
      </c>
      <c r="C652" t="str">
        <f>Raw_data!C652</f>
        <v>R2906</v>
      </c>
      <c r="D652" s="3">
        <f>Raw_data!D652</f>
        <v>45303.171157407407</v>
      </c>
      <c r="E652" s="3">
        <f>Raw_data!E652</f>
        <v>45303.197546296295</v>
      </c>
      <c r="F652" s="4">
        <f t="shared" si="60"/>
        <v>2.6388888887595385E-2</v>
      </c>
      <c r="G652" s="6">
        <f>Raw_data!F652</f>
        <v>466</v>
      </c>
      <c r="H652" s="6">
        <f>Raw_data!G652</f>
        <v>30</v>
      </c>
      <c r="I652" t="str">
        <f>Raw_data!H652</f>
        <v>Digital Wallet</v>
      </c>
      <c r="J652" s="7" t="str">
        <f>IF(Raw_data!I652=0.1,"10%",Raw_data!I652)</f>
        <v>5% on App</v>
      </c>
      <c r="K652" s="6">
        <f>Raw_data!J652</f>
        <v>133</v>
      </c>
      <c r="L652" s="6">
        <f>Raw_data!K652</f>
        <v>42</v>
      </c>
      <c r="M652" s="6">
        <f>Raw_data!L652</f>
        <v>0</v>
      </c>
      <c r="N652" s="6">
        <f t="shared" si="61"/>
        <v>291</v>
      </c>
      <c r="O652" s="6">
        <f t="shared" si="62"/>
        <v>175</v>
      </c>
      <c r="P652" s="6">
        <f t="shared" si="63"/>
        <v>496</v>
      </c>
      <c r="Q652">
        <f t="shared" si="64"/>
        <v>1</v>
      </c>
      <c r="R652">
        <f t="shared" si="65"/>
        <v>1</v>
      </c>
    </row>
    <row r="653" spans="1:18" x14ac:dyDescent="0.25">
      <c r="A653">
        <f>Raw_data!A653</f>
        <v>652</v>
      </c>
      <c r="B653" t="str">
        <f>Raw_data!B653</f>
        <v>C5673</v>
      </c>
      <c r="C653" t="str">
        <f>Raw_data!C653</f>
        <v>R2032</v>
      </c>
      <c r="D653" s="3">
        <f>Raw_data!D653</f>
        <v>45298.416655092595</v>
      </c>
      <c r="E653" s="3">
        <f>Raw_data!E653</f>
        <v>45298.463182870371</v>
      </c>
      <c r="F653" s="4">
        <f t="shared" si="60"/>
        <v>4.6527777776645962E-2</v>
      </c>
      <c r="G653" s="6">
        <f>Raw_data!F653</f>
        <v>1011</v>
      </c>
      <c r="H653" s="6">
        <f>Raw_data!G653</f>
        <v>30</v>
      </c>
      <c r="I653" t="str">
        <f>Raw_data!H653</f>
        <v>Digital Wallet</v>
      </c>
      <c r="J653" s="7" t="str">
        <f>IF(Raw_data!I653=0.1,"10%",Raw_data!I653)</f>
        <v>10%</v>
      </c>
      <c r="K653" s="6">
        <f>Raw_data!J653</f>
        <v>102</v>
      </c>
      <c r="L653" s="6">
        <f>Raw_data!K653</f>
        <v>14</v>
      </c>
      <c r="M653" s="6">
        <f>Raw_data!L653</f>
        <v>150</v>
      </c>
      <c r="N653" s="6">
        <f t="shared" si="61"/>
        <v>895</v>
      </c>
      <c r="O653" s="6">
        <f t="shared" si="62"/>
        <v>-34</v>
      </c>
      <c r="P653" s="6">
        <f t="shared" si="63"/>
        <v>1041</v>
      </c>
      <c r="Q653">
        <f t="shared" si="64"/>
        <v>1</v>
      </c>
      <c r="R653">
        <f t="shared" si="65"/>
        <v>1</v>
      </c>
    </row>
    <row r="654" spans="1:18" x14ac:dyDescent="0.25">
      <c r="A654">
        <f>Raw_data!A654</f>
        <v>653</v>
      </c>
      <c r="B654" t="str">
        <f>Raw_data!B654</f>
        <v>C5530</v>
      </c>
      <c r="C654" t="str">
        <f>Raw_data!C654</f>
        <v>R2645</v>
      </c>
      <c r="D654" s="3">
        <f>Raw_data!D654</f>
        <v>45317.012592592589</v>
      </c>
      <c r="E654" s="3">
        <f>Raw_data!E654</f>
        <v>45317.048009259262</v>
      </c>
      <c r="F654" s="4">
        <f t="shared" si="60"/>
        <v>3.5416666672972497E-2</v>
      </c>
      <c r="G654" s="6">
        <f>Raw_data!F654</f>
        <v>283</v>
      </c>
      <c r="H654" s="6">
        <f>Raw_data!G654</f>
        <v>30</v>
      </c>
      <c r="I654" t="str">
        <f>Raw_data!H654</f>
        <v>Credit Card</v>
      </c>
      <c r="J654" s="7" t="str">
        <f>IF(Raw_data!I654=0.1,"10%",Raw_data!I654)</f>
        <v>None</v>
      </c>
      <c r="K654" s="6">
        <f>Raw_data!J654</f>
        <v>149</v>
      </c>
      <c r="L654" s="6">
        <f>Raw_data!K654</f>
        <v>47</v>
      </c>
      <c r="M654" s="6">
        <f>Raw_data!L654</f>
        <v>0</v>
      </c>
      <c r="N654" s="6">
        <f t="shared" si="61"/>
        <v>87</v>
      </c>
      <c r="O654" s="6">
        <f t="shared" si="62"/>
        <v>196</v>
      </c>
      <c r="P654" s="6">
        <f t="shared" si="63"/>
        <v>313</v>
      </c>
      <c r="Q654">
        <f t="shared" si="64"/>
        <v>1</v>
      </c>
      <c r="R654">
        <f t="shared" si="65"/>
        <v>2</v>
      </c>
    </row>
    <row r="655" spans="1:18" x14ac:dyDescent="0.25">
      <c r="A655">
        <f>Raw_data!A655</f>
        <v>654</v>
      </c>
      <c r="B655" t="str">
        <f>Raw_data!B655</f>
        <v>C7881</v>
      </c>
      <c r="C655" t="str">
        <f>Raw_data!C655</f>
        <v>R2878</v>
      </c>
      <c r="D655" s="3">
        <f>Raw_data!D655</f>
        <v>45318.857453703706</v>
      </c>
      <c r="E655" s="3">
        <f>Raw_data!E655</f>
        <v>45318.938009259262</v>
      </c>
      <c r="F655" s="4">
        <f t="shared" si="60"/>
        <v>8.0555555556202307E-2</v>
      </c>
      <c r="G655" s="6">
        <f>Raw_data!F655</f>
        <v>1711</v>
      </c>
      <c r="H655" s="6">
        <f>Raw_data!G655</f>
        <v>50</v>
      </c>
      <c r="I655" t="str">
        <f>Raw_data!H655</f>
        <v>Cash on Delivery</v>
      </c>
      <c r="J655" s="7" t="str">
        <f>IF(Raw_data!I655=0.1,"10%",Raw_data!I655)</f>
        <v>50 off Promo</v>
      </c>
      <c r="K655" s="6">
        <f>Raw_data!J655</f>
        <v>173</v>
      </c>
      <c r="L655" s="6">
        <f>Raw_data!K655</f>
        <v>43</v>
      </c>
      <c r="M655" s="6">
        <f>Raw_data!L655</f>
        <v>0</v>
      </c>
      <c r="N655" s="6">
        <f t="shared" si="61"/>
        <v>1495</v>
      </c>
      <c r="O655" s="6">
        <f t="shared" si="62"/>
        <v>216</v>
      </c>
      <c r="P655" s="6">
        <f t="shared" si="63"/>
        <v>1761</v>
      </c>
      <c r="Q655">
        <f t="shared" si="64"/>
        <v>1</v>
      </c>
      <c r="R655">
        <f t="shared" si="65"/>
        <v>1</v>
      </c>
    </row>
    <row r="656" spans="1:18" x14ac:dyDescent="0.25">
      <c r="A656">
        <f>Raw_data!A656</f>
        <v>655</v>
      </c>
      <c r="B656" t="str">
        <f>Raw_data!B656</f>
        <v>C7949</v>
      </c>
      <c r="C656" t="str">
        <f>Raw_data!C656</f>
        <v>R2078</v>
      </c>
      <c r="D656" s="3">
        <f>Raw_data!D656</f>
        <v>45324.673472222225</v>
      </c>
      <c r="E656" s="3">
        <f>Raw_data!E656</f>
        <v>45324.727638888886</v>
      </c>
      <c r="F656" s="4">
        <f t="shared" si="60"/>
        <v>5.4166666661330964E-2</v>
      </c>
      <c r="G656" s="6">
        <f>Raw_data!F656</f>
        <v>1410</v>
      </c>
      <c r="H656" s="6">
        <f>Raw_data!G656</f>
        <v>20</v>
      </c>
      <c r="I656" t="str">
        <f>Raw_data!H656</f>
        <v>Credit Card</v>
      </c>
      <c r="J656" s="7" t="str">
        <f>IF(Raw_data!I656=0.1,"10%",Raw_data!I656)</f>
        <v>10%</v>
      </c>
      <c r="K656" s="6">
        <f>Raw_data!J656</f>
        <v>94</v>
      </c>
      <c r="L656" s="6">
        <f>Raw_data!K656</f>
        <v>35</v>
      </c>
      <c r="M656" s="6">
        <f>Raw_data!L656</f>
        <v>0</v>
      </c>
      <c r="N656" s="6">
        <f t="shared" si="61"/>
        <v>1281</v>
      </c>
      <c r="O656" s="6">
        <f t="shared" si="62"/>
        <v>129</v>
      </c>
      <c r="P656" s="6">
        <f t="shared" si="63"/>
        <v>1430</v>
      </c>
      <c r="Q656">
        <f t="shared" si="64"/>
        <v>3</v>
      </c>
      <c r="R656">
        <f t="shared" si="65"/>
        <v>1</v>
      </c>
    </row>
    <row r="657" spans="1:18" x14ac:dyDescent="0.25">
      <c r="A657">
        <f>Raw_data!A657</f>
        <v>656</v>
      </c>
      <c r="B657" t="str">
        <f>Raw_data!B657</f>
        <v>C7241</v>
      </c>
      <c r="C657" t="str">
        <f>Raw_data!C657</f>
        <v>R2927</v>
      </c>
      <c r="D657" s="3">
        <f>Raw_data!D657</f>
        <v>45297.642476851855</v>
      </c>
      <c r="E657" s="3">
        <f>Raw_data!E657</f>
        <v>45297.709837962961</v>
      </c>
      <c r="F657" s="4">
        <f t="shared" si="60"/>
        <v>6.7361111105128657E-2</v>
      </c>
      <c r="G657" s="6">
        <f>Raw_data!F657</f>
        <v>571</v>
      </c>
      <c r="H657" s="6">
        <f>Raw_data!G657</f>
        <v>50</v>
      </c>
      <c r="I657" t="str">
        <f>Raw_data!H657</f>
        <v>Digital Wallet</v>
      </c>
      <c r="J657" s="7" t="str">
        <f>IF(Raw_data!I657=0.1,"10%",Raw_data!I657)</f>
        <v>10%</v>
      </c>
      <c r="K657" s="6">
        <f>Raw_data!J657</f>
        <v>186</v>
      </c>
      <c r="L657" s="6">
        <f>Raw_data!K657</f>
        <v>10</v>
      </c>
      <c r="M657" s="6">
        <f>Raw_data!L657</f>
        <v>0</v>
      </c>
      <c r="N657" s="6">
        <f t="shared" si="61"/>
        <v>375</v>
      </c>
      <c r="O657" s="6">
        <f t="shared" si="62"/>
        <v>196</v>
      </c>
      <c r="P657" s="6">
        <f t="shared" si="63"/>
        <v>621</v>
      </c>
      <c r="Q657">
        <f t="shared" si="64"/>
        <v>1</v>
      </c>
      <c r="R657">
        <f t="shared" si="65"/>
        <v>2</v>
      </c>
    </row>
    <row r="658" spans="1:18" x14ac:dyDescent="0.25">
      <c r="A658">
        <f>Raw_data!A658</f>
        <v>657</v>
      </c>
      <c r="B658" t="str">
        <f>Raw_data!B658</f>
        <v>C9017</v>
      </c>
      <c r="C658" t="str">
        <f>Raw_data!C658</f>
        <v>R2946</v>
      </c>
      <c r="D658" s="3">
        <f>Raw_data!D658</f>
        <v>45317.007893518516</v>
      </c>
      <c r="E658" s="3">
        <f>Raw_data!E658</f>
        <v>45317.038449074076</v>
      </c>
      <c r="F658" s="4">
        <f t="shared" si="60"/>
        <v>3.0555555560567882E-2</v>
      </c>
      <c r="G658" s="6">
        <f>Raw_data!F658</f>
        <v>1498</v>
      </c>
      <c r="H658" s="6">
        <f>Raw_data!G658</f>
        <v>40</v>
      </c>
      <c r="I658" t="str">
        <f>Raw_data!H658</f>
        <v>Cash on Delivery</v>
      </c>
      <c r="J658" s="7" t="str">
        <f>IF(Raw_data!I658=0.1,"10%",Raw_data!I658)</f>
        <v>5% on App</v>
      </c>
      <c r="K658" s="6">
        <f>Raw_data!J658</f>
        <v>154</v>
      </c>
      <c r="L658" s="6">
        <f>Raw_data!K658</f>
        <v>13</v>
      </c>
      <c r="M658" s="6">
        <f>Raw_data!L658</f>
        <v>0</v>
      </c>
      <c r="N658" s="6">
        <f t="shared" si="61"/>
        <v>1331</v>
      </c>
      <c r="O658" s="6">
        <f t="shared" si="62"/>
        <v>167</v>
      </c>
      <c r="P658" s="6">
        <f t="shared" si="63"/>
        <v>1538</v>
      </c>
      <c r="Q658">
        <f t="shared" si="64"/>
        <v>1</v>
      </c>
      <c r="R658">
        <f t="shared" si="65"/>
        <v>2</v>
      </c>
    </row>
    <row r="659" spans="1:18" x14ac:dyDescent="0.25">
      <c r="A659">
        <f>Raw_data!A659</f>
        <v>658</v>
      </c>
      <c r="B659" t="str">
        <f>Raw_data!B659</f>
        <v>C7941</v>
      </c>
      <c r="C659" t="str">
        <f>Raw_data!C659</f>
        <v>R2458</v>
      </c>
      <c r="D659" s="3">
        <f>Raw_data!D659</f>
        <v>45310.529467592591</v>
      </c>
      <c r="E659" s="3">
        <f>Raw_data!E659</f>
        <v>45310.59474537037</v>
      </c>
      <c r="F659" s="4">
        <f t="shared" si="60"/>
        <v>6.5277777779556345E-2</v>
      </c>
      <c r="G659" s="6">
        <f>Raw_data!F659</f>
        <v>753</v>
      </c>
      <c r="H659" s="6">
        <f>Raw_data!G659</f>
        <v>0</v>
      </c>
      <c r="I659" t="str">
        <f>Raw_data!H659</f>
        <v>Credit Card</v>
      </c>
      <c r="J659" s="7" t="str">
        <f>IF(Raw_data!I659=0.1,"10%",Raw_data!I659)</f>
        <v>15% New User</v>
      </c>
      <c r="K659" s="6">
        <f>Raw_data!J659</f>
        <v>199</v>
      </c>
      <c r="L659" s="6">
        <f>Raw_data!K659</f>
        <v>48</v>
      </c>
      <c r="M659" s="6">
        <f>Raw_data!L659</f>
        <v>0</v>
      </c>
      <c r="N659" s="6">
        <f t="shared" si="61"/>
        <v>506</v>
      </c>
      <c r="O659" s="6">
        <f t="shared" si="62"/>
        <v>247</v>
      </c>
      <c r="P659" s="6">
        <f t="shared" si="63"/>
        <v>753</v>
      </c>
      <c r="Q659">
        <f t="shared" si="64"/>
        <v>2</v>
      </c>
      <c r="R659">
        <f t="shared" si="65"/>
        <v>3</v>
      </c>
    </row>
    <row r="660" spans="1:18" x14ac:dyDescent="0.25">
      <c r="A660">
        <f>Raw_data!A660</f>
        <v>659</v>
      </c>
      <c r="B660" t="str">
        <f>Raw_data!B660</f>
        <v>C8002</v>
      </c>
      <c r="C660" t="str">
        <f>Raw_data!C660</f>
        <v>R2569</v>
      </c>
      <c r="D660" s="3">
        <f>Raw_data!D660</f>
        <v>45311.373599537037</v>
      </c>
      <c r="E660" s="3">
        <f>Raw_data!E660</f>
        <v>45311.431238425925</v>
      </c>
      <c r="F660" s="4">
        <f t="shared" si="60"/>
        <v>5.7638888887595385E-2</v>
      </c>
      <c r="G660" s="6">
        <f>Raw_data!F660</f>
        <v>848</v>
      </c>
      <c r="H660" s="6">
        <f>Raw_data!G660</f>
        <v>0</v>
      </c>
      <c r="I660" t="str">
        <f>Raw_data!H660</f>
        <v>Credit Card</v>
      </c>
      <c r="J660" s="7" t="str">
        <f>IF(Raw_data!I660=0.1,"10%",Raw_data!I660)</f>
        <v>15% New User</v>
      </c>
      <c r="K660" s="6">
        <f>Raw_data!J660</f>
        <v>195</v>
      </c>
      <c r="L660" s="6">
        <f>Raw_data!K660</f>
        <v>35</v>
      </c>
      <c r="M660" s="6">
        <f>Raw_data!L660</f>
        <v>0</v>
      </c>
      <c r="N660" s="6">
        <f t="shared" si="61"/>
        <v>618</v>
      </c>
      <c r="O660" s="6">
        <f t="shared" si="62"/>
        <v>230</v>
      </c>
      <c r="P660" s="6">
        <f t="shared" si="63"/>
        <v>848</v>
      </c>
      <c r="Q660">
        <f t="shared" si="64"/>
        <v>1</v>
      </c>
      <c r="R660">
        <f t="shared" si="65"/>
        <v>2</v>
      </c>
    </row>
    <row r="661" spans="1:18" x14ac:dyDescent="0.25">
      <c r="A661">
        <f>Raw_data!A661</f>
        <v>660</v>
      </c>
      <c r="B661" t="str">
        <f>Raw_data!B661</f>
        <v>C2331</v>
      </c>
      <c r="C661" t="str">
        <f>Raw_data!C661</f>
        <v>R2982</v>
      </c>
      <c r="D661" s="3">
        <f>Raw_data!D661</f>
        <v>45312.610555555555</v>
      </c>
      <c r="E661" s="3">
        <f>Raw_data!E661</f>
        <v>45312.65152777778</v>
      </c>
      <c r="F661" s="4">
        <f t="shared" si="60"/>
        <v>4.0972222224809229E-2</v>
      </c>
      <c r="G661" s="6">
        <f>Raw_data!F661</f>
        <v>636</v>
      </c>
      <c r="H661" s="6">
        <f>Raw_data!G661</f>
        <v>30</v>
      </c>
      <c r="I661" t="str">
        <f>Raw_data!H661</f>
        <v>Digital Wallet</v>
      </c>
      <c r="J661" s="7" t="str">
        <f>IF(Raw_data!I661=0.1,"10%",Raw_data!I661)</f>
        <v>10%</v>
      </c>
      <c r="K661" s="6">
        <f>Raw_data!J661</f>
        <v>155</v>
      </c>
      <c r="L661" s="6">
        <f>Raw_data!K661</f>
        <v>42</v>
      </c>
      <c r="M661" s="6">
        <f>Raw_data!L661</f>
        <v>0</v>
      </c>
      <c r="N661" s="6">
        <f t="shared" si="61"/>
        <v>439</v>
      </c>
      <c r="O661" s="6">
        <f t="shared" si="62"/>
        <v>197</v>
      </c>
      <c r="P661" s="6">
        <f t="shared" si="63"/>
        <v>666</v>
      </c>
      <c r="Q661">
        <f t="shared" si="64"/>
        <v>1</v>
      </c>
      <c r="R661">
        <f t="shared" si="65"/>
        <v>3</v>
      </c>
    </row>
    <row r="662" spans="1:18" x14ac:dyDescent="0.25">
      <c r="A662">
        <f>Raw_data!A662</f>
        <v>661</v>
      </c>
      <c r="B662" t="str">
        <f>Raw_data!B662</f>
        <v>C5261</v>
      </c>
      <c r="C662" t="str">
        <f>Raw_data!C662</f>
        <v>R2537</v>
      </c>
      <c r="D662" s="3">
        <f>Raw_data!D662</f>
        <v>45314.205972222226</v>
      </c>
      <c r="E662" s="3">
        <f>Raw_data!E662</f>
        <v>45314.239999999998</v>
      </c>
      <c r="F662" s="4">
        <f t="shared" si="60"/>
        <v>3.4027777772280388E-2</v>
      </c>
      <c r="G662" s="6">
        <f>Raw_data!F662</f>
        <v>1634</v>
      </c>
      <c r="H662" s="6">
        <f>Raw_data!G662</f>
        <v>30</v>
      </c>
      <c r="I662" t="str">
        <f>Raw_data!H662</f>
        <v>Credit Card</v>
      </c>
      <c r="J662" s="7" t="str">
        <f>IF(Raw_data!I662=0.1,"10%",Raw_data!I662)</f>
        <v>None</v>
      </c>
      <c r="K662" s="6">
        <f>Raw_data!J662</f>
        <v>92</v>
      </c>
      <c r="L662" s="6">
        <f>Raw_data!K662</f>
        <v>42</v>
      </c>
      <c r="M662" s="6">
        <f>Raw_data!L662</f>
        <v>0</v>
      </c>
      <c r="N662" s="6">
        <f t="shared" si="61"/>
        <v>1500</v>
      </c>
      <c r="O662" s="6">
        <f t="shared" si="62"/>
        <v>134</v>
      </c>
      <c r="P662" s="6">
        <f t="shared" si="63"/>
        <v>1664</v>
      </c>
      <c r="Q662">
        <f t="shared" si="64"/>
        <v>1</v>
      </c>
      <c r="R662">
        <f t="shared" si="65"/>
        <v>2</v>
      </c>
    </row>
    <row r="663" spans="1:18" x14ac:dyDescent="0.25">
      <c r="A663">
        <f>Raw_data!A663</f>
        <v>662</v>
      </c>
      <c r="B663" t="str">
        <f>Raw_data!B663</f>
        <v>C8648</v>
      </c>
      <c r="C663" t="str">
        <f>Raw_data!C663</f>
        <v>R2481</v>
      </c>
      <c r="D663" s="3">
        <f>Raw_data!D663</f>
        <v>45302.124675925923</v>
      </c>
      <c r="E663" s="3">
        <f>Raw_data!E663</f>
        <v>45302.167731481481</v>
      </c>
      <c r="F663" s="4">
        <f t="shared" si="60"/>
        <v>4.3055555557657499E-2</v>
      </c>
      <c r="G663" s="6">
        <f>Raw_data!F663</f>
        <v>901</v>
      </c>
      <c r="H663" s="6">
        <f>Raw_data!G663</f>
        <v>30</v>
      </c>
      <c r="I663" t="str">
        <f>Raw_data!H663</f>
        <v>Credit Card</v>
      </c>
      <c r="J663" s="7" t="str">
        <f>IF(Raw_data!I663=0.1,"10%",Raw_data!I663)</f>
        <v>50 off Promo</v>
      </c>
      <c r="K663" s="6">
        <f>Raw_data!J663</f>
        <v>183</v>
      </c>
      <c r="L663" s="6">
        <f>Raw_data!K663</f>
        <v>17</v>
      </c>
      <c r="M663" s="6">
        <f>Raw_data!L663</f>
        <v>0</v>
      </c>
      <c r="N663" s="6">
        <f t="shared" si="61"/>
        <v>701</v>
      </c>
      <c r="O663" s="6">
        <f t="shared" si="62"/>
        <v>200</v>
      </c>
      <c r="P663" s="6">
        <f t="shared" si="63"/>
        <v>931</v>
      </c>
      <c r="Q663">
        <f t="shared" si="64"/>
        <v>1</v>
      </c>
      <c r="R663">
        <f t="shared" si="65"/>
        <v>2</v>
      </c>
    </row>
    <row r="664" spans="1:18" x14ac:dyDescent="0.25">
      <c r="A664">
        <f>Raw_data!A664</f>
        <v>663</v>
      </c>
      <c r="B664" t="str">
        <f>Raw_data!B664</f>
        <v>C6115</v>
      </c>
      <c r="C664" t="str">
        <f>Raw_data!C664</f>
        <v>R2429</v>
      </c>
      <c r="D664" s="3">
        <f>Raw_data!D664</f>
        <v>45327.411030092589</v>
      </c>
      <c r="E664" s="3">
        <f>Raw_data!E664</f>
        <v>45327.490891203706</v>
      </c>
      <c r="F664" s="4">
        <f t="shared" si="60"/>
        <v>7.9861111116770189E-2</v>
      </c>
      <c r="G664" s="6">
        <f>Raw_data!F664</f>
        <v>1702</v>
      </c>
      <c r="H664" s="6">
        <f>Raw_data!G664</f>
        <v>20</v>
      </c>
      <c r="I664" t="str">
        <f>Raw_data!H664</f>
        <v>Credit Card</v>
      </c>
      <c r="J664" s="7" t="str">
        <f>IF(Raw_data!I664=0.1,"10%",Raw_data!I664)</f>
        <v>50 off Promo</v>
      </c>
      <c r="K664" s="6">
        <f>Raw_data!J664</f>
        <v>97</v>
      </c>
      <c r="L664" s="6">
        <f>Raw_data!K664</f>
        <v>29</v>
      </c>
      <c r="M664" s="6">
        <f>Raw_data!L664</f>
        <v>0</v>
      </c>
      <c r="N664" s="6">
        <f t="shared" si="61"/>
        <v>1576</v>
      </c>
      <c r="O664" s="6">
        <f t="shared" si="62"/>
        <v>126</v>
      </c>
      <c r="P664" s="6">
        <f t="shared" si="63"/>
        <v>1722</v>
      </c>
      <c r="Q664">
        <f t="shared" si="64"/>
        <v>1</v>
      </c>
      <c r="R664">
        <f t="shared" si="65"/>
        <v>2</v>
      </c>
    </row>
    <row r="665" spans="1:18" x14ac:dyDescent="0.25">
      <c r="A665">
        <f>Raw_data!A665</f>
        <v>664</v>
      </c>
      <c r="B665" t="str">
        <f>Raw_data!B665</f>
        <v>C5637</v>
      </c>
      <c r="C665" t="str">
        <f>Raw_data!C665</f>
        <v>R2737</v>
      </c>
      <c r="D665" s="3">
        <f>Raw_data!D665</f>
        <v>45293.634421296294</v>
      </c>
      <c r="E665" s="3">
        <f>Raw_data!E665</f>
        <v>45293.708032407405</v>
      </c>
      <c r="F665" s="4">
        <f t="shared" si="60"/>
        <v>7.3611111110949423E-2</v>
      </c>
      <c r="G665" s="6">
        <f>Raw_data!F665</f>
        <v>1373</v>
      </c>
      <c r="H665" s="6">
        <f>Raw_data!G665</f>
        <v>40</v>
      </c>
      <c r="I665" t="str">
        <f>Raw_data!H665</f>
        <v>Credit Card</v>
      </c>
      <c r="J665" s="7" t="str">
        <f>IF(Raw_data!I665=0.1,"10%",Raw_data!I665)</f>
        <v>None</v>
      </c>
      <c r="K665" s="6">
        <f>Raw_data!J665</f>
        <v>175</v>
      </c>
      <c r="L665" s="6">
        <f>Raw_data!K665</f>
        <v>25</v>
      </c>
      <c r="M665" s="6">
        <f>Raw_data!L665</f>
        <v>0</v>
      </c>
      <c r="N665" s="6">
        <f t="shared" si="61"/>
        <v>1173</v>
      </c>
      <c r="O665" s="6">
        <f t="shared" si="62"/>
        <v>200</v>
      </c>
      <c r="P665" s="6">
        <f t="shared" si="63"/>
        <v>1413</v>
      </c>
      <c r="Q665">
        <f t="shared" si="64"/>
        <v>1</v>
      </c>
      <c r="R665">
        <f t="shared" si="65"/>
        <v>2</v>
      </c>
    </row>
    <row r="666" spans="1:18" x14ac:dyDescent="0.25">
      <c r="A666">
        <f>Raw_data!A666</f>
        <v>665</v>
      </c>
      <c r="B666" t="str">
        <f>Raw_data!B666</f>
        <v>C5854</v>
      </c>
      <c r="C666" t="str">
        <f>Raw_data!C666</f>
        <v>R2284</v>
      </c>
      <c r="D666" s="3">
        <f>Raw_data!D666</f>
        <v>45323.672372685185</v>
      </c>
      <c r="E666" s="3">
        <f>Raw_data!E666</f>
        <v>45323.697372685187</v>
      </c>
      <c r="F666" s="4">
        <f t="shared" si="60"/>
        <v>2.5000000001455192E-2</v>
      </c>
      <c r="G666" s="6">
        <f>Raw_data!F666</f>
        <v>1019</v>
      </c>
      <c r="H666" s="6">
        <f>Raw_data!G666</f>
        <v>40</v>
      </c>
      <c r="I666" t="str">
        <f>Raw_data!H666</f>
        <v>Credit Card</v>
      </c>
      <c r="J666" s="7" t="str">
        <f>IF(Raw_data!I666=0.1,"10%",Raw_data!I666)</f>
        <v>10%</v>
      </c>
      <c r="K666" s="6">
        <f>Raw_data!J666</f>
        <v>56</v>
      </c>
      <c r="L666" s="6">
        <f>Raw_data!K666</f>
        <v>30</v>
      </c>
      <c r="M666" s="6">
        <f>Raw_data!L666</f>
        <v>0</v>
      </c>
      <c r="N666" s="6">
        <f t="shared" si="61"/>
        <v>933</v>
      </c>
      <c r="O666" s="6">
        <f t="shared" si="62"/>
        <v>86</v>
      </c>
      <c r="P666" s="6">
        <f t="shared" si="63"/>
        <v>1059</v>
      </c>
      <c r="Q666">
        <f t="shared" si="64"/>
        <v>1</v>
      </c>
      <c r="R666">
        <f t="shared" si="65"/>
        <v>3</v>
      </c>
    </row>
    <row r="667" spans="1:18" x14ac:dyDescent="0.25">
      <c r="A667">
        <f>Raw_data!A667</f>
        <v>666</v>
      </c>
      <c r="B667" t="str">
        <f>Raw_data!B667</f>
        <v>C4177</v>
      </c>
      <c r="C667" t="str">
        <f>Raw_data!C667</f>
        <v>R2515</v>
      </c>
      <c r="D667" s="3">
        <f>Raw_data!D667</f>
        <v>45310.764108796298</v>
      </c>
      <c r="E667" s="3">
        <f>Raw_data!E667</f>
        <v>45310.789803240739</v>
      </c>
      <c r="F667" s="4">
        <f t="shared" si="60"/>
        <v>2.569444444088731E-2</v>
      </c>
      <c r="G667" s="6">
        <f>Raw_data!F667</f>
        <v>609</v>
      </c>
      <c r="H667" s="6">
        <f>Raw_data!G667</f>
        <v>40</v>
      </c>
      <c r="I667" t="str">
        <f>Raw_data!H667</f>
        <v>Digital Wallet</v>
      </c>
      <c r="J667" s="7" t="str">
        <f>IF(Raw_data!I667=0.1,"10%",Raw_data!I667)</f>
        <v>50 off Promo</v>
      </c>
      <c r="K667" s="6">
        <f>Raw_data!J667</f>
        <v>65</v>
      </c>
      <c r="L667" s="6">
        <f>Raw_data!K667</f>
        <v>35</v>
      </c>
      <c r="M667" s="6">
        <f>Raw_data!L667</f>
        <v>0</v>
      </c>
      <c r="N667" s="6">
        <f t="shared" si="61"/>
        <v>509</v>
      </c>
      <c r="O667" s="6">
        <f t="shared" si="62"/>
        <v>100</v>
      </c>
      <c r="P667" s="6">
        <f t="shared" si="63"/>
        <v>649</v>
      </c>
      <c r="Q667">
        <f t="shared" si="64"/>
        <v>2</v>
      </c>
      <c r="R667">
        <f t="shared" si="65"/>
        <v>3</v>
      </c>
    </row>
    <row r="668" spans="1:18" x14ac:dyDescent="0.25">
      <c r="A668">
        <f>Raw_data!A668</f>
        <v>667</v>
      </c>
      <c r="B668" t="str">
        <f>Raw_data!B668</f>
        <v>C8730</v>
      </c>
      <c r="C668" t="str">
        <f>Raw_data!C668</f>
        <v>R2976</v>
      </c>
      <c r="D668" s="3">
        <f>Raw_data!D668</f>
        <v>45296.665300925924</v>
      </c>
      <c r="E668" s="3">
        <f>Raw_data!E668</f>
        <v>45296.704884259256</v>
      </c>
      <c r="F668" s="4">
        <f t="shared" si="60"/>
        <v>3.9583333331393078E-2</v>
      </c>
      <c r="G668" s="6">
        <f>Raw_data!F668</f>
        <v>729</v>
      </c>
      <c r="H668" s="6">
        <f>Raw_data!G668</f>
        <v>40</v>
      </c>
      <c r="I668" t="str">
        <f>Raw_data!H668</f>
        <v>Digital Wallet</v>
      </c>
      <c r="J668" s="7" t="str">
        <f>IF(Raw_data!I668=0.1,"10%",Raw_data!I668)</f>
        <v>15% New User</v>
      </c>
      <c r="K668" s="6">
        <f>Raw_data!J668</f>
        <v>178</v>
      </c>
      <c r="L668" s="6">
        <f>Raw_data!K668</f>
        <v>32</v>
      </c>
      <c r="M668" s="6">
        <f>Raw_data!L668</f>
        <v>0</v>
      </c>
      <c r="N668" s="6">
        <f t="shared" si="61"/>
        <v>519</v>
      </c>
      <c r="O668" s="6">
        <f t="shared" si="62"/>
        <v>210</v>
      </c>
      <c r="P668" s="6">
        <f t="shared" si="63"/>
        <v>769</v>
      </c>
      <c r="Q668">
        <f t="shared" si="64"/>
        <v>1</v>
      </c>
      <c r="R668">
        <f t="shared" si="65"/>
        <v>1</v>
      </c>
    </row>
    <row r="669" spans="1:18" x14ac:dyDescent="0.25">
      <c r="A669">
        <f>Raw_data!A669</f>
        <v>668</v>
      </c>
      <c r="B669" t="str">
        <f>Raw_data!B669</f>
        <v>C3180</v>
      </c>
      <c r="C669" t="str">
        <f>Raw_data!C669</f>
        <v>R2098</v>
      </c>
      <c r="D669" s="3">
        <f>Raw_data!D669</f>
        <v>45294.327997685185</v>
      </c>
      <c r="E669" s="3">
        <f>Raw_data!E669</f>
        <v>45294.379386574074</v>
      </c>
      <c r="F669" s="4">
        <f t="shared" si="60"/>
        <v>5.1388888889050577E-2</v>
      </c>
      <c r="G669" s="6">
        <f>Raw_data!F669</f>
        <v>1101</v>
      </c>
      <c r="H669" s="6">
        <f>Raw_data!G669</f>
        <v>30</v>
      </c>
      <c r="I669" t="str">
        <f>Raw_data!H669</f>
        <v>Credit Card</v>
      </c>
      <c r="J669" s="7" t="str">
        <f>IF(Raw_data!I669=0.1,"10%",Raw_data!I669)</f>
        <v>None</v>
      </c>
      <c r="K669" s="6">
        <f>Raw_data!J669</f>
        <v>164</v>
      </c>
      <c r="L669" s="6">
        <f>Raw_data!K669</f>
        <v>27</v>
      </c>
      <c r="M669" s="6">
        <f>Raw_data!L669</f>
        <v>0</v>
      </c>
      <c r="N669" s="6">
        <f t="shared" si="61"/>
        <v>910</v>
      </c>
      <c r="O669" s="6">
        <f t="shared" si="62"/>
        <v>191</v>
      </c>
      <c r="P669" s="6">
        <f t="shared" si="63"/>
        <v>1131</v>
      </c>
      <c r="Q669">
        <f t="shared" si="64"/>
        <v>1</v>
      </c>
      <c r="R669">
        <f t="shared" si="65"/>
        <v>2</v>
      </c>
    </row>
    <row r="670" spans="1:18" x14ac:dyDescent="0.25">
      <c r="A670">
        <f>Raw_data!A670</f>
        <v>669</v>
      </c>
      <c r="B670" t="str">
        <f>Raw_data!B670</f>
        <v>C5892</v>
      </c>
      <c r="C670" t="str">
        <f>Raw_data!C670</f>
        <v>R2396</v>
      </c>
      <c r="D670" s="3">
        <f>Raw_data!D670</f>
        <v>45303.903865740744</v>
      </c>
      <c r="E670" s="3">
        <f>Raw_data!E670</f>
        <v>45303.974699074075</v>
      </c>
      <c r="F670" s="4">
        <f t="shared" si="60"/>
        <v>7.0833333331393078E-2</v>
      </c>
      <c r="G670" s="6">
        <f>Raw_data!F670</f>
        <v>1196</v>
      </c>
      <c r="H670" s="6">
        <f>Raw_data!G670</f>
        <v>0</v>
      </c>
      <c r="I670" t="str">
        <f>Raw_data!H670</f>
        <v>Digital Wallet</v>
      </c>
      <c r="J670" s="7" t="str">
        <f>IF(Raw_data!I670=0.1,"10%",Raw_data!I670)</f>
        <v>5% on App</v>
      </c>
      <c r="K670" s="6">
        <f>Raw_data!J670</f>
        <v>86</v>
      </c>
      <c r="L670" s="6">
        <f>Raw_data!K670</f>
        <v>40</v>
      </c>
      <c r="M670" s="6">
        <f>Raw_data!L670</f>
        <v>0</v>
      </c>
      <c r="N670" s="6">
        <f t="shared" si="61"/>
        <v>1070</v>
      </c>
      <c r="O670" s="6">
        <f t="shared" si="62"/>
        <v>126</v>
      </c>
      <c r="P670" s="6">
        <f t="shared" si="63"/>
        <v>1196</v>
      </c>
      <c r="Q670">
        <f t="shared" si="64"/>
        <v>1</v>
      </c>
      <c r="R670">
        <f t="shared" si="65"/>
        <v>2</v>
      </c>
    </row>
    <row r="671" spans="1:18" x14ac:dyDescent="0.25">
      <c r="A671">
        <f>Raw_data!A671</f>
        <v>670</v>
      </c>
      <c r="B671" t="str">
        <f>Raw_data!B671</f>
        <v>C8043</v>
      </c>
      <c r="C671" t="str">
        <f>Raw_data!C671</f>
        <v>R2488</v>
      </c>
      <c r="D671" s="3">
        <f>Raw_data!D671</f>
        <v>45303.820810185185</v>
      </c>
      <c r="E671" s="3">
        <f>Raw_data!E671</f>
        <v>45303.902754629627</v>
      </c>
      <c r="F671" s="4">
        <f t="shared" si="60"/>
        <v>8.1944444442342501E-2</v>
      </c>
      <c r="G671" s="6">
        <f>Raw_data!F671</f>
        <v>1405</v>
      </c>
      <c r="H671" s="6">
        <f>Raw_data!G671</f>
        <v>30</v>
      </c>
      <c r="I671" t="str">
        <f>Raw_data!H671</f>
        <v>Digital Wallet</v>
      </c>
      <c r="J671" s="7" t="str">
        <f>IF(Raw_data!I671=0.1,"10%",Raw_data!I671)</f>
        <v>10%</v>
      </c>
      <c r="K671" s="6">
        <f>Raw_data!J671</f>
        <v>174</v>
      </c>
      <c r="L671" s="6">
        <f>Raw_data!K671</f>
        <v>21</v>
      </c>
      <c r="M671" s="6">
        <f>Raw_data!L671</f>
        <v>0</v>
      </c>
      <c r="N671" s="6">
        <f t="shared" si="61"/>
        <v>1210</v>
      </c>
      <c r="O671" s="6">
        <f t="shared" si="62"/>
        <v>195</v>
      </c>
      <c r="P671" s="6">
        <f t="shared" si="63"/>
        <v>1435</v>
      </c>
      <c r="Q671">
        <f t="shared" si="64"/>
        <v>1</v>
      </c>
      <c r="R671">
        <f t="shared" si="65"/>
        <v>2</v>
      </c>
    </row>
    <row r="672" spans="1:18" x14ac:dyDescent="0.25">
      <c r="A672">
        <f>Raw_data!A672</f>
        <v>671</v>
      </c>
      <c r="B672" t="str">
        <f>Raw_data!B672</f>
        <v>C1137</v>
      </c>
      <c r="C672" t="str">
        <f>Raw_data!C672</f>
        <v>R2038</v>
      </c>
      <c r="D672" s="3">
        <f>Raw_data!D672</f>
        <v>45323.792430555557</v>
      </c>
      <c r="E672" s="3">
        <f>Raw_data!E672</f>
        <v>45323.868125000001</v>
      </c>
      <c r="F672" s="4">
        <f t="shared" si="60"/>
        <v>7.5694444443797693E-2</v>
      </c>
      <c r="G672" s="6">
        <f>Raw_data!F672</f>
        <v>1015</v>
      </c>
      <c r="H672" s="6">
        <f>Raw_data!G672</f>
        <v>40</v>
      </c>
      <c r="I672" t="str">
        <f>Raw_data!H672</f>
        <v>Cash on Delivery</v>
      </c>
      <c r="J672" s="7" t="str">
        <f>IF(Raw_data!I672=0.1,"10%",Raw_data!I672)</f>
        <v>None</v>
      </c>
      <c r="K672" s="6">
        <f>Raw_data!J672</f>
        <v>130</v>
      </c>
      <c r="L672" s="6">
        <f>Raw_data!K672</f>
        <v>10</v>
      </c>
      <c r="M672" s="6">
        <f>Raw_data!L672</f>
        <v>0</v>
      </c>
      <c r="N672" s="6">
        <f t="shared" si="61"/>
        <v>875</v>
      </c>
      <c r="O672" s="6">
        <f t="shared" si="62"/>
        <v>140</v>
      </c>
      <c r="P672" s="6">
        <f t="shared" si="63"/>
        <v>1055</v>
      </c>
      <c r="Q672">
        <f t="shared" si="64"/>
        <v>1</v>
      </c>
      <c r="R672">
        <f t="shared" si="65"/>
        <v>4</v>
      </c>
    </row>
    <row r="673" spans="1:18" x14ac:dyDescent="0.25">
      <c r="A673">
        <f>Raw_data!A673</f>
        <v>672</v>
      </c>
      <c r="B673" t="str">
        <f>Raw_data!B673</f>
        <v>C7327</v>
      </c>
      <c r="C673" t="str">
        <f>Raw_data!C673</f>
        <v>R2270</v>
      </c>
      <c r="D673" s="3">
        <f>Raw_data!D673</f>
        <v>45323.081793981481</v>
      </c>
      <c r="E673" s="3">
        <f>Raw_data!E673</f>
        <v>45323.153321759259</v>
      </c>
      <c r="F673" s="4">
        <f t="shared" si="60"/>
        <v>7.1527777778101154E-2</v>
      </c>
      <c r="G673" s="6">
        <f>Raw_data!F673</f>
        <v>1483</v>
      </c>
      <c r="H673" s="6">
        <f>Raw_data!G673</f>
        <v>30</v>
      </c>
      <c r="I673" t="str">
        <f>Raw_data!H673</f>
        <v>Credit Card</v>
      </c>
      <c r="J673" s="7" t="str">
        <f>IF(Raw_data!I673=0.1,"10%",Raw_data!I673)</f>
        <v>50 off Promo</v>
      </c>
      <c r="K673" s="6">
        <f>Raw_data!J673</f>
        <v>111</v>
      </c>
      <c r="L673" s="6">
        <f>Raw_data!K673</f>
        <v>18</v>
      </c>
      <c r="M673" s="6">
        <f>Raw_data!L673</f>
        <v>0</v>
      </c>
      <c r="N673" s="6">
        <f t="shared" si="61"/>
        <v>1354</v>
      </c>
      <c r="O673" s="6">
        <f t="shared" si="62"/>
        <v>129</v>
      </c>
      <c r="P673" s="6">
        <f t="shared" si="63"/>
        <v>1513</v>
      </c>
      <c r="Q673">
        <f t="shared" si="64"/>
        <v>1</v>
      </c>
      <c r="R673">
        <f t="shared" si="65"/>
        <v>2</v>
      </c>
    </row>
    <row r="674" spans="1:18" x14ac:dyDescent="0.25">
      <c r="A674">
        <f>Raw_data!A674</f>
        <v>673</v>
      </c>
      <c r="B674" t="str">
        <f>Raw_data!B674</f>
        <v>C4472</v>
      </c>
      <c r="C674" t="str">
        <f>Raw_data!C674</f>
        <v>R2886</v>
      </c>
      <c r="D674" s="3">
        <f>Raw_data!D674</f>
        <v>45309.357615740744</v>
      </c>
      <c r="E674" s="3">
        <f>Raw_data!E674</f>
        <v>45309.385393518518</v>
      </c>
      <c r="F674" s="4">
        <f t="shared" si="60"/>
        <v>2.7777777773735579E-2</v>
      </c>
      <c r="G674" s="6">
        <f>Raw_data!F674</f>
        <v>1133</v>
      </c>
      <c r="H674" s="6">
        <f>Raw_data!G674</f>
        <v>40</v>
      </c>
      <c r="I674" t="str">
        <f>Raw_data!H674</f>
        <v>Digital Wallet</v>
      </c>
      <c r="J674" s="7" t="str">
        <f>IF(Raw_data!I674=0.1,"10%",Raw_data!I674)</f>
        <v>10%</v>
      </c>
      <c r="K674" s="6">
        <f>Raw_data!J674</f>
        <v>121</v>
      </c>
      <c r="L674" s="6">
        <f>Raw_data!K674</f>
        <v>12</v>
      </c>
      <c r="M674" s="6">
        <f>Raw_data!L674</f>
        <v>0</v>
      </c>
      <c r="N674" s="6">
        <f t="shared" si="61"/>
        <v>1000</v>
      </c>
      <c r="O674" s="6">
        <f t="shared" si="62"/>
        <v>133</v>
      </c>
      <c r="P674" s="6">
        <f t="shared" si="63"/>
        <v>1173</v>
      </c>
      <c r="Q674">
        <f t="shared" si="64"/>
        <v>1</v>
      </c>
      <c r="R674">
        <f t="shared" si="65"/>
        <v>2</v>
      </c>
    </row>
    <row r="675" spans="1:18" x14ac:dyDescent="0.25">
      <c r="A675">
        <f>Raw_data!A675</f>
        <v>674</v>
      </c>
      <c r="B675" t="str">
        <f>Raw_data!B675</f>
        <v>C6449</v>
      </c>
      <c r="C675" t="str">
        <f>Raw_data!C675</f>
        <v>R2796</v>
      </c>
      <c r="D675" s="3">
        <f>Raw_data!D675</f>
        <v>45305.979004629633</v>
      </c>
      <c r="E675" s="3">
        <f>Raw_data!E675</f>
        <v>45306.020671296297</v>
      </c>
      <c r="F675" s="4">
        <f t="shared" si="60"/>
        <v>4.1666666664241347E-2</v>
      </c>
      <c r="G675" s="6">
        <f>Raw_data!F675</f>
        <v>1334</v>
      </c>
      <c r="H675" s="6">
        <f>Raw_data!G675</f>
        <v>50</v>
      </c>
      <c r="I675" t="str">
        <f>Raw_data!H675</f>
        <v>Digital Wallet</v>
      </c>
      <c r="J675" s="7" t="str">
        <f>IF(Raw_data!I675=0.1,"10%",Raw_data!I675)</f>
        <v>15% New User</v>
      </c>
      <c r="K675" s="6">
        <f>Raw_data!J675</f>
        <v>174</v>
      </c>
      <c r="L675" s="6">
        <f>Raw_data!K675</f>
        <v>35</v>
      </c>
      <c r="M675" s="6">
        <f>Raw_data!L675</f>
        <v>0</v>
      </c>
      <c r="N675" s="6">
        <f t="shared" si="61"/>
        <v>1125</v>
      </c>
      <c r="O675" s="6">
        <f t="shared" si="62"/>
        <v>209</v>
      </c>
      <c r="P675" s="6">
        <f t="shared" si="63"/>
        <v>1384</v>
      </c>
      <c r="Q675">
        <f t="shared" si="64"/>
        <v>1</v>
      </c>
      <c r="R675">
        <f t="shared" si="65"/>
        <v>1</v>
      </c>
    </row>
    <row r="676" spans="1:18" x14ac:dyDescent="0.25">
      <c r="A676">
        <f>Raw_data!A676</f>
        <v>675</v>
      </c>
      <c r="B676" t="str">
        <f>Raw_data!B676</f>
        <v>C3832</v>
      </c>
      <c r="C676" t="str">
        <f>Raw_data!C676</f>
        <v>R2156</v>
      </c>
      <c r="D676" s="3">
        <f>Raw_data!D676</f>
        <v>45293.071770833332</v>
      </c>
      <c r="E676" s="3">
        <f>Raw_data!E676</f>
        <v>45293.100243055553</v>
      </c>
      <c r="F676" s="4">
        <f t="shared" si="60"/>
        <v>2.8472222220443655E-2</v>
      </c>
      <c r="G676" s="6">
        <f>Raw_data!F676</f>
        <v>1958</v>
      </c>
      <c r="H676" s="6">
        <f>Raw_data!G676</f>
        <v>0</v>
      </c>
      <c r="I676" t="str">
        <f>Raw_data!H676</f>
        <v>Credit Card</v>
      </c>
      <c r="J676" s="7" t="str">
        <f>IF(Raw_data!I676=0.1,"10%",Raw_data!I676)</f>
        <v>10%</v>
      </c>
      <c r="K676" s="6">
        <f>Raw_data!J676</f>
        <v>115</v>
      </c>
      <c r="L676" s="6">
        <f>Raw_data!K676</f>
        <v>18</v>
      </c>
      <c r="M676" s="6">
        <f>Raw_data!L676</f>
        <v>100</v>
      </c>
      <c r="N676" s="6">
        <f t="shared" si="61"/>
        <v>1825</v>
      </c>
      <c r="O676" s="6">
        <f t="shared" si="62"/>
        <v>33</v>
      </c>
      <c r="P676" s="6">
        <f t="shared" si="63"/>
        <v>1958</v>
      </c>
      <c r="Q676">
        <f t="shared" si="64"/>
        <v>2</v>
      </c>
      <c r="R676">
        <f t="shared" si="65"/>
        <v>1</v>
      </c>
    </row>
    <row r="677" spans="1:18" x14ac:dyDescent="0.25">
      <c r="A677">
        <f>Raw_data!A677</f>
        <v>676</v>
      </c>
      <c r="B677" t="str">
        <f>Raw_data!B677</f>
        <v>C4579</v>
      </c>
      <c r="C677" t="str">
        <f>Raw_data!C677</f>
        <v>R2074</v>
      </c>
      <c r="D677" s="3">
        <f>Raw_data!D677</f>
        <v>45328.755601851852</v>
      </c>
      <c r="E677" s="3">
        <f>Raw_data!E677</f>
        <v>45328.829907407409</v>
      </c>
      <c r="F677" s="4">
        <f t="shared" si="60"/>
        <v>7.4305555557657499E-2</v>
      </c>
      <c r="G677" s="6">
        <f>Raw_data!F677</f>
        <v>251</v>
      </c>
      <c r="H677" s="6">
        <f>Raw_data!G677</f>
        <v>50</v>
      </c>
      <c r="I677" t="str">
        <f>Raw_data!H677</f>
        <v>Cash on Delivery</v>
      </c>
      <c r="J677" s="7" t="str">
        <f>IF(Raw_data!I677=0.1,"10%",Raw_data!I677)</f>
        <v>10%</v>
      </c>
      <c r="K677" s="6">
        <f>Raw_data!J677</f>
        <v>79</v>
      </c>
      <c r="L677" s="6">
        <f>Raw_data!K677</f>
        <v>25</v>
      </c>
      <c r="M677" s="6">
        <f>Raw_data!L677</f>
        <v>0</v>
      </c>
      <c r="N677" s="6">
        <f t="shared" si="61"/>
        <v>147</v>
      </c>
      <c r="O677" s="6">
        <f t="shared" si="62"/>
        <v>104</v>
      </c>
      <c r="P677" s="6">
        <f t="shared" si="63"/>
        <v>301</v>
      </c>
      <c r="Q677">
        <f t="shared" si="64"/>
        <v>1</v>
      </c>
      <c r="R677">
        <f t="shared" si="65"/>
        <v>2</v>
      </c>
    </row>
    <row r="678" spans="1:18" x14ac:dyDescent="0.25">
      <c r="A678">
        <f>Raw_data!A678</f>
        <v>677</v>
      </c>
      <c r="B678" t="str">
        <f>Raw_data!B678</f>
        <v>C6971</v>
      </c>
      <c r="C678" t="str">
        <f>Raw_data!C678</f>
        <v>R2883</v>
      </c>
      <c r="D678" s="3">
        <f>Raw_data!D678</f>
        <v>45299.281076388892</v>
      </c>
      <c r="E678" s="3">
        <f>Raw_data!E678</f>
        <v>45299.336631944447</v>
      </c>
      <c r="F678" s="4">
        <f t="shared" si="60"/>
        <v>5.5555555554747116E-2</v>
      </c>
      <c r="G678" s="6">
        <f>Raw_data!F678</f>
        <v>1128</v>
      </c>
      <c r="H678" s="6">
        <f>Raw_data!G678</f>
        <v>20</v>
      </c>
      <c r="I678" t="str">
        <f>Raw_data!H678</f>
        <v>Credit Card</v>
      </c>
      <c r="J678" s="7" t="str">
        <f>IF(Raw_data!I678=0.1,"10%",Raw_data!I678)</f>
        <v>15% New User</v>
      </c>
      <c r="K678" s="6">
        <f>Raw_data!J678</f>
        <v>69</v>
      </c>
      <c r="L678" s="6">
        <f>Raw_data!K678</f>
        <v>33</v>
      </c>
      <c r="M678" s="6">
        <f>Raw_data!L678</f>
        <v>0</v>
      </c>
      <c r="N678" s="6">
        <f t="shared" si="61"/>
        <v>1026</v>
      </c>
      <c r="O678" s="6">
        <f t="shared" si="62"/>
        <v>102</v>
      </c>
      <c r="P678" s="6">
        <f t="shared" si="63"/>
        <v>1148</v>
      </c>
      <c r="Q678">
        <f t="shared" si="64"/>
        <v>1</v>
      </c>
      <c r="R678">
        <f t="shared" si="65"/>
        <v>1</v>
      </c>
    </row>
    <row r="679" spans="1:18" x14ac:dyDescent="0.25">
      <c r="A679">
        <f>Raw_data!A679</f>
        <v>678</v>
      </c>
      <c r="B679" t="str">
        <f>Raw_data!B679</f>
        <v>C5164</v>
      </c>
      <c r="C679" t="str">
        <f>Raw_data!C679</f>
        <v>R2799</v>
      </c>
      <c r="D679" s="3">
        <f>Raw_data!D679</f>
        <v>45314.684317129628</v>
      </c>
      <c r="E679" s="3">
        <f>Raw_data!E679</f>
        <v>45314.735011574077</v>
      </c>
      <c r="F679" s="4">
        <f t="shared" si="60"/>
        <v>5.0694444449618459E-2</v>
      </c>
      <c r="G679" s="6">
        <f>Raw_data!F679</f>
        <v>1318</v>
      </c>
      <c r="H679" s="6">
        <f>Raw_data!G679</f>
        <v>30</v>
      </c>
      <c r="I679" t="str">
        <f>Raw_data!H679</f>
        <v>Cash on Delivery</v>
      </c>
      <c r="J679" s="7" t="str">
        <f>IF(Raw_data!I679=0.1,"10%",Raw_data!I679)</f>
        <v>15% New User</v>
      </c>
      <c r="K679" s="6">
        <f>Raw_data!J679</f>
        <v>131</v>
      </c>
      <c r="L679" s="6">
        <f>Raw_data!K679</f>
        <v>23</v>
      </c>
      <c r="M679" s="6">
        <f>Raw_data!L679</f>
        <v>0</v>
      </c>
      <c r="N679" s="6">
        <f t="shared" si="61"/>
        <v>1164</v>
      </c>
      <c r="O679" s="6">
        <f t="shared" si="62"/>
        <v>154</v>
      </c>
      <c r="P679" s="6">
        <f t="shared" si="63"/>
        <v>1348</v>
      </c>
      <c r="Q679">
        <f t="shared" si="64"/>
        <v>1</v>
      </c>
      <c r="R679">
        <f t="shared" si="65"/>
        <v>3</v>
      </c>
    </row>
    <row r="680" spans="1:18" x14ac:dyDescent="0.25">
      <c r="A680">
        <f>Raw_data!A680</f>
        <v>679</v>
      </c>
      <c r="B680" t="str">
        <f>Raw_data!B680</f>
        <v>C8941</v>
      </c>
      <c r="C680" t="str">
        <f>Raw_data!C680</f>
        <v>R2129</v>
      </c>
      <c r="D680" s="3">
        <f>Raw_data!D680</f>
        <v>45326.836655092593</v>
      </c>
      <c r="E680" s="3">
        <f>Raw_data!E680</f>
        <v>45326.891516203701</v>
      </c>
      <c r="F680" s="4">
        <f t="shared" si="60"/>
        <v>5.486111110803904E-2</v>
      </c>
      <c r="G680" s="6">
        <f>Raw_data!F680</f>
        <v>1406</v>
      </c>
      <c r="H680" s="6">
        <f>Raw_data!G680</f>
        <v>20</v>
      </c>
      <c r="I680" t="str">
        <f>Raw_data!H680</f>
        <v>Credit Card</v>
      </c>
      <c r="J680" s="7" t="str">
        <f>IF(Raw_data!I680=0.1,"10%",Raw_data!I680)</f>
        <v>10%</v>
      </c>
      <c r="K680" s="6">
        <f>Raw_data!J680</f>
        <v>156</v>
      </c>
      <c r="L680" s="6">
        <f>Raw_data!K680</f>
        <v>12</v>
      </c>
      <c r="M680" s="6">
        <f>Raw_data!L680</f>
        <v>100</v>
      </c>
      <c r="N680" s="6">
        <f t="shared" si="61"/>
        <v>1238</v>
      </c>
      <c r="O680" s="6">
        <f t="shared" si="62"/>
        <v>68</v>
      </c>
      <c r="P680" s="6">
        <f t="shared" si="63"/>
        <v>1426</v>
      </c>
      <c r="Q680">
        <f t="shared" si="64"/>
        <v>1</v>
      </c>
      <c r="R680">
        <f t="shared" si="65"/>
        <v>3</v>
      </c>
    </row>
    <row r="681" spans="1:18" x14ac:dyDescent="0.25">
      <c r="A681">
        <f>Raw_data!A681</f>
        <v>680</v>
      </c>
      <c r="B681" t="str">
        <f>Raw_data!B681</f>
        <v>C6569</v>
      </c>
      <c r="C681" t="str">
        <f>Raw_data!C681</f>
        <v>R2686</v>
      </c>
      <c r="D681" s="3">
        <f>Raw_data!D681</f>
        <v>45309.570451388892</v>
      </c>
      <c r="E681" s="3">
        <f>Raw_data!E681</f>
        <v>45309.602395833332</v>
      </c>
      <c r="F681" s="4">
        <f t="shared" si="60"/>
        <v>3.1944444439432118E-2</v>
      </c>
      <c r="G681" s="6">
        <f>Raw_data!F681</f>
        <v>563</v>
      </c>
      <c r="H681" s="6">
        <f>Raw_data!G681</f>
        <v>30</v>
      </c>
      <c r="I681" t="str">
        <f>Raw_data!H681</f>
        <v>Credit Card</v>
      </c>
      <c r="J681" s="7" t="str">
        <f>IF(Raw_data!I681=0.1,"10%",Raw_data!I681)</f>
        <v>15% New User</v>
      </c>
      <c r="K681" s="6">
        <f>Raw_data!J681</f>
        <v>181</v>
      </c>
      <c r="L681" s="6">
        <f>Raw_data!K681</f>
        <v>43</v>
      </c>
      <c r="M681" s="6">
        <f>Raw_data!L681</f>
        <v>0</v>
      </c>
      <c r="N681" s="6">
        <f t="shared" si="61"/>
        <v>339</v>
      </c>
      <c r="O681" s="6">
        <f t="shared" si="62"/>
        <v>224</v>
      </c>
      <c r="P681" s="6">
        <f t="shared" si="63"/>
        <v>593</v>
      </c>
      <c r="Q681">
        <f t="shared" si="64"/>
        <v>1</v>
      </c>
      <c r="R681">
        <f t="shared" si="65"/>
        <v>2</v>
      </c>
    </row>
    <row r="682" spans="1:18" x14ac:dyDescent="0.25">
      <c r="A682">
        <f>Raw_data!A682</f>
        <v>681</v>
      </c>
      <c r="B682" t="str">
        <f>Raw_data!B682</f>
        <v>C5300</v>
      </c>
      <c r="C682" t="str">
        <f>Raw_data!C682</f>
        <v>R2973</v>
      </c>
      <c r="D682" s="3">
        <f>Raw_data!D682</f>
        <v>45311.784432870372</v>
      </c>
      <c r="E682" s="3">
        <f>Raw_data!E682</f>
        <v>45311.828877314816</v>
      </c>
      <c r="F682" s="4">
        <f t="shared" si="60"/>
        <v>4.4444444443797693E-2</v>
      </c>
      <c r="G682" s="6">
        <f>Raw_data!F682</f>
        <v>1236</v>
      </c>
      <c r="H682" s="6">
        <f>Raw_data!G682</f>
        <v>50</v>
      </c>
      <c r="I682" t="str">
        <f>Raw_data!H682</f>
        <v>Credit Card</v>
      </c>
      <c r="J682" s="7" t="str">
        <f>IF(Raw_data!I682=0.1,"10%",Raw_data!I682)</f>
        <v>None</v>
      </c>
      <c r="K682" s="6">
        <f>Raw_data!J682</f>
        <v>86</v>
      </c>
      <c r="L682" s="6">
        <f>Raw_data!K682</f>
        <v>42</v>
      </c>
      <c r="M682" s="6">
        <f>Raw_data!L682</f>
        <v>0</v>
      </c>
      <c r="N682" s="6">
        <f t="shared" si="61"/>
        <v>1108</v>
      </c>
      <c r="O682" s="6">
        <f t="shared" si="62"/>
        <v>128</v>
      </c>
      <c r="P682" s="6">
        <f t="shared" si="63"/>
        <v>1286</v>
      </c>
      <c r="Q682">
        <f t="shared" si="64"/>
        <v>1</v>
      </c>
      <c r="R682">
        <f t="shared" si="65"/>
        <v>1</v>
      </c>
    </row>
    <row r="683" spans="1:18" x14ac:dyDescent="0.25">
      <c r="A683">
        <f>Raw_data!A683</f>
        <v>682</v>
      </c>
      <c r="B683" t="str">
        <f>Raw_data!B683</f>
        <v>C7269</v>
      </c>
      <c r="C683" t="str">
        <f>Raw_data!C683</f>
        <v>R2083</v>
      </c>
      <c r="D683" s="3">
        <f>Raw_data!D683</f>
        <v>45315.30232638889</v>
      </c>
      <c r="E683" s="3">
        <f>Raw_data!E683</f>
        <v>45315.323159722226</v>
      </c>
      <c r="F683" s="4">
        <f t="shared" si="60"/>
        <v>2.0833333335758653E-2</v>
      </c>
      <c r="G683" s="6">
        <f>Raw_data!F683</f>
        <v>370</v>
      </c>
      <c r="H683" s="6">
        <f>Raw_data!G683</f>
        <v>40</v>
      </c>
      <c r="I683" t="str">
        <f>Raw_data!H683</f>
        <v>Credit Card</v>
      </c>
      <c r="J683" s="7" t="str">
        <f>IF(Raw_data!I683=0.1,"10%",Raw_data!I683)</f>
        <v>15% New User</v>
      </c>
      <c r="K683" s="6">
        <f>Raw_data!J683</f>
        <v>181</v>
      </c>
      <c r="L683" s="6">
        <f>Raw_data!K683</f>
        <v>33</v>
      </c>
      <c r="M683" s="6">
        <f>Raw_data!L683</f>
        <v>0</v>
      </c>
      <c r="N683" s="6">
        <f t="shared" si="61"/>
        <v>156</v>
      </c>
      <c r="O683" s="6">
        <f t="shared" si="62"/>
        <v>214</v>
      </c>
      <c r="P683" s="6">
        <f t="shared" si="63"/>
        <v>410</v>
      </c>
      <c r="Q683">
        <f t="shared" si="64"/>
        <v>1</v>
      </c>
      <c r="R683">
        <f t="shared" si="65"/>
        <v>5</v>
      </c>
    </row>
    <row r="684" spans="1:18" x14ac:dyDescent="0.25">
      <c r="A684">
        <f>Raw_data!A684</f>
        <v>683</v>
      </c>
      <c r="B684" t="str">
        <f>Raw_data!B684</f>
        <v>C4818</v>
      </c>
      <c r="C684" t="str">
        <f>Raw_data!C684</f>
        <v>R2021</v>
      </c>
      <c r="D684" s="3">
        <f>Raw_data!D684</f>
        <v>45313.730798611112</v>
      </c>
      <c r="E684" s="3">
        <f>Raw_data!E684</f>
        <v>45313.77107638889</v>
      </c>
      <c r="F684" s="4">
        <f t="shared" si="60"/>
        <v>4.0277777778101154E-2</v>
      </c>
      <c r="G684" s="6">
        <f>Raw_data!F684</f>
        <v>1286</v>
      </c>
      <c r="H684" s="6">
        <f>Raw_data!G684</f>
        <v>40</v>
      </c>
      <c r="I684" t="str">
        <f>Raw_data!H684</f>
        <v>Cash on Delivery</v>
      </c>
      <c r="J684" s="7" t="str">
        <f>IF(Raw_data!I684=0.1,"10%",Raw_data!I684)</f>
        <v>15% New User</v>
      </c>
      <c r="K684" s="6">
        <f>Raw_data!J684</f>
        <v>126</v>
      </c>
      <c r="L684" s="6">
        <f>Raw_data!K684</f>
        <v>18</v>
      </c>
      <c r="M684" s="6">
        <f>Raw_data!L684</f>
        <v>0</v>
      </c>
      <c r="N684" s="6">
        <f t="shared" si="61"/>
        <v>1142</v>
      </c>
      <c r="O684" s="6">
        <f t="shared" si="62"/>
        <v>144</v>
      </c>
      <c r="P684" s="6">
        <f t="shared" si="63"/>
        <v>1326</v>
      </c>
      <c r="Q684">
        <f t="shared" si="64"/>
        <v>1</v>
      </c>
      <c r="R684">
        <f t="shared" si="65"/>
        <v>3</v>
      </c>
    </row>
    <row r="685" spans="1:18" x14ac:dyDescent="0.25">
      <c r="A685">
        <f>Raw_data!A685</f>
        <v>684</v>
      </c>
      <c r="B685" t="str">
        <f>Raw_data!B685</f>
        <v>C2906</v>
      </c>
      <c r="C685" t="str">
        <f>Raw_data!C685</f>
        <v>R2458</v>
      </c>
      <c r="D685" s="3">
        <f>Raw_data!D685</f>
        <v>45321.150902777779</v>
      </c>
      <c r="E685" s="3">
        <f>Raw_data!E685</f>
        <v>45321.206458333334</v>
      </c>
      <c r="F685" s="4">
        <f t="shared" si="60"/>
        <v>5.5555555554747116E-2</v>
      </c>
      <c r="G685" s="6">
        <f>Raw_data!F685</f>
        <v>559</v>
      </c>
      <c r="H685" s="6">
        <f>Raw_data!G685</f>
        <v>30</v>
      </c>
      <c r="I685" t="str">
        <f>Raw_data!H685</f>
        <v>Cash on Delivery</v>
      </c>
      <c r="J685" s="7" t="str">
        <f>IF(Raw_data!I685=0.1,"10%",Raw_data!I685)</f>
        <v>10%</v>
      </c>
      <c r="K685" s="6">
        <f>Raw_data!J685</f>
        <v>138</v>
      </c>
      <c r="L685" s="6">
        <f>Raw_data!K685</f>
        <v>22</v>
      </c>
      <c r="M685" s="6">
        <f>Raw_data!L685</f>
        <v>50</v>
      </c>
      <c r="N685" s="6">
        <f t="shared" si="61"/>
        <v>399</v>
      </c>
      <c r="O685" s="6">
        <f t="shared" si="62"/>
        <v>110</v>
      </c>
      <c r="P685" s="6">
        <f t="shared" si="63"/>
        <v>589</v>
      </c>
      <c r="Q685">
        <f t="shared" si="64"/>
        <v>2</v>
      </c>
      <c r="R685">
        <f t="shared" si="65"/>
        <v>3</v>
      </c>
    </row>
    <row r="686" spans="1:18" x14ac:dyDescent="0.25">
      <c r="A686">
        <f>Raw_data!A686</f>
        <v>685</v>
      </c>
      <c r="B686" t="str">
        <f>Raw_data!B686</f>
        <v>C7254</v>
      </c>
      <c r="C686" t="str">
        <f>Raw_data!C686</f>
        <v>R2538</v>
      </c>
      <c r="D686" s="3">
        <f>Raw_data!D686</f>
        <v>45298.980358796296</v>
      </c>
      <c r="E686" s="3">
        <f>Raw_data!E686</f>
        <v>45299.044942129629</v>
      </c>
      <c r="F686" s="4">
        <f t="shared" si="60"/>
        <v>6.4583333332848269E-2</v>
      </c>
      <c r="G686" s="6">
        <f>Raw_data!F686</f>
        <v>204</v>
      </c>
      <c r="H686" s="6">
        <f>Raw_data!G686</f>
        <v>40</v>
      </c>
      <c r="I686" t="str">
        <f>Raw_data!H686</f>
        <v>Digital Wallet</v>
      </c>
      <c r="J686" s="7" t="str">
        <f>IF(Raw_data!I686=0.1,"10%",Raw_data!I686)</f>
        <v>None</v>
      </c>
      <c r="K686" s="6">
        <f>Raw_data!J686</f>
        <v>195</v>
      </c>
      <c r="L686" s="6">
        <f>Raw_data!K686</f>
        <v>11</v>
      </c>
      <c r="M686" s="6">
        <f>Raw_data!L686</f>
        <v>0</v>
      </c>
      <c r="N686" s="6">
        <f t="shared" si="61"/>
        <v>-2</v>
      </c>
      <c r="O686" s="6">
        <f t="shared" si="62"/>
        <v>206</v>
      </c>
      <c r="P686" s="6">
        <f t="shared" si="63"/>
        <v>244</v>
      </c>
      <c r="Q686">
        <f t="shared" si="64"/>
        <v>1</v>
      </c>
      <c r="R686">
        <f t="shared" si="65"/>
        <v>2</v>
      </c>
    </row>
    <row r="687" spans="1:18" x14ac:dyDescent="0.25">
      <c r="A687">
        <f>Raw_data!A687</f>
        <v>686</v>
      </c>
      <c r="B687" t="str">
        <f>Raw_data!B687</f>
        <v>C1760</v>
      </c>
      <c r="C687" t="str">
        <f>Raw_data!C687</f>
        <v>R2706</v>
      </c>
      <c r="D687" s="3">
        <f>Raw_data!D687</f>
        <v>45292.454618055555</v>
      </c>
      <c r="E687" s="3">
        <f>Raw_data!E687</f>
        <v>45292.477534722224</v>
      </c>
      <c r="F687" s="4">
        <f t="shared" si="60"/>
        <v>2.2916666668606922E-2</v>
      </c>
      <c r="G687" s="6">
        <f>Raw_data!F687</f>
        <v>1816</v>
      </c>
      <c r="H687" s="6">
        <f>Raw_data!G687</f>
        <v>50</v>
      </c>
      <c r="I687" t="str">
        <f>Raw_data!H687</f>
        <v>Credit Card</v>
      </c>
      <c r="J687" s="7" t="str">
        <f>IF(Raw_data!I687=0.1,"10%",Raw_data!I687)</f>
        <v>5% on App</v>
      </c>
      <c r="K687" s="6">
        <f>Raw_data!J687</f>
        <v>137</v>
      </c>
      <c r="L687" s="6">
        <f>Raw_data!K687</f>
        <v>16</v>
      </c>
      <c r="M687" s="6">
        <f>Raw_data!L687</f>
        <v>0</v>
      </c>
      <c r="N687" s="6">
        <f t="shared" si="61"/>
        <v>1663</v>
      </c>
      <c r="O687" s="6">
        <f t="shared" si="62"/>
        <v>153</v>
      </c>
      <c r="P687" s="6">
        <f t="shared" si="63"/>
        <v>1866</v>
      </c>
      <c r="Q687">
        <f t="shared" si="64"/>
        <v>1</v>
      </c>
      <c r="R687">
        <f t="shared" si="65"/>
        <v>2</v>
      </c>
    </row>
    <row r="688" spans="1:18" x14ac:dyDescent="0.25">
      <c r="A688">
        <f>Raw_data!A688</f>
        <v>687</v>
      </c>
      <c r="B688" t="str">
        <f>Raw_data!B688</f>
        <v>C8830</v>
      </c>
      <c r="C688" t="str">
        <f>Raw_data!C688</f>
        <v>R2848</v>
      </c>
      <c r="D688" s="3">
        <f>Raw_data!D688</f>
        <v>45296.304756944446</v>
      </c>
      <c r="E688" s="3">
        <f>Raw_data!E688</f>
        <v>45296.385312500002</v>
      </c>
      <c r="F688" s="4">
        <f t="shared" si="60"/>
        <v>8.0555555556202307E-2</v>
      </c>
      <c r="G688" s="6">
        <f>Raw_data!F688</f>
        <v>1679</v>
      </c>
      <c r="H688" s="6">
        <f>Raw_data!G688</f>
        <v>40</v>
      </c>
      <c r="I688" t="str">
        <f>Raw_data!H688</f>
        <v>Cash on Delivery</v>
      </c>
      <c r="J688" s="7" t="str">
        <f>IF(Raw_data!I688=0.1,"10%",Raw_data!I688)</f>
        <v>5% on App</v>
      </c>
      <c r="K688" s="6">
        <f>Raw_data!J688</f>
        <v>82</v>
      </c>
      <c r="L688" s="6">
        <f>Raw_data!K688</f>
        <v>30</v>
      </c>
      <c r="M688" s="6">
        <f>Raw_data!L688</f>
        <v>0</v>
      </c>
      <c r="N688" s="6">
        <f t="shared" si="61"/>
        <v>1567</v>
      </c>
      <c r="O688" s="6">
        <f t="shared" si="62"/>
        <v>112</v>
      </c>
      <c r="P688" s="6">
        <f t="shared" si="63"/>
        <v>1719</v>
      </c>
      <c r="Q688">
        <f t="shared" si="64"/>
        <v>1</v>
      </c>
      <c r="R688">
        <f t="shared" si="65"/>
        <v>2</v>
      </c>
    </row>
    <row r="689" spans="1:18" x14ac:dyDescent="0.25">
      <c r="A689">
        <f>Raw_data!A689</f>
        <v>688</v>
      </c>
      <c r="B689" t="str">
        <f>Raw_data!B689</f>
        <v>C8350</v>
      </c>
      <c r="C689" t="str">
        <f>Raw_data!C689</f>
        <v>R2381</v>
      </c>
      <c r="D689" s="3">
        <f>Raw_data!D689</f>
        <v>45315.032037037039</v>
      </c>
      <c r="E689" s="3">
        <f>Raw_data!E689</f>
        <v>45315.071620370371</v>
      </c>
      <c r="F689" s="4">
        <f t="shared" si="60"/>
        <v>3.9583333331393078E-2</v>
      </c>
      <c r="G689" s="6">
        <f>Raw_data!F689</f>
        <v>1405</v>
      </c>
      <c r="H689" s="6">
        <f>Raw_data!G689</f>
        <v>50</v>
      </c>
      <c r="I689" t="str">
        <f>Raw_data!H689</f>
        <v>Cash on Delivery</v>
      </c>
      <c r="J689" s="7" t="str">
        <f>IF(Raw_data!I689=0.1,"10%",Raw_data!I689)</f>
        <v>50 off Promo</v>
      </c>
      <c r="K689" s="6">
        <f>Raw_data!J689</f>
        <v>107</v>
      </c>
      <c r="L689" s="6">
        <f>Raw_data!K689</f>
        <v>28</v>
      </c>
      <c r="M689" s="6">
        <f>Raw_data!L689</f>
        <v>150</v>
      </c>
      <c r="N689" s="6">
        <f t="shared" si="61"/>
        <v>1270</v>
      </c>
      <c r="O689" s="6">
        <f t="shared" si="62"/>
        <v>-15</v>
      </c>
      <c r="P689" s="6">
        <f t="shared" si="63"/>
        <v>1455</v>
      </c>
      <c r="Q689">
        <f t="shared" si="64"/>
        <v>1</v>
      </c>
      <c r="R689">
        <f t="shared" si="65"/>
        <v>2</v>
      </c>
    </row>
    <row r="690" spans="1:18" x14ac:dyDescent="0.25">
      <c r="A690">
        <f>Raw_data!A690</f>
        <v>689</v>
      </c>
      <c r="B690" t="str">
        <f>Raw_data!B690</f>
        <v>C7238</v>
      </c>
      <c r="C690" t="str">
        <f>Raw_data!C690</f>
        <v>R2747</v>
      </c>
      <c r="D690" s="3">
        <f>Raw_data!D690</f>
        <v>45317.993680555555</v>
      </c>
      <c r="E690" s="3">
        <f>Raw_data!E690</f>
        <v>45318.024930555555</v>
      </c>
      <c r="F690" s="4">
        <f t="shared" si="60"/>
        <v>3.125E-2</v>
      </c>
      <c r="G690" s="6">
        <f>Raw_data!F690</f>
        <v>1810</v>
      </c>
      <c r="H690" s="6">
        <f>Raw_data!G690</f>
        <v>20</v>
      </c>
      <c r="I690" t="str">
        <f>Raw_data!H690</f>
        <v>Cash on Delivery</v>
      </c>
      <c r="J690" s="7" t="str">
        <f>IF(Raw_data!I690=0.1,"10%",Raw_data!I690)</f>
        <v>15% New User</v>
      </c>
      <c r="K690" s="6">
        <f>Raw_data!J690</f>
        <v>77</v>
      </c>
      <c r="L690" s="6">
        <f>Raw_data!K690</f>
        <v>34</v>
      </c>
      <c r="M690" s="6">
        <f>Raw_data!L690</f>
        <v>100</v>
      </c>
      <c r="N690" s="6">
        <f t="shared" si="61"/>
        <v>1699</v>
      </c>
      <c r="O690" s="6">
        <f t="shared" si="62"/>
        <v>11</v>
      </c>
      <c r="P690" s="6">
        <f t="shared" si="63"/>
        <v>1830</v>
      </c>
      <c r="Q690">
        <f t="shared" si="64"/>
        <v>1</v>
      </c>
      <c r="R690">
        <f t="shared" si="65"/>
        <v>3</v>
      </c>
    </row>
    <row r="691" spans="1:18" x14ac:dyDescent="0.25">
      <c r="A691">
        <f>Raw_data!A691</f>
        <v>690</v>
      </c>
      <c r="B691" t="str">
        <f>Raw_data!B691</f>
        <v>C7090</v>
      </c>
      <c r="C691" t="str">
        <f>Raw_data!C691</f>
        <v>R2439</v>
      </c>
      <c r="D691" s="3">
        <f>Raw_data!D691</f>
        <v>45304.843043981484</v>
      </c>
      <c r="E691" s="3">
        <f>Raw_data!E691</f>
        <v>45304.90693287037</v>
      </c>
      <c r="F691" s="4">
        <f t="shared" si="60"/>
        <v>6.3888888886140194E-2</v>
      </c>
      <c r="G691" s="6">
        <f>Raw_data!F691</f>
        <v>261</v>
      </c>
      <c r="H691" s="6">
        <f>Raw_data!G691</f>
        <v>50</v>
      </c>
      <c r="I691" t="str">
        <f>Raw_data!H691</f>
        <v>Credit Card</v>
      </c>
      <c r="J691" s="7" t="str">
        <f>IF(Raw_data!I691=0.1,"10%",Raw_data!I691)</f>
        <v>15% New User</v>
      </c>
      <c r="K691" s="6">
        <f>Raw_data!J691</f>
        <v>84</v>
      </c>
      <c r="L691" s="6">
        <f>Raw_data!K691</f>
        <v>31</v>
      </c>
      <c r="M691" s="6">
        <f>Raw_data!L691</f>
        <v>0</v>
      </c>
      <c r="N691" s="6">
        <f t="shared" si="61"/>
        <v>146</v>
      </c>
      <c r="O691" s="6">
        <f t="shared" si="62"/>
        <v>115</v>
      </c>
      <c r="P691" s="6">
        <f t="shared" si="63"/>
        <v>311</v>
      </c>
      <c r="Q691">
        <f t="shared" si="64"/>
        <v>1</v>
      </c>
      <c r="R691">
        <f t="shared" si="65"/>
        <v>3</v>
      </c>
    </row>
    <row r="692" spans="1:18" x14ac:dyDescent="0.25">
      <c r="A692">
        <f>Raw_data!A692</f>
        <v>691</v>
      </c>
      <c r="B692" t="str">
        <f>Raw_data!B692</f>
        <v>C7031</v>
      </c>
      <c r="C692" t="str">
        <f>Raw_data!C692</f>
        <v>R2603</v>
      </c>
      <c r="D692" s="3">
        <f>Raw_data!D692</f>
        <v>45325.229618055557</v>
      </c>
      <c r="E692" s="3">
        <f>Raw_data!E692</f>
        <v>45325.302534722221</v>
      </c>
      <c r="F692" s="4">
        <f t="shared" si="60"/>
        <v>7.2916666664241347E-2</v>
      </c>
      <c r="G692" s="6">
        <f>Raw_data!F692</f>
        <v>450</v>
      </c>
      <c r="H692" s="6">
        <f>Raw_data!G692</f>
        <v>0</v>
      </c>
      <c r="I692" t="str">
        <f>Raw_data!H692</f>
        <v>Digital Wallet</v>
      </c>
      <c r="J692" s="7" t="str">
        <f>IF(Raw_data!I692=0.1,"10%",Raw_data!I692)</f>
        <v>None</v>
      </c>
      <c r="K692" s="6">
        <f>Raw_data!J692</f>
        <v>174</v>
      </c>
      <c r="L692" s="6">
        <f>Raw_data!K692</f>
        <v>20</v>
      </c>
      <c r="M692" s="6">
        <f>Raw_data!L692</f>
        <v>100</v>
      </c>
      <c r="N692" s="6">
        <f t="shared" si="61"/>
        <v>256</v>
      </c>
      <c r="O692" s="6">
        <f t="shared" si="62"/>
        <v>94</v>
      </c>
      <c r="P692" s="6">
        <f t="shared" si="63"/>
        <v>450</v>
      </c>
      <c r="Q692">
        <f t="shared" si="64"/>
        <v>1</v>
      </c>
      <c r="R692">
        <f t="shared" si="65"/>
        <v>2</v>
      </c>
    </row>
    <row r="693" spans="1:18" x14ac:dyDescent="0.25">
      <c r="A693">
        <f>Raw_data!A693</f>
        <v>692</v>
      </c>
      <c r="B693" t="str">
        <f>Raw_data!B693</f>
        <v>C8687</v>
      </c>
      <c r="C693" t="str">
        <f>Raw_data!C693</f>
        <v>R2988</v>
      </c>
      <c r="D693" s="3">
        <f>Raw_data!D693</f>
        <v>45307.079710648148</v>
      </c>
      <c r="E693" s="3">
        <f>Raw_data!E693</f>
        <v>45307.136655092596</v>
      </c>
      <c r="F693" s="4">
        <f t="shared" si="60"/>
        <v>5.6944444448163267E-2</v>
      </c>
      <c r="G693" s="6">
        <f>Raw_data!F693</f>
        <v>533</v>
      </c>
      <c r="H693" s="6">
        <f>Raw_data!G693</f>
        <v>0</v>
      </c>
      <c r="I693" t="str">
        <f>Raw_data!H693</f>
        <v>Cash on Delivery</v>
      </c>
      <c r="J693" s="7" t="str">
        <f>IF(Raw_data!I693=0.1,"10%",Raw_data!I693)</f>
        <v>5% on App</v>
      </c>
      <c r="K693" s="6">
        <f>Raw_data!J693</f>
        <v>187</v>
      </c>
      <c r="L693" s="6">
        <f>Raw_data!K693</f>
        <v>42</v>
      </c>
      <c r="M693" s="6">
        <f>Raw_data!L693</f>
        <v>0</v>
      </c>
      <c r="N693" s="6">
        <f t="shared" si="61"/>
        <v>304</v>
      </c>
      <c r="O693" s="6">
        <f t="shared" si="62"/>
        <v>229</v>
      </c>
      <c r="P693" s="6">
        <f t="shared" si="63"/>
        <v>533</v>
      </c>
      <c r="Q693">
        <f t="shared" si="64"/>
        <v>1</v>
      </c>
      <c r="R693">
        <f t="shared" si="65"/>
        <v>3</v>
      </c>
    </row>
    <row r="694" spans="1:18" x14ac:dyDescent="0.25">
      <c r="A694">
        <f>Raw_data!A694</f>
        <v>693</v>
      </c>
      <c r="B694" t="str">
        <f>Raw_data!B694</f>
        <v>C9472</v>
      </c>
      <c r="C694" t="str">
        <f>Raw_data!C694</f>
        <v>R2020</v>
      </c>
      <c r="D694" s="3">
        <f>Raw_data!D694</f>
        <v>45323.821018518516</v>
      </c>
      <c r="E694" s="3">
        <f>Raw_data!E694</f>
        <v>45323.900185185186</v>
      </c>
      <c r="F694" s="4">
        <f t="shared" si="60"/>
        <v>7.9166666670062114E-2</v>
      </c>
      <c r="G694" s="6">
        <f>Raw_data!F694</f>
        <v>951</v>
      </c>
      <c r="H694" s="6">
        <f>Raw_data!G694</f>
        <v>0</v>
      </c>
      <c r="I694" t="str">
        <f>Raw_data!H694</f>
        <v>Credit Card</v>
      </c>
      <c r="J694" s="7" t="str">
        <f>IF(Raw_data!I694=0.1,"10%",Raw_data!I694)</f>
        <v>50 off Promo</v>
      </c>
      <c r="K694" s="6">
        <f>Raw_data!J694</f>
        <v>114</v>
      </c>
      <c r="L694" s="6">
        <f>Raw_data!K694</f>
        <v>41</v>
      </c>
      <c r="M694" s="6">
        <f>Raw_data!L694</f>
        <v>0</v>
      </c>
      <c r="N694" s="6">
        <f t="shared" si="61"/>
        <v>796</v>
      </c>
      <c r="O694" s="6">
        <f t="shared" si="62"/>
        <v>155</v>
      </c>
      <c r="P694" s="6">
        <f t="shared" si="63"/>
        <v>951</v>
      </c>
      <c r="Q694">
        <f t="shared" si="64"/>
        <v>1</v>
      </c>
      <c r="R694">
        <f t="shared" si="65"/>
        <v>2</v>
      </c>
    </row>
    <row r="695" spans="1:18" x14ac:dyDescent="0.25">
      <c r="A695">
        <f>Raw_data!A695</f>
        <v>694</v>
      </c>
      <c r="B695" t="str">
        <f>Raw_data!B695</f>
        <v>C2887</v>
      </c>
      <c r="C695" t="str">
        <f>Raw_data!C695</f>
        <v>R2302</v>
      </c>
      <c r="D695" s="3">
        <f>Raw_data!D695</f>
        <v>45312.128240740742</v>
      </c>
      <c r="E695" s="3">
        <f>Raw_data!E695</f>
        <v>45312.160185185188</v>
      </c>
      <c r="F695" s="4">
        <f t="shared" si="60"/>
        <v>3.1944444446708076E-2</v>
      </c>
      <c r="G695" s="6">
        <f>Raw_data!F695</f>
        <v>239</v>
      </c>
      <c r="H695" s="6">
        <f>Raw_data!G695</f>
        <v>30</v>
      </c>
      <c r="I695" t="str">
        <f>Raw_data!H695</f>
        <v>Cash on Delivery</v>
      </c>
      <c r="J695" s="7" t="str">
        <f>IF(Raw_data!I695=0.1,"10%",Raw_data!I695)</f>
        <v>None</v>
      </c>
      <c r="K695" s="6">
        <f>Raw_data!J695</f>
        <v>91</v>
      </c>
      <c r="L695" s="6">
        <f>Raw_data!K695</f>
        <v>30</v>
      </c>
      <c r="M695" s="6">
        <f>Raw_data!L695</f>
        <v>0</v>
      </c>
      <c r="N695" s="6">
        <f t="shared" si="61"/>
        <v>118</v>
      </c>
      <c r="O695" s="6">
        <f t="shared" si="62"/>
        <v>121</v>
      </c>
      <c r="P695" s="6">
        <f t="shared" si="63"/>
        <v>269</v>
      </c>
      <c r="Q695">
        <f t="shared" si="64"/>
        <v>1</v>
      </c>
      <c r="R695">
        <f t="shared" si="65"/>
        <v>1</v>
      </c>
    </row>
    <row r="696" spans="1:18" x14ac:dyDescent="0.25">
      <c r="A696">
        <f>Raw_data!A696</f>
        <v>695</v>
      </c>
      <c r="B696" t="str">
        <f>Raw_data!B696</f>
        <v>C4266</v>
      </c>
      <c r="C696" t="str">
        <f>Raw_data!C696</f>
        <v>R2975</v>
      </c>
      <c r="D696" s="3">
        <f>Raw_data!D696</f>
        <v>45297.154826388891</v>
      </c>
      <c r="E696" s="3">
        <f>Raw_data!E696</f>
        <v>45297.202743055554</v>
      </c>
      <c r="F696" s="4">
        <f t="shared" si="60"/>
        <v>4.7916666662786156E-2</v>
      </c>
      <c r="G696" s="6">
        <f>Raw_data!F696</f>
        <v>1594</v>
      </c>
      <c r="H696" s="6">
        <f>Raw_data!G696</f>
        <v>30</v>
      </c>
      <c r="I696" t="str">
        <f>Raw_data!H696</f>
        <v>Cash on Delivery</v>
      </c>
      <c r="J696" s="7" t="str">
        <f>IF(Raw_data!I696=0.1,"10%",Raw_data!I696)</f>
        <v>15% New User</v>
      </c>
      <c r="K696" s="6">
        <f>Raw_data!J696</f>
        <v>134</v>
      </c>
      <c r="L696" s="6">
        <f>Raw_data!K696</f>
        <v>48</v>
      </c>
      <c r="M696" s="6">
        <f>Raw_data!L696</f>
        <v>50</v>
      </c>
      <c r="N696" s="6">
        <f t="shared" si="61"/>
        <v>1412</v>
      </c>
      <c r="O696" s="6">
        <f t="shared" si="62"/>
        <v>132</v>
      </c>
      <c r="P696" s="6">
        <f t="shared" si="63"/>
        <v>1624</v>
      </c>
      <c r="Q696">
        <f t="shared" si="64"/>
        <v>1</v>
      </c>
      <c r="R696">
        <f t="shared" si="65"/>
        <v>2</v>
      </c>
    </row>
    <row r="697" spans="1:18" x14ac:dyDescent="0.25">
      <c r="A697">
        <f>Raw_data!A697</f>
        <v>696</v>
      </c>
      <c r="B697" t="str">
        <f>Raw_data!B697</f>
        <v>C1666</v>
      </c>
      <c r="C697" t="str">
        <f>Raw_data!C697</f>
        <v>R2868</v>
      </c>
      <c r="D697" s="3">
        <f>Raw_data!D697</f>
        <v>45309.806828703702</v>
      </c>
      <c r="E697" s="3">
        <f>Raw_data!E697</f>
        <v>45309.835995370369</v>
      </c>
      <c r="F697" s="4">
        <f t="shared" si="60"/>
        <v>2.9166666667151731E-2</v>
      </c>
      <c r="G697" s="6">
        <f>Raw_data!F697</f>
        <v>1255</v>
      </c>
      <c r="H697" s="6">
        <f>Raw_data!G697</f>
        <v>30</v>
      </c>
      <c r="I697" t="str">
        <f>Raw_data!H697</f>
        <v>Digital Wallet</v>
      </c>
      <c r="J697" s="7" t="str">
        <f>IF(Raw_data!I697=0.1,"10%",Raw_data!I697)</f>
        <v>5% on App</v>
      </c>
      <c r="K697" s="6">
        <f>Raw_data!J697</f>
        <v>186</v>
      </c>
      <c r="L697" s="6">
        <f>Raw_data!K697</f>
        <v>29</v>
      </c>
      <c r="M697" s="6">
        <f>Raw_data!L697</f>
        <v>0</v>
      </c>
      <c r="N697" s="6">
        <f t="shared" si="61"/>
        <v>1040</v>
      </c>
      <c r="O697" s="6">
        <f t="shared" si="62"/>
        <v>215</v>
      </c>
      <c r="P697" s="6">
        <f t="shared" si="63"/>
        <v>1285</v>
      </c>
      <c r="Q697">
        <f t="shared" si="64"/>
        <v>1</v>
      </c>
      <c r="R697">
        <f t="shared" si="65"/>
        <v>1</v>
      </c>
    </row>
    <row r="698" spans="1:18" x14ac:dyDescent="0.25">
      <c r="A698">
        <f>Raw_data!A698</f>
        <v>697</v>
      </c>
      <c r="B698" t="str">
        <f>Raw_data!B698</f>
        <v>C5188</v>
      </c>
      <c r="C698" t="str">
        <f>Raw_data!C698</f>
        <v>R2954</v>
      </c>
      <c r="D698" s="3">
        <f>Raw_data!D698</f>
        <v>45322.28056712963</v>
      </c>
      <c r="E698" s="3">
        <f>Raw_data!E698</f>
        <v>45322.336817129632</v>
      </c>
      <c r="F698" s="4">
        <f t="shared" si="60"/>
        <v>5.6250000001455192E-2</v>
      </c>
      <c r="G698" s="6">
        <f>Raw_data!F698</f>
        <v>186</v>
      </c>
      <c r="H698" s="6">
        <f>Raw_data!G698</f>
        <v>50</v>
      </c>
      <c r="I698" t="str">
        <f>Raw_data!H698</f>
        <v>Cash on Delivery</v>
      </c>
      <c r="J698" s="7" t="str">
        <f>IF(Raw_data!I698=0.1,"10%",Raw_data!I698)</f>
        <v>50 off Promo</v>
      </c>
      <c r="K698" s="6">
        <f>Raw_data!J698</f>
        <v>160</v>
      </c>
      <c r="L698" s="6">
        <f>Raw_data!K698</f>
        <v>17</v>
      </c>
      <c r="M698" s="6">
        <f>Raw_data!L698</f>
        <v>0</v>
      </c>
      <c r="N698" s="6">
        <f t="shared" si="61"/>
        <v>9</v>
      </c>
      <c r="O698" s="6">
        <f t="shared" si="62"/>
        <v>177</v>
      </c>
      <c r="P698" s="6">
        <f t="shared" si="63"/>
        <v>236</v>
      </c>
      <c r="Q698">
        <f t="shared" si="64"/>
        <v>1</v>
      </c>
      <c r="R698">
        <f t="shared" si="65"/>
        <v>3</v>
      </c>
    </row>
    <row r="699" spans="1:18" x14ac:dyDescent="0.25">
      <c r="A699">
        <f>Raw_data!A699</f>
        <v>698</v>
      </c>
      <c r="B699" t="str">
        <f>Raw_data!B699</f>
        <v>C1671</v>
      </c>
      <c r="C699" t="str">
        <f>Raw_data!C699</f>
        <v>R2083</v>
      </c>
      <c r="D699" s="3">
        <f>Raw_data!D699</f>
        <v>45324.911874999998</v>
      </c>
      <c r="E699" s="3">
        <f>Raw_data!E699</f>
        <v>45324.972291666665</v>
      </c>
      <c r="F699" s="4">
        <f t="shared" si="60"/>
        <v>6.0416666667151731E-2</v>
      </c>
      <c r="G699" s="6">
        <f>Raw_data!F699</f>
        <v>1811</v>
      </c>
      <c r="H699" s="6">
        <f>Raw_data!G699</f>
        <v>30</v>
      </c>
      <c r="I699" t="str">
        <f>Raw_data!H699</f>
        <v>Cash on Delivery</v>
      </c>
      <c r="J699" s="7" t="str">
        <f>IF(Raw_data!I699=0.1,"10%",Raw_data!I699)</f>
        <v>10%</v>
      </c>
      <c r="K699" s="6">
        <f>Raw_data!J699</f>
        <v>64</v>
      </c>
      <c r="L699" s="6">
        <f>Raw_data!K699</f>
        <v>46</v>
      </c>
      <c r="M699" s="6">
        <f>Raw_data!L699</f>
        <v>0</v>
      </c>
      <c r="N699" s="6">
        <f t="shared" si="61"/>
        <v>1701</v>
      </c>
      <c r="O699" s="6">
        <f t="shared" si="62"/>
        <v>110</v>
      </c>
      <c r="P699" s="6">
        <f t="shared" si="63"/>
        <v>1841</v>
      </c>
      <c r="Q699">
        <f t="shared" si="64"/>
        <v>1</v>
      </c>
      <c r="R699">
        <f t="shared" si="65"/>
        <v>5</v>
      </c>
    </row>
    <row r="700" spans="1:18" x14ac:dyDescent="0.25">
      <c r="A700">
        <f>Raw_data!A700</f>
        <v>699</v>
      </c>
      <c r="B700" t="str">
        <f>Raw_data!B700</f>
        <v>C7777</v>
      </c>
      <c r="C700" t="str">
        <f>Raw_data!C700</f>
        <v>R2773</v>
      </c>
      <c r="D700" s="3">
        <f>Raw_data!D700</f>
        <v>45306.548703703702</v>
      </c>
      <c r="E700" s="3">
        <f>Raw_data!E700</f>
        <v>45306.594537037039</v>
      </c>
      <c r="F700" s="4">
        <f t="shared" si="60"/>
        <v>4.5833333337213844E-2</v>
      </c>
      <c r="G700" s="6">
        <f>Raw_data!F700</f>
        <v>282</v>
      </c>
      <c r="H700" s="6">
        <f>Raw_data!G700</f>
        <v>20</v>
      </c>
      <c r="I700" t="str">
        <f>Raw_data!H700</f>
        <v>Credit Card</v>
      </c>
      <c r="J700" s="7" t="str">
        <f>IF(Raw_data!I700=0.1,"10%",Raw_data!I700)</f>
        <v>5% on App</v>
      </c>
      <c r="K700" s="6">
        <f>Raw_data!J700</f>
        <v>118</v>
      </c>
      <c r="L700" s="6">
        <f>Raw_data!K700</f>
        <v>18</v>
      </c>
      <c r="M700" s="6">
        <f>Raw_data!L700</f>
        <v>100</v>
      </c>
      <c r="N700" s="6">
        <f t="shared" si="61"/>
        <v>146</v>
      </c>
      <c r="O700" s="6">
        <f t="shared" si="62"/>
        <v>36</v>
      </c>
      <c r="P700" s="6">
        <f t="shared" si="63"/>
        <v>302</v>
      </c>
      <c r="Q700">
        <f t="shared" si="64"/>
        <v>1</v>
      </c>
      <c r="R700">
        <f t="shared" si="65"/>
        <v>4</v>
      </c>
    </row>
    <row r="701" spans="1:18" x14ac:dyDescent="0.25">
      <c r="A701">
        <f>Raw_data!A701</f>
        <v>700</v>
      </c>
      <c r="B701" t="str">
        <f>Raw_data!B701</f>
        <v>C8570</v>
      </c>
      <c r="C701" t="str">
        <f>Raw_data!C701</f>
        <v>R2658</v>
      </c>
      <c r="D701" s="3">
        <f>Raw_data!D701</f>
        <v>45318.379664351851</v>
      </c>
      <c r="E701" s="3">
        <f>Raw_data!E701</f>
        <v>45318.454664351855</v>
      </c>
      <c r="F701" s="4">
        <f t="shared" si="60"/>
        <v>7.5000000004365575E-2</v>
      </c>
      <c r="G701" s="6">
        <f>Raw_data!F701</f>
        <v>467</v>
      </c>
      <c r="H701" s="6">
        <f>Raw_data!G701</f>
        <v>0</v>
      </c>
      <c r="I701" t="str">
        <f>Raw_data!H701</f>
        <v>Credit Card</v>
      </c>
      <c r="J701" s="7" t="str">
        <f>IF(Raw_data!I701=0.1,"10%",Raw_data!I701)</f>
        <v>50 off Promo</v>
      </c>
      <c r="K701" s="6">
        <f>Raw_data!J701</f>
        <v>154</v>
      </c>
      <c r="L701" s="6">
        <f>Raw_data!K701</f>
        <v>34</v>
      </c>
      <c r="M701" s="6">
        <f>Raw_data!L701</f>
        <v>150</v>
      </c>
      <c r="N701" s="6">
        <f t="shared" si="61"/>
        <v>279</v>
      </c>
      <c r="O701" s="6">
        <f t="shared" si="62"/>
        <v>38</v>
      </c>
      <c r="P701" s="6">
        <f t="shared" si="63"/>
        <v>467</v>
      </c>
      <c r="Q701">
        <f t="shared" si="64"/>
        <v>1</v>
      </c>
      <c r="R701">
        <f t="shared" si="65"/>
        <v>1</v>
      </c>
    </row>
    <row r="702" spans="1:18" x14ac:dyDescent="0.25">
      <c r="A702">
        <f>Raw_data!A702</f>
        <v>701</v>
      </c>
      <c r="B702" t="str">
        <f>Raw_data!B702</f>
        <v>C8956</v>
      </c>
      <c r="C702" t="str">
        <f>Raw_data!C702</f>
        <v>R2952</v>
      </c>
      <c r="D702" s="3">
        <f>Raw_data!D702</f>
        <v>45329.539224537039</v>
      </c>
      <c r="E702" s="3">
        <f>Raw_data!E702</f>
        <v>45329.612141203703</v>
      </c>
      <c r="F702" s="4">
        <f t="shared" si="60"/>
        <v>7.2916666664241347E-2</v>
      </c>
      <c r="G702" s="6">
        <f>Raw_data!F702</f>
        <v>228</v>
      </c>
      <c r="H702" s="6">
        <f>Raw_data!G702</f>
        <v>50</v>
      </c>
      <c r="I702" t="str">
        <f>Raw_data!H702</f>
        <v>Digital Wallet</v>
      </c>
      <c r="J702" s="7" t="str">
        <f>IF(Raw_data!I702=0.1,"10%",Raw_data!I702)</f>
        <v>None</v>
      </c>
      <c r="K702" s="6">
        <f>Raw_data!J702</f>
        <v>199</v>
      </c>
      <c r="L702" s="6">
        <f>Raw_data!K702</f>
        <v>34</v>
      </c>
      <c r="M702" s="6">
        <f>Raw_data!L702</f>
        <v>0</v>
      </c>
      <c r="N702" s="6">
        <f t="shared" si="61"/>
        <v>-5</v>
      </c>
      <c r="O702" s="6">
        <f t="shared" si="62"/>
        <v>233</v>
      </c>
      <c r="P702" s="6">
        <f t="shared" si="63"/>
        <v>278</v>
      </c>
      <c r="Q702">
        <f t="shared" si="64"/>
        <v>1</v>
      </c>
      <c r="R702">
        <f t="shared" si="65"/>
        <v>1</v>
      </c>
    </row>
    <row r="703" spans="1:18" x14ac:dyDescent="0.25">
      <c r="A703">
        <f>Raw_data!A703</f>
        <v>702</v>
      </c>
      <c r="B703" t="str">
        <f>Raw_data!B703</f>
        <v>C6124</v>
      </c>
      <c r="C703" t="str">
        <f>Raw_data!C703</f>
        <v>R2452</v>
      </c>
      <c r="D703" s="3">
        <f>Raw_data!D703</f>
        <v>45302.922372685185</v>
      </c>
      <c r="E703" s="3">
        <f>Raw_data!E703</f>
        <v>45302.984872685185</v>
      </c>
      <c r="F703" s="4">
        <f t="shared" si="60"/>
        <v>6.25E-2</v>
      </c>
      <c r="G703" s="6">
        <f>Raw_data!F703</f>
        <v>1369</v>
      </c>
      <c r="H703" s="6">
        <f>Raw_data!G703</f>
        <v>0</v>
      </c>
      <c r="I703" t="str">
        <f>Raw_data!H703</f>
        <v>Credit Card</v>
      </c>
      <c r="J703" s="7" t="str">
        <f>IF(Raw_data!I703=0.1,"10%",Raw_data!I703)</f>
        <v>10%</v>
      </c>
      <c r="K703" s="6">
        <f>Raw_data!J703</f>
        <v>113</v>
      </c>
      <c r="L703" s="6">
        <f>Raw_data!K703</f>
        <v>42</v>
      </c>
      <c r="M703" s="6">
        <f>Raw_data!L703</f>
        <v>100</v>
      </c>
      <c r="N703" s="6">
        <f t="shared" si="61"/>
        <v>1214</v>
      </c>
      <c r="O703" s="6">
        <f t="shared" si="62"/>
        <v>55</v>
      </c>
      <c r="P703" s="6">
        <f t="shared" si="63"/>
        <v>1369</v>
      </c>
      <c r="Q703">
        <f t="shared" si="64"/>
        <v>2</v>
      </c>
      <c r="R703">
        <f t="shared" si="65"/>
        <v>1</v>
      </c>
    </row>
    <row r="704" spans="1:18" x14ac:dyDescent="0.25">
      <c r="A704">
        <f>Raw_data!A704</f>
        <v>703</v>
      </c>
      <c r="B704" t="str">
        <f>Raw_data!B704</f>
        <v>C6585</v>
      </c>
      <c r="C704" t="str">
        <f>Raw_data!C704</f>
        <v>R2386</v>
      </c>
      <c r="D704" s="3">
        <f>Raw_data!D704</f>
        <v>45309.376759259256</v>
      </c>
      <c r="E704" s="3">
        <f>Raw_data!E704</f>
        <v>45309.45175925926</v>
      </c>
      <c r="F704" s="4">
        <f t="shared" si="60"/>
        <v>7.5000000004365575E-2</v>
      </c>
      <c r="G704" s="6">
        <f>Raw_data!F704</f>
        <v>1724</v>
      </c>
      <c r="H704" s="6">
        <f>Raw_data!G704</f>
        <v>30</v>
      </c>
      <c r="I704" t="str">
        <f>Raw_data!H704</f>
        <v>Credit Card</v>
      </c>
      <c r="J704" s="7" t="str">
        <f>IF(Raw_data!I704=0.1,"10%",Raw_data!I704)</f>
        <v>50 off Promo</v>
      </c>
      <c r="K704" s="6">
        <f>Raw_data!J704</f>
        <v>90</v>
      </c>
      <c r="L704" s="6">
        <f>Raw_data!K704</f>
        <v>11</v>
      </c>
      <c r="M704" s="6">
        <f>Raw_data!L704</f>
        <v>50</v>
      </c>
      <c r="N704" s="6">
        <f t="shared" si="61"/>
        <v>1623</v>
      </c>
      <c r="O704" s="6">
        <f t="shared" si="62"/>
        <v>51</v>
      </c>
      <c r="P704" s="6">
        <f t="shared" si="63"/>
        <v>1754</v>
      </c>
      <c r="Q704">
        <f t="shared" si="64"/>
        <v>1</v>
      </c>
      <c r="R704">
        <f t="shared" si="65"/>
        <v>2</v>
      </c>
    </row>
    <row r="705" spans="1:18" x14ac:dyDescent="0.25">
      <c r="A705">
        <f>Raw_data!A705</f>
        <v>704</v>
      </c>
      <c r="B705" t="str">
        <f>Raw_data!B705</f>
        <v>C5777</v>
      </c>
      <c r="C705" t="str">
        <f>Raw_data!C705</f>
        <v>R2506</v>
      </c>
      <c r="D705" s="3">
        <f>Raw_data!D705</f>
        <v>45293.426585648151</v>
      </c>
      <c r="E705" s="3">
        <f>Raw_data!E705</f>
        <v>45293.470335648148</v>
      </c>
      <c r="F705" s="4">
        <f t="shared" si="60"/>
        <v>4.3749999997089617E-2</v>
      </c>
      <c r="G705" s="6">
        <f>Raw_data!F705</f>
        <v>1701</v>
      </c>
      <c r="H705" s="6">
        <f>Raw_data!G705</f>
        <v>50</v>
      </c>
      <c r="I705" t="str">
        <f>Raw_data!H705</f>
        <v>Digital Wallet</v>
      </c>
      <c r="J705" s="7" t="str">
        <f>IF(Raw_data!I705=0.1,"10%",Raw_data!I705)</f>
        <v>50 off Promo</v>
      </c>
      <c r="K705" s="6">
        <f>Raw_data!J705</f>
        <v>120</v>
      </c>
      <c r="L705" s="6">
        <f>Raw_data!K705</f>
        <v>28</v>
      </c>
      <c r="M705" s="6">
        <f>Raw_data!L705</f>
        <v>0</v>
      </c>
      <c r="N705" s="6">
        <f t="shared" si="61"/>
        <v>1553</v>
      </c>
      <c r="O705" s="6">
        <f t="shared" si="62"/>
        <v>148</v>
      </c>
      <c r="P705" s="6">
        <f t="shared" si="63"/>
        <v>1751</v>
      </c>
      <c r="Q705">
        <f t="shared" si="64"/>
        <v>2</v>
      </c>
      <c r="R705">
        <f t="shared" si="65"/>
        <v>2</v>
      </c>
    </row>
    <row r="706" spans="1:18" x14ac:dyDescent="0.25">
      <c r="A706">
        <f>Raw_data!A706</f>
        <v>705</v>
      </c>
      <c r="B706" t="str">
        <f>Raw_data!B706</f>
        <v>C4900</v>
      </c>
      <c r="C706" t="str">
        <f>Raw_data!C706</f>
        <v>R2256</v>
      </c>
      <c r="D706" s="3">
        <f>Raw_data!D706</f>
        <v>45327.604328703703</v>
      </c>
      <c r="E706" s="3">
        <f>Raw_data!E706</f>
        <v>45327.673078703701</v>
      </c>
      <c r="F706" s="4">
        <f t="shared" si="60"/>
        <v>6.8749999998544808E-2</v>
      </c>
      <c r="G706" s="6">
        <f>Raw_data!F706</f>
        <v>769</v>
      </c>
      <c r="H706" s="6">
        <f>Raw_data!G706</f>
        <v>40</v>
      </c>
      <c r="I706" t="str">
        <f>Raw_data!H706</f>
        <v>Cash on Delivery</v>
      </c>
      <c r="J706" s="7" t="str">
        <f>IF(Raw_data!I706=0.1,"10%",Raw_data!I706)</f>
        <v>15% New User</v>
      </c>
      <c r="K706" s="6">
        <f>Raw_data!J706</f>
        <v>105</v>
      </c>
      <c r="L706" s="6">
        <f>Raw_data!K706</f>
        <v>29</v>
      </c>
      <c r="M706" s="6">
        <f>Raw_data!L706</f>
        <v>100</v>
      </c>
      <c r="N706" s="6">
        <f t="shared" si="61"/>
        <v>635</v>
      </c>
      <c r="O706" s="6">
        <f t="shared" si="62"/>
        <v>34</v>
      </c>
      <c r="P706" s="6">
        <f t="shared" si="63"/>
        <v>809</v>
      </c>
      <c r="Q706">
        <f t="shared" si="64"/>
        <v>1</v>
      </c>
      <c r="R706">
        <f t="shared" si="65"/>
        <v>1</v>
      </c>
    </row>
    <row r="707" spans="1:18" x14ac:dyDescent="0.25">
      <c r="A707">
        <f>Raw_data!A707</f>
        <v>706</v>
      </c>
      <c r="B707" t="str">
        <f>Raw_data!B707</f>
        <v>C7677</v>
      </c>
      <c r="C707" t="str">
        <f>Raw_data!C707</f>
        <v>R2569</v>
      </c>
      <c r="D707" s="3">
        <f>Raw_data!D707</f>
        <v>45307.250347222223</v>
      </c>
      <c r="E707" s="3">
        <f>Raw_data!E707</f>
        <v>45307.28229166667</v>
      </c>
      <c r="F707" s="4">
        <f t="shared" ref="F707:F770" si="66">E707-D707</f>
        <v>3.1944444446708076E-2</v>
      </c>
      <c r="G707" s="6">
        <f>Raw_data!F707</f>
        <v>1501</v>
      </c>
      <c r="H707" s="6">
        <f>Raw_data!G707</f>
        <v>20</v>
      </c>
      <c r="I707" t="str">
        <f>Raw_data!H707</f>
        <v>Digital Wallet</v>
      </c>
      <c r="J707" s="7" t="str">
        <f>IF(Raw_data!I707=0.1,"10%",Raw_data!I707)</f>
        <v>5% on App</v>
      </c>
      <c r="K707" s="6">
        <f>Raw_data!J707</f>
        <v>200</v>
      </c>
      <c r="L707" s="6">
        <f>Raw_data!K707</f>
        <v>50</v>
      </c>
      <c r="M707" s="6">
        <f>Raw_data!L707</f>
        <v>0</v>
      </c>
      <c r="N707" s="6">
        <f t="shared" ref="N707:N770" si="67">G707-K707-L707</f>
        <v>1251</v>
      </c>
      <c r="O707" s="6">
        <f t="shared" ref="O707:O770" si="68">K707+L707-M707</f>
        <v>250</v>
      </c>
      <c r="P707" s="6">
        <f t="shared" ref="P707:P770" si="69">G707+H707</f>
        <v>1521</v>
      </c>
      <c r="Q707">
        <f t="shared" ref="Q707:Q770" si="70">COUNTIF(B$2:B$1001,B707)</f>
        <v>1</v>
      </c>
      <c r="R707">
        <f t="shared" ref="R707:R770" si="71">COUNTIF(C$2:C$1001,C707)</f>
        <v>2</v>
      </c>
    </row>
    <row r="708" spans="1:18" x14ac:dyDescent="0.25">
      <c r="A708">
        <f>Raw_data!A708</f>
        <v>707</v>
      </c>
      <c r="B708" t="str">
        <f>Raw_data!B708</f>
        <v>C7981</v>
      </c>
      <c r="C708" t="str">
        <f>Raw_data!C708</f>
        <v>R2891</v>
      </c>
      <c r="D708" s="3">
        <f>Raw_data!D708</f>
        <v>45327.55982638889</v>
      </c>
      <c r="E708" s="3">
        <f>Raw_data!E708</f>
        <v>45327.593854166669</v>
      </c>
      <c r="F708" s="4">
        <f t="shared" si="66"/>
        <v>3.4027777779556345E-2</v>
      </c>
      <c r="G708" s="6">
        <f>Raw_data!F708</f>
        <v>248</v>
      </c>
      <c r="H708" s="6">
        <f>Raw_data!G708</f>
        <v>30</v>
      </c>
      <c r="I708" t="str">
        <f>Raw_data!H708</f>
        <v>Credit Card</v>
      </c>
      <c r="J708" s="7" t="str">
        <f>IF(Raw_data!I708=0.1,"10%",Raw_data!I708)</f>
        <v>15% New User</v>
      </c>
      <c r="K708" s="6">
        <f>Raw_data!J708</f>
        <v>74</v>
      </c>
      <c r="L708" s="6">
        <f>Raw_data!K708</f>
        <v>38</v>
      </c>
      <c r="M708" s="6">
        <f>Raw_data!L708</f>
        <v>0</v>
      </c>
      <c r="N708" s="6">
        <f t="shared" si="67"/>
        <v>136</v>
      </c>
      <c r="O708" s="6">
        <f t="shared" si="68"/>
        <v>112</v>
      </c>
      <c r="P708" s="6">
        <f t="shared" si="69"/>
        <v>278</v>
      </c>
      <c r="Q708">
        <f t="shared" si="70"/>
        <v>1</v>
      </c>
      <c r="R708">
        <f t="shared" si="71"/>
        <v>1</v>
      </c>
    </row>
    <row r="709" spans="1:18" x14ac:dyDescent="0.25">
      <c r="A709">
        <f>Raw_data!A709</f>
        <v>708</v>
      </c>
      <c r="B709" t="str">
        <f>Raw_data!B709</f>
        <v>C7376</v>
      </c>
      <c r="C709" t="str">
        <f>Raw_data!C709</f>
        <v>R2933</v>
      </c>
      <c r="D709" s="3">
        <f>Raw_data!D709</f>
        <v>45303.610775462963</v>
      </c>
      <c r="E709" s="3">
        <f>Raw_data!E709</f>
        <v>45303.681608796294</v>
      </c>
      <c r="F709" s="4">
        <f t="shared" si="66"/>
        <v>7.0833333331393078E-2</v>
      </c>
      <c r="G709" s="6">
        <f>Raw_data!F709</f>
        <v>1084</v>
      </c>
      <c r="H709" s="6">
        <f>Raw_data!G709</f>
        <v>30</v>
      </c>
      <c r="I709" t="str">
        <f>Raw_data!H709</f>
        <v>Digital Wallet</v>
      </c>
      <c r="J709" s="7" t="str">
        <f>IF(Raw_data!I709=0.1,"10%",Raw_data!I709)</f>
        <v>10%</v>
      </c>
      <c r="K709" s="6">
        <f>Raw_data!J709</f>
        <v>154</v>
      </c>
      <c r="L709" s="6">
        <f>Raw_data!K709</f>
        <v>15</v>
      </c>
      <c r="M709" s="6">
        <f>Raw_data!L709</f>
        <v>0</v>
      </c>
      <c r="N709" s="6">
        <f t="shared" si="67"/>
        <v>915</v>
      </c>
      <c r="O709" s="6">
        <f t="shared" si="68"/>
        <v>169</v>
      </c>
      <c r="P709" s="6">
        <f t="shared" si="69"/>
        <v>1114</v>
      </c>
      <c r="Q709">
        <f t="shared" si="70"/>
        <v>1</v>
      </c>
      <c r="R709">
        <f t="shared" si="71"/>
        <v>4</v>
      </c>
    </row>
    <row r="710" spans="1:18" x14ac:dyDescent="0.25">
      <c r="A710">
        <f>Raw_data!A710</f>
        <v>709</v>
      </c>
      <c r="B710" t="str">
        <f>Raw_data!B710</f>
        <v>C1523</v>
      </c>
      <c r="C710" t="str">
        <f>Raw_data!C710</f>
        <v>R2526</v>
      </c>
      <c r="D710" s="3">
        <f>Raw_data!D710</f>
        <v>45326.961041666669</v>
      </c>
      <c r="E710" s="3">
        <f>Raw_data!E710</f>
        <v>45327.022152777776</v>
      </c>
      <c r="F710" s="4">
        <f t="shared" si="66"/>
        <v>6.1111111106583849E-2</v>
      </c>
      <c r="G710" s="6">
        <f>Raw_data!F710</f>
        <v>951</v>
      </c>
      <c r="H710" s="6">
        <f>Raw_data!G710</f>
        <v>20</v>
      </c>
      <c r="I710" t="str">
        <f>Raw_data!H710</f>
        <v>Cash on Delivery</v>
      </c>
      <c r="J710" s="7" t="str">
        <f>IF(Raw_data!I710=0.1,"10%",Raw_data!I710)</f>
        <v>50 off Promo</v>
      </c>
      <c r="K710" s="6">
        <f>Raw_data!J710</f>
        <v>183</v>
      </c>
      <c r="L710" s="6">
        <f>Raw_data!K710</f>
        <v>26</v>
      </c>
      <c r="M710" s="6">
        <f>Raw_data!L710</f>
        <v>50</v>
      </c>
      <c r="N710" s="6">
        <f t="shared" si="67"/>
        <v>742</v>
      </c>
      <c r="O710" s="6">
        <f t="shared" si="68"/>
        <v>159</v>
      </c>
      <c r="P710" s="6">
        <f t="shared" si="69"/>
        <v>971</v>
      </c>
      <c r="Q710">
        <f t="shared" si="70"/>
        <v>1</v>
      </c>
      <c r="R710">
        <f t="shared" si="71"/>
        <v>3</v>
      </c>
    </row>
    <row r="711" spans="1:18" x14ac:dyDescent="0.25">
      <c r="A711">
        <f>Raw_data!A711</f>
        <v>710</v>
      </c>
      <c r="B711" t="str">
        <f>Raw_data!B711</f>
        <v>C3393</v>
      </c>
      <c r="C711" t="str">
        <f>Raw_data!C711</f>
        <v>R2161</v>
      </c>
      <c r="D711" s="3">
        <f>Raw_data!D711</f>
        <v>45315.768599537034</v>
      </c>
      <c r="E711" s="3">
        <f>Raw_data!E711</f>
        <v>45315.836655092593</v>
      </c>
      <c r="F711" s="4">
        <f t="shared" si="66"/>
        <v>6.805555555911269E-2</v>
      </c>
      <c r="G711" s="6">
        <f>Raw_data!F711</f>
        <v>1556</v>
      </c>
      <c r="H711" s="6">
        <f>Raw_data!G711</f>
        <v>20</v>
      </c>
      <c r="I711" t="str">
        <f>Raw_data!H711</f>
        <v>Digital Wallet</v>
      </c>
      <c r="J711" s="7" t="str">
        <f>IF(Raw_data!I711=0.1,"10%",Raw_data!I711)</f>
        <v>15% New User</v>
      </c>
      <c r="K711" s="6">
        <f>Raw_data!J711</f>
        <v>168</v>
      </c>
      <c r="L711" s="6">
        <f>Raw_data!K711</f>
        <v>34</v>
      </c>
      <c r="M711" s="6">
        <f>Raw_data!L711</f>
        <v>0</v>
      </c>
      <c r="N711" s="6">
        <f t="shared" si="67"/>
        <v>1354</v>
      </c>
      <c r="O711" s="6">
        <f t="shared" si="68"/>
        <v>202</v>
      </c>
      <c r="P711" s="6">
        <f t="shared" si="69"/>
        <v>1576</v>
      </c>
      <c r="Q711">
        <f t="shared" si="70"/>
        <v>1</v>
      </c>
      <c r="R711">
        <f t="shared" si="71"/>
        <v>2</v>
      </c>
    </row>
    <row r="712" spans="1:18" x14ac:dyDescent="0.25">
      <c r="A712">
        <f>Raw_data!A712</f>
        <v>711</v>
      </c>
      <c r="B712" t="str">
        <f>Raw_data!B712</f>
        <v>C3593</v>
      </c>
      <c r="C712" t="str">
        <f>Raw_data!C712</f>
        <v>R2956</v>
      </c>
      <c r="D712" s="3">
        <f>Raw_data!D712</f>
        <v>45325.573344907411</v>
      </c>
      <c r="E712" s="3">
        <f>Raw_data!E712</f>
        <v>45325.653900462959</v>
      </c>
      <c r="F712" s="4">
        <f t="shared" si="66"/>
        <v>8.055555554892635E-2</v>
      </c>
      <c r="G712" s="6">
        <f>Raw_data!F712</f>
        <v>727</v>
      </c>
      <c r="H712" s="6">
        <f>Raw_data!G712</f>
        <v>40</v>
      </c>
      <c r="I712" t="str">
        <f>Raw_data!H712</f>
        <v>Credit Card</v>
      </c>
      <c r="J712" s="7" t="str">
        <f>IF(Raw_data!I712=0.1,"10%",Raw_data!I712)</f>
        <v>5% on App</v>
      </c>
      <c r="K712" s="6">
        <f>Raw_data!J712</f>
        <v>58</v>
      </c>
      <c r="L712" s="6">
        <f>Raw_data!K712</f>
        <v>47</v>
      </c>
      <c r="M712" s="6">
        <f>Raw_data!L712</f>
        <v>0</v>
      </c>
      <c r="N712" s="6">
        <f t="shared" si="67"/>
        <v>622</v>
      </c>
      <c r="O712" s="6">
        <f t="shared" si="68"/>
        <v>105</v>
      </c>
      <c r="P712" s="6">
        <f t="shared" si="69"/>
        <v>767</v>
      </c>
      <c r="Q712">
        <f t="shared" si="70"/>
        <v>1</v>
      </c>
      <c r="R712">
        <f t="shared" si="71"/>
        <v>3</v>
      </c>
    </row>
    <row r="713" spans="1:18" x14ac:dyDescent="0.25">
      <c r="A713">
        <f>Raw_data!A713</f>
        <v>712</v>
      </c>
      <c r="B713" t="str">
        <f>Raw_data!B713</f>
        <v>C8240</v>
      </c>
      <c r="C713" t="str">
        <f>Raw_data!C713</f>
        <v>R2162</v>
      </c>
      <c r="D713" s="3">
        <f>Raw_data!D713</f>
        <v>45307.86209490741</v>
      </c>
      <c r="E713" s="3">
        <f>Raw_data!E713</f>
        <v>45307.905150462961</v>
      </c>
      <c r="F713" s="4">
        <f t="shared" si="66"/>
        <v>4.3055555550381541E-2</v>
      </c>
      <c r="G713" s="6">
        <f>Raw_data!F713</f>
        <v>1849</v>
      </c>
      <c r="H713" s="6">
        <f>Raw_data!G713</f>
        <v>30</v>
      </c>
      <c r="I713" t="str">
        <f>Raw_data!H713</f>
        <v>Credit Card</v>
      </c>
      <c r="J713" s="7" t="str">
        <f>IF(Raw_data!I713=0.1,"10%",Raw_data!I713)</f>
        <v>10%</v>
      </c>
      <c r="K713" s="6">
        <f>Raw_data!J713</f>
        <v>109</v>
      </c>
      <c r="L713" s="6">
        <f>Raw_data!K713</f>
        <v>13</v>
      </c>
      <c r="M713" s="6">
        <f>Raw_data!L713</f>
        <v>0</v>
      </c>
      <c r="N713" s="6">
        <f t="shared" si="67"/>
        <v>1727</v>
      </c>
      <c r="O713" s="6">
        <f t="shared" si="68"/>
        <v>122</v>
      </c>
      <c r="P713" s="6">
        <f t="shared" si="69"/>
        <v>1879</v>
      </c>
      <c r="Q713">
        <f t="shared" si="70"/>
        <v>1</v>
      </c>
      <c r="R713">
        <f t="shared" si="71"/>
        <v>1</v>
      </c>
    </row>
    <row r="714" spans="1:18" x14ac:dyDescent="0.25">
      <c r="A714">
        <f>Raw_data!A714</f>
        <v>713</v>
      </c>
      <c r="B714" t="str">
        <f>Raw_data!B714</f>
        <v>C7937</v>
      </c>
      <c r="C714" t="str">
        <f>Raw_data!C714</f>
        <v>R2831</v>
      </c>
      <c r="D714" s="3">
        <f>Raw_data!D714</f>
        <v>45325.004583333335</v>
      </c>
      <c r="E714" s="3">
        <f>Raw_data!E714</f>
        <v>45325.078888888886</v>
      </c>
      <c r="F714" s="4">
        <f t="shared" si="66"/>
        <v>7.4305555550381541E-2</v>
      </c>
      <c r="G714" s="6">
        <f>Raw_data!F714</f>
        <v>1592</v>
      </c>
      <c r="H714" s="6">
        <f>Raw_data!G714</f>
        <v>30</v>
      </c>
      <c r="I714" t="str">
        <f>Raw_data!H714</f>
        <v>Digital Wallet</v>
      </c>
      <c r="J714" s="7" t="str">
        <f>IF(Raw_data!I714=0.1,"10%",Raw_data!I714)</f>
        <v>None</v>
      </c>
      <c r="K714" s="6">
        <f>Raw_data!J714</f>
        <v>174</v>
      </c>
      <c r="L714" s="6">
        <f>Raw_data!K714</f>
        <v>39</v>
      </c>
      <c r="M714" s="6">
        <f>Raw_data!L714</f>
        <v>50</v>
      </c>
      <c r="N714" s="6">
        <f t="shared" si="67"/>
        <v>1379</v>
      </c>
      <c r="O714" s="6">
        <f t="shared" si="68"/>
        <v>163</v>
      </c>
      <c r="P714" s="6">
        <f t="shared" si="69"/>
        <v>1622</v>
      </c>
      <c r="Q714">
        <f t="shared" si="70"/>
        <v>1</v>
      </c>
      <c r="R714">
        <f t="shared" si="71"/>
        <v>1</v>
      </c>
    </row>
    <row r="715" spans="1:18" x14ac:dyDescent="0.25">
      <c r="A715">
        <f>Raw_data!A715</f>
        <v>714</v>
      </c>
      <c r="B715" t="str">
        <f>Raw_data!B715</f>
        <v>C7190</v>
      </c>
      <c r="C715" t="str">
        <f>Raw_data!C715</f>
        <v>R2792</v>
      </c>
      <c r="D715" s="3">
        <f>Raw_data!D715</f>
        <v>45311.45689814815</v>
      </c>
      <c r="E715" s="3">
        <f>Raw_data!E715</f>
        <v>45311.488842592589</v>
      </c>
      <c r="F715" s="4">
        <f t="shared" si="66"/>
        <v>3.1944444439432118E-2</v>
      </c>
      <c r="G715" s="6">
        <f>Raw_data!F715</f>
        <v>545</v>
      </c>
      <c r="H715" s="6">
        <f>Raw_data!G715</f>
        <v>0</v>
      </c>
      <c r="I715" t="str">
        <f>Raw_data!H715</f>
        <v>Cash on Delivery</v>
      </c>
      <c r="J715" s="7" t="str">
        <f>IF(Raw_data!I715=0.1,"10%",Raw_data!I715)</f>
        <v>15% New User</v>
      </c>
      <c r="K715" s="6">
        <f>Raw_data!J715</f>
        <v>98</v>
      </c>
      <c r="L715" s="6">
        <f>Raw_data!K715</f>
        <v>29</v>
      </c>
      <c r="M715" s="6">
        <f>Raw_data!L715</f>
        <v>0</v>
      </c>
      <c r="N715" s="6">
        <f t="shared" si="67"/>
        <v>418</v>
      </c>
      <c r="O715" s="6">
        <f t="shared" si="68"/>
        <v>127</v>
      </c>
      <c r="P715" s="6">
        <f t="shared" si="69"/>
        <v>545</v>
      </c>
      <c r="Q715">
        <f t="shared" si="70"/>
        <v>2</v>
      </c>
      <c r="R715">
        <f t="shared" si="71"/>
        <v>1</v>
      </c>
    </row>
    <row r="716" spans="1:18" x14ac:dyDescent="0.25">
      <c r="A716">
        <f>Raw_data!A716</f>
        <v>715</v>
      </c>
      <c r="B716" t="str">
        <f>Raw_data!B716</f>
        <v>C6240</v>
      </c>
      <c r="C716" t="str">
        <f>Raw_data!C716</f>
        <v>R2791</v>
      </c>
      <c r="D716" s="3">
        <f>Raw_data!D716</f>
        <v>45310.656655092593</v>
      </c>
      <c r="E716" s="3">
        <f>Raw_data!E716</f>
        <v>45310.716377314813</v>
      </c>
      <c r="F716" s="4">
        <f t="shared" si="66"/>
        <v>5.9722222220443655E-2</v>
      </c>
      <c r="G716" s="6">
        <f>Raw_data!F716</f>
        <v>1604</v>
      </c>
      <c r="H716" s="6">
        <f>Raw_data!G716</f>
        <v>50</v>
      </c>
      <c r="I716" t="str">
        <f>Raw_data!H716</f>
        <v>Digital Wallet</v>
      </c>
      <c r="J716" s="7" t="str">
        <f>IF(Raw_data!I716=0.1,"10%",Raw_data!I716)</f>
        <v>10%</v>
      </c>
      <c r="K716" s="6">
        <f>Raw_data!J716</f>
        <v>100</v>
      </c>
      <c r="L716" s="6">
        <f>Raw_data!K716</f>
        <v>12</v>
      </c>
      <c r="M716" s="6">
        <f>Raw_data!L716</f>
        <v>0</v>
      </c>
      <c r="N716" s="6">
        <f t="shared" si="67"/>
        <v>1492</v>
      </c>
      <c r="O716" s="6">
        <f t="shared" si="68"/>
        <v>112</v>
      </c>
      <c r="P716" s="6">
        <f t="shared" si="69"/>
        <v>1654</v>
      </c>
      <c r="Q716">
        <f t="shared" si="70"/>
        <v>1</v>
      </c>
      <c r="R716">
        <f t="shared" si="71"/>
        <v>1</v>
      </c>
    </row>
    <row r="717" spans="1:18" x14ac:dyDescent="0.25">
      <c r="A717">
        <f>Raw_data!A717</f>
        <v>716</v>
      </c>
      <c r="B717" t="str">
        <f>Raw_data!B717</f>
        <v>C7493</v>
      </c>
      <c r="C717" t="str">
        <f>Raw_data!C717</f>
        <v>R2523</v>
      </c>
      <c r="D717" s="3">
        <f>Raw_data!D717</f>
        <v>45293.307754629626</v>
      </c>
      <c r="E717" s="3">
        <f>Raw_data!E717</f>
        <v>45293.38553240741</v>
      </c>
      <c r="F717" s="4">
        <f t="shared" si="66"/>
        <v>7.777777778392192E-2</v>
      </c>
      <c r="G717" s="6">
        <f>Raw_data!F717</f>
        <v>983</v>
      </c>
      <c r="H717" s="6">
        <f>Raw_data!G717</f>
        <v>50</v>
      </c>
      <c r="I717" t="str">
        <f>Raw_data!H717</f>
        <v>Cash on Delivery</v>
      </c>
      <c r="J717" s="7" t="str">
        <f>IF(Raw_data!I717=0.1,"10%",Raw_data!I717)</f>
        <v>None</v>
      </c>
      <c r="K717" s="6">
        <f>Raw_data!J717</f>
        <v>119</v>
      </c>
      <c r="L717" s="6">
        <f>Raw_data!K717</f>
        <v>32</v>
      </c>
      <c r="M717" s="6">
        <f>Raw_data!L717</f>
        <v>0</v>
      </c>
      <c r="N717" s="6">
        <f t="shared" si="67"/>
        <v>832</v>
      </c>
      <c r="O717" s="6">
        <f t="shared" si="68"/>
        <v>151</v>
      </c>
      <c r="P717" s="6">
        <f t="shared" si="69"/>
        <v>1033</v>
      </c>
      <c r="Q717">
        <f t="shared" si="70"/>
        <v>1</v>
      </c>
      <c r="R717">
        <f t="shared" si="71"/>
        <v>5</v>
      </c>
    </row>
    <row r="718" spans="1:18" x14ac:dyDescent="0.25">
      <c r="A718">
        <f>Raw_data!A718</f>
        <v>717</v>
      </c>
      <c r="B718" t="str">
        <f>Raw_data!B718</f>
        <v>C3878</v>
      </c>
      <c r="C718" t="str">
        <f>Raw_data!C718</f>
        <v>R2785</v>
      </c>
      <c r="D718" s="3">
        <f>Raw_data!D718</f>
        <v>45304.94091435185</v>
      </c>
      <c r="E718" s="3">
        <f>Raw_data!E718</f>
        <v>45304.961747685185</v>
      </c>
      <c r="F718" s="4">
        <f t="shared" si="66"/>
        <v>2.0833333335758653E-2</v>
      </c>
      <c r="G718" s="6">
        <f>Raw_data!F718</f>
        <v>393</v>
      </c>
      <c r="H718" s="6">
        <f>Raw_data!G718</f>
        <v>0</v>
      </c>
      <c r="I718" t="str">
        <f>Raw_data!H718</f>
        <v>Cash on Delivery</v>
      </c>
      <c r="J718" s="7" t="str">
        <f>IF(Raw_data!I718=0.1,"10%",Raw_data!I718)</f>
        <v>15% New User</v>
      </c>
      <c r="K718" s="6">
        <f>Raw_data!J718</f>
        <v>86</v>
      </c>
      <c r="L718" s="6">
        <f>Raw_data!K718</f>
        <v>27</v>
      </c>
      <c r="M718" s="6">
        <f>Raw_data!L718</f>
        <v>0</v>
      </c>
      <c r="N718" s="6">
        <f t="shared" si="67"/>
        <v>280</v>
      </c>
      <c r="O718" s="6">
        <f t="shared" si="68"/>
        <v>113</v>
      </c>
      <c r="P718" s="6">
        <f t="shared" si="69"/>
        <v>393</v>
      </c>
      <c r="Q718">
        <f t="shared" si="70"/>
        <v>1</v>
      </c>
      <c r="R718">
        <f t="shared" si="71"/>
        <v>1</v>
      </c>
    </row>
    <row r="719" spans="1:18" x14ac:dyDescent="0.25">
      <c r="A719">
        <f>Raw_data!A719</f>
        <v>718</v>
      </c>
      <c r="B719" t="str">
        <f>Raw_data!B719</f>
        <v>C5143</v>
      </c>
      <c r="C719" t="str">
        <f>Raw_data!C719</f>
        <v>R2270</v>
      </c>
      <c r="D719" s="3">
        <f>Raw_data!D719</f>
        <v>45304.24628472222</v>
      </c>
      <c r="E719" s="3">
        <f>Raw_data!E719</f>
        <v>45304.275451388887</v>
      </c>
      <c r="F719" s="4">
        <f t="shared" si="66"/>
        <v>2.9166666667151731E-2</v>
      </c>
      <c r="G719" s="6">
        <f>Raw_data!F719</f>
        <v>1888</v>
      </c>
      <c r="H719" s="6">
        <f>Raw_data!G719</f>
        <v>50</v>
      </c>
      <c r="I719" t="str">
        <f>Raw_data!H719</f>
        <v>Digital Wallet</v>
      </c>
      <c r="J719" s="7" t="str">
        <f>IF(Raw_data!I719=0.1,"10%",Raw_data!I719)</f>
        <v>10%</v>
      </c>
      <c r="K719" s="6">
        <f>Raw_data!J719</f>
        <v>80</v>
      </c>
      <c r="L719" s="6">
        <f>Raw_data!K719</f>
        <v>35</v>
      </c>
      <c r="M719" s="6">
        <f>Raw_data!L719</f>
        <v>0</v>
      </c>
      <c r="N719" s="6">
        <f t="shared" si="67"/>
        <v>1773</v>
      </c>
      <c r="O719" s="6">
        <f t="shared" si="68"/>
        <v>115</v>
      </c>
      <c r="P719" s="6">
        <f t="shared" si="69"/>
        <v>1938</v>
      </c>
      <c r="Q719">
        <f t="shared" si="70"/>
        <v>1</v>
      </c>
      <c r="R719">
        <f t="shared" si="71"/>
        <v>2</v>
      </c>
    </row>
    <row r="720" spans="1:18" x14ac:dyDescent="0.25">
      <c r="A720">
        <f>Raw_data!A720</f>
        <v>719</v>
      </c>
      <c r="B720" t="str">
        <f>Raw_data!B720</f>
        <v>C4644</v>
      </c>
      <c r="C720" t="str">
        <f>Raw_data!C720</f>
        <v>R2491</v>
      </c>
      <c r="D720" s="3">
        <f>Raw_data!D720</f>
        <v>45306.355914351851</v>
      </c>
      <c r="E720" s="3">
        <f>Raw_data!E720</f>
        <v>45306.394803240742</v>
      </c>
      <c r="F720" s="4">
        <f t="shared" si="66"/>
        <v>3.888888889196096E-2</v>
      </c>
      <c r="G720" s="6">
        <f>Raw_data!F720</f>
        <v>1266</v>
      </c>
      <c r="H720" s="6">
        <f>Raw_data!G720</f>
        <v>20</v>
      </c>
      <c r="I720" t="str">
        <f>Raw_data!H720</f>
        <v>Cash on Delivery</v>
      </c>
      <c r="J720" s="7" t="str">
        <f>IF(Raw_data!I720=0.1,"10%",Raw_data!I720)</f>
        <v>10%</v>
      </c>
      <c r="K720" s="6">
        <f>Raw_data!J720</f>
        <v>111</v>
      </c>
      <c r="L720" s="6">
        <f>Raw_data!K720</f>
        <v>45</v>
      </c>
      <c r="M720" s="6">
        <f>Raw_data!L720</f>
        <v>0</v>
      </c>
      <c r="N720" s="6">
        <f t="shared" si="67"/>
        <v>1110</v>
      </c>
      <c r="O720" s="6">
        <f t="shared" si="68"/>
        <v>156</v>
      </c>
      <c r="P720" s="6">
        <f t="shared" si="69"/>
        <v>1286</v>
      </c>
      <c r="Q720">
        <f t="shared" si="70"/>
        <v>1</v>
      </c>
      <c r="R720">
        <f t="shared" si="71"/>
        <v>1</v>
      </c>
    </row>
    <row r="721" spans="1:18" x14ac:dyDescent="0.25">
      <c r="A721">
        <f>Raw_data!A721</f>
        <v>720</v>
      </c>
      <c r="B721" t="str">
        <f>Raw_data!B721</f>
        <v>C5432</v>
      </c>
      <c r="C721" t="str">
        <f>Raw_data!C721</f>
        <v>R2207</v>
      </c>
      <c r="D721" s="3">
        <f>Raw_data!D721</f>
        <v>45303.364386574074</v>
      </c>
      <c r="E721" s="3">
        <f>Raw_data!E721</f>
        <v>45303.433136574073</v>
      </c>
      <c r="F721" s="4">
        <f t="shared" si="66"/>
        <v>6.8749999998544808E-2</v>
      </c>
      <c r="G721" s="6">
        <f>Raw_data!F721</f>
        <v>349</v>
      </c>
      <c r="H721" s="6">
        <f>Raw_data!G721</f>
        <v>50</v>
      </c>
      <c r="I721" t="str">
        <f>Raw_data!H721</f>
        <v>Credit Card</v>
      </c>
      <c r="J721" s="7" t="str">
        <f>IF(Raw_data!I721=0.1,"10%",Raw_data!I721)</f>
        <v>15% New User</v>
      </c>
      <c r="K721" s="6">
        <f>Raw_data!J721</f>
        <v>142</v>
      </c>
      <c r="L721" s="6">
        <f>Raw_data!K721</f>
        <v>17</v>
      </c>
      <c r="M721" s="6">
        <f>Raw_data!L721</f>
        <v>150</v>
      </c>
      <c r="N721" s="6">
        <f t="shared" si="67"/>
        <v>190</v>
      </c>
      <c r="O721" s="6">
        <f t="shared" si="68"/>
        <v>9</v>
      </c>
      <c r="P721" s="6">
        <f t="shared" si="69"/>
        <v>399</v>
      </c>
      <c r="Q721">
        <f t="shared" si="70"/>
        <v>1</v>
      </c>
      <c r="R721">
        <f t="shared" si="71"/>
        <v>2</v>
      </c>
    </row>
    <row r="722" spans="1:18" x14ac:dyDescent="0.25">
      <c r="A722">
        <f>Raw_data!A722</f>
        <v>721</v>
      </c>
      <c r="B722" t="str">
        <f>Raw_data!B722</f>
        <v>C2276</v>
      </c>
      <c r="C722" t="str">
        <f>Raw_data!C722</f>
        <v>R2538</v>
      </c>
      <c r="D722" s="3">
        <f>Raw_data!D722</f>
        <v>45311.309270833335</v>
      </c>
      <c r="E722" s="3">
        <f>Raw_data!E722</f>
        <v>45311.370381944442</v>
      </c>
      <c r="F722" s="4">
        <f t="shared" si="66"/>
        <v>6.1111111106583849E-2</v>
      </c>
      <c r="G722" s="6">
        <f>Raw_data!F722</f>
        <v>977</v>
      </c>
      <c r="H722" s="6">
        <f>Raw_data!G722</f>
        <v>50</v>
      </c>
      <c r="I722" t="str">
        <f>Raw_data!H722</f>
        <v>Digital Wallet</v>
      </c>
      <c r="J722" s="7" t="str">
        <f>IF(Raw_data!I722=0.1,"10%",Raw_data!I722)</f>
        <v>10%</v>
      </c>
      <c r="K722" s="6">
        <f>Raw_data!J722</f>
        <v>63</v>
      </c>
      <c r="L722" s="6">
        <f>Raw_data!K722</f>
        <v>26</v>
      </c>
      <c r="M722" s="6">
        <f>Raw_data!L722</f>
        <v>100</v>
      </c>
      <c r="N722" s="6">
        <f t="shared" si="67"/>
        <v>888</v>
      </c>
      <c r="O722" s="6">
        <f t="shared" si="68"/>
        <v>-11</v>
      </c>
      <c r="P722" s="6">
        <f t="shared" si="69"/>
        <v>1027</v>
      </c>
      <c r="Q722">
        <f t="shared" si="70"/>
        <v>1</v>
      </c>
      <c r="R722">
        <f t="shared" si="71"/>
        <v>2</v>
      </c>
    </row>
    <row r="723" spans="1:18" x14ac:dyDescent="0.25">
      <c r="A723">
        <f>Raw_data!A723</f>
        <v>722</v>
      </c>
      <c r="B723" t="str">
        <f>Raw_data!B723</f>
        <v>C6811</v>
      </c>
      <c r="C723" t="str">
        <f>Raw_data!C723</f>
        <v>R2583</v>
      </c>
      <c r="D723" s="3">
        <f>Raw_data!D723</f>
        <v>45300.254930555559</v>
      </c>
      <c r="E723" s="3">
        <f>Raw_data!E723</f>
        <v>45300.279236111113</v>
      </c>
      <c r="F723" s="4">
        <f t="shared" si="66"/>
        <v>2.4305555554747116E-2</v>
      </c>
      <c r="G723" s="6">
        <f>Raw_data!F723</f>
        <v>1047</v>
      </c>
      <c r="H723" s="6">
        <f>Raw_data!G723</f>
        <v>0</v>
      </c>
      <c r="I723" t="str">
        <f>Raw_data!H723</f>
        <v>Cash on Delivery</v>
      </c>
      <c r="J723" s="7" t="str">
        <f>IF(Raw_data!I723=0.1,"10%",Raw_data!I723)</f>
        <v>50 off Promo</v>
      </c>
      <c r="K723" s="6">
        <f>Raw_data!J723</f>
        <v>128</v>
      </c>
      <c r="L723" s="6">
        <f>Raw_data!K723</f>
        <v>40</v>
      </c>
      <c r="M723" s="6">
        <f>Raw_data!L723</f>
        <v>100</v>
      </c>
      <c r="N723" s="6">
        <f t="shared" si="67"/>
        <v>879</v>
      </c>
      <c r="O723" s="6">
        <f t="shared" si="68"/>
        <v>68</v>
      </c>
      <c r="P723" s="6">
        <f t="shared" si="69"/>
        <v>1047</v>
      </c>
      <c r="Q723">
        <f t="shared" si="70"/>
        <v>1</v>
      </c>
      <c r="R723">
        <f t="shared" si="71"/>
        <v>3</v>
      </c>
    </row>
    <row r="724" spans="1:18" x14ac:dyDescent="0.25">
      <c r="A724">
        <f>Raw_data!A724</f>
        <v>723</v>
      </c>
      <c r="B724" t="str">
        <f>Raw_data!B724</f>
        <v>C1302</v>
      </c>
      <c r="C724" t="str">
        <f>Raw_data!C724</f>
        <v>R2059</v>
      </c>
      <c r="D724" s="3">
        <f>Raw_data!D724</f>
        <v>45310.734976851854</v>
      </c>
      <c r="E724" s="3">
        <f>Raw_data!E724</f>
        <v>45310.771087962959</v>
      </c>
      <c r="F724" s="4">
        <f t="shared" si="66"/>
        <v>3.6111111105128657E-2</v>
      </c>
      <c r="G724" s="6">
        <f>Raw_data!F724</f>
        <v>1074</v>
      </c>
      <c r="H724" s="6">
        <f>Raw_data!G724</f>
        <v>40</v>
      </c>
      <c r="I724" t="str">
        <f>Raw_data!H724</f>
        <v>Credit Card</v>
      </c>
      <c r="J724" s="7" t="str">
        <f>IF(Raw_data!I724=0.1,"10%",Raw_data!I724)</f>
        <v>15% New User</v>
      </c>
      <c r="K724" s="6">
        <f>Raw_data!J724</f>
        <v>57</v>
      </c>
      <c r="L724" s="6">
        <f>Raw_data!K724</f>
        <v>46</v>
      </c>
      <c r="M724" s="6">
        <f>Raw_data!L724</f>
        <v>0</v>
      </c>
      <c r="N724" s="6">
        <f t="shared" si="67"/>
        <v>971</v>
      </c>
      <c r="O724" s="6">
        <f t="shared" si="68"/>
        <v>103</v>
      </c>
      <c r="P724" s="6">
        <f t="shared" si="69"/>
        <v>1114</v>
      </c>
      <c r="Q724">
        <f t="shared" si="70"/>
        <v>1</v>
      </c>
      <c r="R724">
        <f t="shared" si="71"/>
        <v>1</v>
      </c>
    </row>
    <row r="725" spans="1:18" x14ac:dyDescent="0.25">
      <c r="A725">
        <f>Raw_data!A725</f>
        <v>724</v>
      </c>
      <c r="B725" t="str">
        <f>Raw_data!B725</f>
        <v>C1638</v>
      </c>
      <c r="C725" t="str">
        <f>Raw_data!C725</f>
        <v>R2429</v>
      </c>
      <c r="D725" s="3">
        <f>Raw_data!D725</f>
        <v>45314.687592592592</v>
      </c>
      <c r="E725" s="3">
        <f>Raw_data!E725</f>
        <v>45314.714675925927</v>
      </c>
      <c r="F725" s="4">
        <f t="shared" si="66"/>
        <v>2.7083333334303461E-2</v>
      </c>
      <c r="G725" s="6">
        <f>Raw_data!F725</f>
        <v>1425</v>
      </c>
      <c r="H725" s="6">
        <f>Raw_data!G725</f>
        <v>50</v>
      </c>
      <c r="I725" t="str">
        <f>Raw_data!H725</f>
        <v>Digital Wallet</v>
      </c>
      <c r="J725" s="7" t="str">
        <f>IF(Raw_data!I725=0.1,"10%",Raw_data!I725)</f>
        <v>10%</v>
      </c>
      <c r="K725" s="6">
        <f>Raw_data!J725</f>
        <v>85</v>
      </c>
      <c r="L725" s="6">
        <f>Raw_data!K725</f>
        <v>42</v>
      </c>
      <c r="M725" s="6">
        <f>Raw_data!L725</f>
        <v>100</v>
      </c>
      <c r="N725" s="6">
        <f t="shared" si="67"/>
        <v>1298</v>
      </c>
      <c r="O725" s="6">
        <f t="shared" si="68"/>
        <v>27</v>
      </c>
      <c r="P725" s="6">
        <f t="shared" si="69"/>
        <v>1475</v>
      </c>
      <c r="Q725">
        <f t="shared" si="70"/>
        <v>1</v>
      </c>
      <c r="R725">
        <f t="shared" si="71"/>
        <v>2</v>
      </c>
    </row>
    <row r="726" spans="1:18" x14ac:dyDescent="0.25">
      <c r="A726">
        <f>Raw_data!A726</f>
        <v>725</v>
      </c>
      <c r="B726" t="str">
        <f>Raw_data!B726</f>
        <v>C1055</v>
      </c>
      <c r="C726" t="str">
        <f>Raw_data!C726</f>
        <v>R2984</v>
      </c>
      <c r="D726" s="3">
        <f>Raw_data!D726</f>
        <v>45309.361932870372</v>
      </c>
      <c r="E726" s="3">
        <f>Raw_data!E726</f>
        <v>45309.417488425926</v>
      </c>
      <c r="F726" s="4">
        <f t="shared" si="66"/>
        <v>5.5555555554747116E-2</v>
      </c>
      <c r="G726" s="6">
        <f>Raw_data!F726</f>
        <v>1148</v>
      </c>
      <c r="H726" s="6">
        <f>Raw_data!G726</f>
        <v>50</v>
      </c>
      <c r="I726" t="str">
        <f>Raw_data!H726</f>
        <v>Credit Card</v>
      </c>
      <c r="J726" s="7" t="str">
        <f>IF(Raw_data!I726=0.1,"10%",Raw_data!I726)</f>
        <v>None</v>
      </c>
      <c r="K726" s="6">
        <f>Raw_data!J726</f>
        <v>97</v>
      </c>
      <c r="L726" s="6">
        <f>Raw_data!K726</f>
        <v>36</v>
      </c>
      <c r="M726" s="6">
        <f>Raw_data!L726</f>
        <v>0</v>
      </c>
      <c r="N726" s="6">
        <f t="shared" si="67"/>
        <v>1015</v>
      </c>
      <c r="O726" s="6">
        <f t="shared" si="68"/>
        <v>133</v>
      </c>
      <c r="P726" s="6">
        <f t="shared" si="69"/>
        <v>1198</v>
      </c>
      <c r="Q726">
        <f t="shared" si="70"/>
        <v>1</v>
      </c>
      <c r="R726">
        <f t="shared" si="71"/>
        <v>2</v>
      </c>
    </row>
    <row r="727" spans="1:18" x14ac:dyDescent="0.25">
      <c r="A727">
        <f>Raw_data!A727</f>
        <v>726</v>
      </c>
      <c r="B727" t="str">
        <f>Raw_data!B727</f>
        <v>C9717</v>
      </c>
      <c r="C727" t="str">
        <f>Raw_data!C727</f>
        <v>R2656</v>
      </c>
      <c r="D727" s="3">
        <f>Raw_data!D727</f>
        <v>45292.310254629629</v>
      </c>
      <c r="E727" s="3">
        <f>Raw_data!E727</f>
        <v>45292.343587962961</v>
      </c>
      <c r="F727" s="4">
        <f t="shared" si="66"/>
        <v>3.3333333332848269E-2</v>
      </c>
      <c r="G727" s="6">
        <f>Raw_data!F727</f>
        <v>888</v>
      </c>
      <c r="H727" s="6">
        <f>Raw_data!G727</f>
        <v>40</v>
      </c>
      <c r="I727" t="str">
        <f>Raw_data!H727</f>
        <v>Credit Card</v>
      </c>
      <c r="J727" s="7" t="str">
        <f>IF(Raw_data!I727=0.1,"10%",Raw_data!I727)</f>
        <v>None</v>
      </c>
      <c r="K727" s="6">
        <f>Raw_data!J727</f>
        <v>134</v>
      </c>
      <c r="L727" s="6">
        <f>Raw_data!K727</f>
        <v>13</v>
      </c>
      <c r="M727" s="6">
        <f>Raw_data!L727</f>
        <v>0</v>
      </c>
      <c r="N727" s="6">
        <f t="shared" si="67"/>
        <v>741</v>
      </c>
      <c r="O727" s="6">
        <f t="shared" si="68"/>
        <v>147</v>
      </c>
      <c r="P727" s="6">
        <f t="shared" si="69"/>
        <v>928</v>
      </c>
      <c r="Q727">
        <f t="shared" si="70"/>
        <v>1</v>
      </c>
      <c r="R727">
        <f t="shared" si="71"/>
        <v>1</v>
      </c>
    </row>
    <row r="728" spans="1:18" x14ac:dyDescent="0.25">
      <c r="A728">
        <f>Raw_data!A728</f>
        <v>727</v>
      </c>
      <c r="B728" t="str">
        <f>Raw_data!B728</f>
        <v>C9150</v>
      </c>
      <c r="C728" t="str">
        <f>Raw_data!C728</f>
        <v>R2604</v>
      </c>
      <c r="D728" s="3">
        <f>Raw_data!D728</f>
        <v>45306.174166666664</v>
      </c>
      <c r="E728" s="3">
        <f>Raw_data!E728</f>
        <v>45306.229722222219</v>
      </c>
      <c r="F728" s="4">
        <f t="shared" si="66"/>
        <v>5.5555555554747116E-2</v>
      </c>
      <c r="G728" s="6">
        <f>Raw_data!F728</f>
        <v>1083</v>
      </c>
      <c r="H728" s="6">
        <f>Raw_data!G728</f>
        <v>0</v>
      </c>
      <c r="I728" t="str">
        <f>Raw_data!H728</f>
        <v>Credit Card</v>
      </c>
      <c r="J728" s="7" t="str">
        <f>IF(Raw_data!I728=0.1,"10%",Raw_data!I728)</f>
        <v>50 off Promo</v>
      </c>
      <c r="K728" s="6">
        <f>Raw_data!J728</f>
        <v>77</v>
      </c>
      <c r="L728" s="6">
        <f>Raw_data!K728</f>
        <v>31</v>
      </c>
      <c r="M728" s="6">
        <f>Raw_data!L728</f>
        <v>0</v>
      </c>
      <c r="N728" s="6">
        <f t="shared" si="67"/>
        <v>975</v>
      </c>
      <c r="O728" s="6">
        <f t="shared" si="68"/>
        <v>108</v>
      </c>
      <c r="P728" s="6">
        <f t="shared" si="69"/>
        <v>1083</v>
      </c>
      <c r="Q728">
        <f t="shared" si="70"/>
        <v>1</v>
      </c>
      <c r="R728">
        <f t="shared" si="71"/>
        <v>1</v>
      </c>
    </row>
    <row r="729" spans="1:18" x14ac:dyDescent="0.25">
      <c r="A729">
        <f>Raw_data!A729</f>
        <v>728</v>
      </c>
      <c r="B729" t="str">
        <f>Raw_data!B729</f>
        <v>C3125</v>
      </c>
      <c r="C729" t="str">
        <f>Raw_data!C729</f>
        <v>R2308</v>
      </c>
      <c r="D729" s="3">
        <f>Raw_data!D729</f>
        <v>45296.807685185187</v>
      </c>
      <c r="E729" s="3">
        <f>Raw_data!E729</f>
        <v>45296.888240740744</v>
      </c>
      <c r="F729" s="4">
        <f t="shared" si="66"/>
        <v>8.0555555556202307E-2</v>
      </c>
      <c r="G729" s="6">
        <f>Raw_data!F729</f>
        <v>988</v>
      </c>
      <c r="H729" s="6">
        <f>Raw_data!G729</f>
        <v>40</v>
      </c>
      <c r="I729" t="str">
        <f>Raw_data!H729</f>
        <v>Cash on Delivery</v>
      </c>
      <c r="J729" s="7" t="str">
        <f>IF(Raw_data!I729=0.1,"10%",Raw_data!I729)</f>
        <v>15% New User</v>
      </c>
      <c r="K729" s="6">
        <f>Raw_data!J729</f>
        <v>100</v>
      </c>
      <c r="L729" s="6">
        <f>Raw_data!K729</f>
        <v>35</v>
      </c>
      <c r="M729" s="6">
        <f>Raw_data!L729</f>
        <v>0</v>
      </c>
      <c r="N729" s="6">
        <f t="shared" si="67"/>
        <v>853</v>
      </c>
      <c r="O729" s="6">
        <f t="shared" si="68"/>
        <v>135</v>
      </c>
      <c r="P729" s="6">
        <f t="shared" si="69"/>
        <v>1028</v>
      </c>
      <c r="Q729">
        <f t="shared" si="70"/>
        <v>1</v>
      </c>
      <c r="R729">
        <f t="shared" si="71"/>
        <v>2</v>
      </c>
    </row>
    <row r="730" spans="1:18" x14ac:dyDescent="0.25">
      <c r="A730">
        <f>Raw_data!A730</f>
        <v>729</v>
      </c>
      <c r="B730" t="str">
        <f>Raw_data!B730</f>
        <v>C1364</v>
      </c>
      <c r="C730" t="str">
        <f>Raw_data!C730</f>
        <v>R2519</v>
      </c>
      <c r="D730" s="3">
        <f>Raw_data!D730</f>
        <v>45292.811562499999</v>
      </c>
      <c r="E730" s="3">
        <f>Raw_data!E730</f>
        <v>45292.878923611112</v>
      </c>
      <c r="F730" s="4">
        <f t="shared" si="66"/>
        <v>6.7361111112404615E-2</v>
      </c>
      <c r="G730" s="6">
        <f>Raw_data!F730</f>
        <v>989</v>
      </c>
      <c r="H730" s="6">
        <f>Raw_data!G730</f>
        <v>0</v>
      </c>
      <c r="I730" t="str">
        <f>Raw_data!H730</f>
        <v>Digital Wallet</v>
      </c>
      <c r="J730" s="7" t="str">
        <f>IF(Raw_data!I730=0.1,"10%",Raw_data!I730)</f>
        <v>10%</v>
      </c>
      <c r="K730" s="6">
        <f>Raw_data!J730</f>
        <v>153</v>
      </c>
      <c r="L730" s="6">
        <f>Raw_data!K730</f>
        <v>41</v>
      </c>
      <c r="M730" s="6">
        <f>Raw_data!L730</f>
        <v>0</v>
      </c>
      <c r="N730" s="6">
        <f t="shared" si="67"/>
        <v>795</v>
      </c>
      <c r="O730" s="6">
        <f t="shared" si="68"/>
        <v>194</v>
      </c>
      <c r="P730" s="6">
        <f t="shared" si="69"/>
        <v>989</v>
      </c>
      <c r="Q730">
        <f t="shared" si="70"/>
        <v>1</v>
      </c>
      <c r="R730">
        <f t="shared" si="71"/>
        <v>2</v>
      </c>
    </row>
    <row r="731" spans="1:18" x14ac:dyDescent="0.25">
      <c r="A731">
        <f>Raw_data!A731</f>
        <v>730</v>
      </c>
      <c r="B731" t="str">
        <f>Raw_data!B731</f>
        <v>C7809</v>
      </c>
      <c r="C731" t="str">
        <f>Raw_data!C731</f>
        <v>R2590</v>
      </c>
      <c r="D731" s="3">
        <f>Raw_data!D731</f>
        <v>45313.686597222222</v>
      </c>
      <c r="E731" s="3">
        <f>Raw_data!E731</f>
        <v>45313.765069444446</v>
      </c>
      <c r="F731" s="4">
        <f t="shared" si="66"/>
        <v>7.8472222223354038E-2</v>
      </c>
      <c r="G731" s="6">
        <f>Raw_data!F731</f>
        <v>169</v>
      </c>
      <c r="H731" s="6">
        <f>Raw_data!G731</f>
        <v>20</v>
      </c>
      <c r="I731" t="str">
        <f>Raw_data!H731</f>
        <v>Digital Wallet</v>
      </c>
      <c r="J731" s="7" t="str">
        <f>IF(Raw_data!I731=0.1,"10%",Raw_data!I731)</f>
        <v>10%</v>
      </c>
      <c r="K731" s="6">
        <f>Raw_data!J731</f>
        <v>150</v>
      </c>
      <c r="L731" s="6">
        <f>Raw_data!K731</f>
        <v>33</v>
      </c>
      <c r="M731" s="6">
        <f>Raw_data!L731</f>
        <v>0</v>
      </c>
      <c r="N731" s="6">
        <f t="shared" si="67"/>
        <v>-14</v>
      </c>
      <c r="O731" s="6">
        <f t="shared" si="68"/>
        <v>183</v>
      </c>
      <c r="P731" s="6">
        <f t="shared" si="69"/>
        <v>189</v>
      </c>
      <c r="Q731">
        <f t="shared" si="70"/>
        <v>1</v>
      </c>
      <c r="R731">
        <f t="shared" si="71"/>
        <v>1</v>
      </c>
    </row>
    <row r="732" spans="1:18" x14ac:dyDescent="0.25">
      <c r="A732">
        <f>Raw_data!A732</f>
        <v>731</v>
      </c>
      <c r="B732" t="str">
        <f>Raw_data!B732</f>
        <v>C5621</v>
      </c>
      <c r="C732" t="str">
        <f>Raw_data!C732</f>
        <v>R2026</v>
      </c>
      <c r="D732" s="3">
        <f>Raw_data!D732</f>
        <v>45306.279409722221</v>
      </c>
      <c r="E732" s="3">
        <f>Raw_data!E732</f>
        <v>45306.357187499998</v>
      </c>
      <c r="F732" s="4">
        <f t="shared" si="66"/>
        <v>7.7777777776645962E-2</v>
      </c>
      <c r="G732" s="6">
        <f>Raw_data!F732</f>
        <v>724</v>
      </c>
      <c r="H732" s="6">
        <f>Raw_data!G732</f>
        <v>0</v>
      </c>
      <c r="I732" t="str">
        <f>Raw_data!H732</f>
        <v>Cash on Delivery</v>
      </c>
      <c r="J732" s="7" t="str">
        <f>IF(Raw_data!I732=0.1,"10%",Raw_data!I732)</f>
        <v>None</v>
      </c>
      <c r="K732" s="6">
        <f>Raw_data!J732</f>
        <v>78</v>
      </c>
      <c r="L732" s="6">
        <f>Raw_data!K732</f>
        <v>44</v>
      </c>
      <c r="M732" s="6">
        <f>Raw_data!L732</f>
        <v>100</v>
      </c>
      <c r="N732" s="6">
        <f t="shared" si="67"/>
        <v>602</v>
      </c>
      <c r="O732" s="6">
        <f t="shared" si="68"/>
        <v>22</v>
      </c>
      <c r="P732" s="6">
        <f t="shared" si="69"/>
        <v>724</v>
      </c>
      <c r="Q732">
        <f t="shared" si="70"/>
        <v>1</v>
      </c>
      <c r="R732">
        <f t="shared" si="71"/>
        <v>2</v>
      </c>
    </row>
    <row r="733" spans="1:18" x14ac:dyDescent="0.25">
      <c r="A733">
        <f>Raw_data!A733</f>
        <v>732</v>
      </c>
      <c r="B733" t="str">
        <f>Raw_data!B733</f>
        <v>C6126</v>
      </c>
      <c r="C733" t="str">
        <f>Raw_data!C733</f>
        <v>R2685</v>
      </c>
      <c r="D733" s="3">
        <f>Raw_data!D733</f>
        <v>45323.561018518521</v>
      </c>
      <c r="E733" s="3">
        <f>Raw_data!E733</f>
        <v>45323.610324074078</v>
      </c>
      <c r="F733" s="4">
        <f t="shared" si="66"/>
        <v>4.9305555556202307E-2</v>
      </c>
      <c r="G733" s="6">
        <f>Raw_data!F733</f>
        <v>974</v>
      </c>
      <c r="H733" s="6">
        <f>Raw_data!G733</f>
        <v>20</v>
      </c>
      <c r="I733" t="str">
        <f>Raw_data!H733</f>
        <v>Digital Wallet</v>
      </c>
      <c r="J733" s="7" t="str">
        <f>IF(Raw_data!I733=0.1,"10%",Raw_data!I733)</f>
        <v>50 off Promo</v>
      </c>
      <c r="K733" s="6">
        <f>Raw_data!J733</f>
        <v>176</v>
      </c>
      <c r="L733" s="6">
        <f>Raw_data!K733</f>
        <v>46</v>
      </c>
      <c r="M733" s="6">
        <f>Raw_data!L733</f>
        <v>0</v>
      </c>
      <c r="N733" s="6">
        <f t="shared" si="67"/>
        <v>752</v>
      </c>
      <c r="O733" s="6">
        <f t="shared" si="68"/>
        <v>222</v>
      </c>
      <c r="P733" s="6">
        <f t="shared" si="69"/>
        <v>994</v>
      </c>
      <c r="Q733">
        <f t="shared" si="70"/>
        <v>1</v>
      </c>
      <c r="R733">
        <f t="shared" si="71"/>
        <v>2</v>
      </c>
    </row>
    <row r="734" spans="1:18" x14ac:dyDescent="0.25">
      <c r="A734">
        <f>Raw_data!A734</f>
        <v>733</v>
      </c>
      <c r="B734" t="str">
        <f>Raw_data!B734</f>
        <v>C6122</v>
      </c>
      <c r="C734" t="str">
        <f>Raw_data!C734</f>
        <v>R2561</v>
      </c>
      <c r="D734" s="3">
        <f>Raw_data!D734</f>
        <v>45321.719826388886</v>
      </c>
      <c r="E734" s="3">
        <f>Raw_data!E734</f>
        <v>45321.779548611114</v>
      </c>
      <c r="F734" s="4">
        <f t="shared" si="66"/>
        <v>5.9722222227719612E-2</v>
      </c>
      <c r="G734" s="6">
        <f>Raw_data!F734</f>
        <v>1235</v>
      </c>
      <c r="H734" s="6">
        <f>Raw_data!G734</f>
        <v>20</v>
      </c>
      <c r="I734" t="str">
        <f>Raw_data!H734</f>
        <v>Credit Card</v>
      </c>
      <c r="J734" s="7" t="str">
        <f>IF(Raw_data!I734=0.1,"10%",Raw_data!I734)</f>
        <v>None</v>
      </c>
      <c r="K734" s="6">
        <f>Raw_data!J734</f>
        <v>131</v>
      </c>
      <c r="L734" s="6">
        <f>Raw_data!K734</f>
        <v>41</v>
      </c>
      <c r="M734" s="6">
        <f>Raw_data!L734</f>
        <v>0</v>
      </c>
      <c r="N734" s="6">
        <f t="shared" si="67"/>
        <v>1063</v>
      </c>
      <c r="O734" s="6">
        <f t="shared" si="68"/>
        <v>172</v>
      </c>
      <c r="P734" s="6">
        <f t="shared" si="69"/>
        <v>1255</v>
      </c>
      <c r="Q734">
        <f t="shared" si="70"/>
        <v>1</v>
      </c>
      <c r="R734">
        <f t="shared" si="71"/>
        <v>2</v>
      </c>
    </row>
    <row r="735" spans="1:18" x14ac:dyDescent="0.25">
      <c r="A735">
        <f>Raw_data!A735</f>
        <v>734</v>
      </c>
      <c r="B735" t="str">
        <f>Raw_data!B735</f>
        <v>C2646</v>
      </c>
      <c r="C735" t="str">
        <f>Raw_data!C735</f>
        <v>R2198</v>
      </c>
      <c r="D735" s="3">
        <f>Raw_data!D735</f>
        <v>45326.450613425928</v>
      </c>
      <c r="E735" s="3">
        <f>Raw_data!E735</f>
        <v>45326.517974537041</v>
      </c>
      <c r="F735" s="4">
        <f t="shared" si="66"/>
        <v>6.7361111112404615E-2</v>
      </c>
      <c r="G735" s="6">
        <f>Raw_data!F735</f>
        <v>1487</v>
      </c>
      <c r="H735" s="6">
        <f>Raw_data!G735</f>
        <v>0</v>
      </c>
      <c r="I735" t="str">
        <f>Raw_data!H735</f>
        <v>Digital Wallet</v>
      </c>
      <c r="J735" s="7" t="str">
        <f>IF(Raw_data!I735=0.1,"10%",Raw_data!I735)</f>
        <v>None</v>
      </c>
      <c r="K735" s="6">
        <f>Raw_data!J735</f>
        <v>59</v>
      </c>
      <c r="L735" s="6">
        <f>Raw_data!K735</f>
        <v>16</v>
      </c>
      <c r="M735" s="6">
        <f>Raw_data!L735</f>
        <v>0</v>
      </c>
      <c r="N735" s="6">
        <f t="shared" si="67"/>
        <v>1412</v>
      </c>
      <c r="O735" s="6">
        <f t="shared" si="68"/>
        <v>75</v>
      </c>
      <c r="P735" s="6">
        <f t="shared" si="69"/>
        <v>1487</v>
      </c>
      <c r="Q735">
        <f t="shared" si="70"/>
        <v>1</v>
      </c>
      <c r="R735">
        <f t="shared" si="71"/>
        <v>1</v>
      </c>
    </row>
    <row r="736" spans="1:18" x14ac:dyDescent="0.25">
      <c r="A736">
        <f>Raw_data!A736</f>
        <v>735</v>
      </c>
      <c r="B736" t="str">
        <f>Raw_data!B736</f>
        <v>C1918</v>
      </c>
      <c r="C736" t="str">
        <f>Raw_data!C736</f>
        <v>R2386</v>
      </c>
      <c r="D736" s="3">
        <f>Raw_data!D736</f>
        <v>45309.587997685187</v>
      </c>
      <c r="E736" s="3">
        <f>Raw_data!E736</f>
        <v>45309.634525462963</v>
      </c>
      <c r="F736" s="4">
        <f t="shared" si="66"/>
        <v>4.6527777776645962E-2</v>
      </c>
      <c r="G736" s="6">
        <f>Raw_data!F736</f>
        <v>1426</v>
      </c>
      <c r="H736" s="6">
        <f>Raw_data!G736</f>
        <v>30</v>
      </c>
      <c r="I736" t="str">
        <f>Raw_data!H736</f>
        <v>Cash on Delivery</v>
      </c>
      <c r="J736" s="7" t="str">
        <f>IF(Raw_data!I736=0.1,"10%",Raw_data!I736)</f>
        <v>50 off Promo</v>
      </c>
      <c r="K736" s="6">
        <f>Raw_data!J736</f>
        <v>155</v>
      </c>
      <c r="L736" s="6">
        <f>Raw_data!K736</f>
        <v>42</v>
      </c>
      <c r="M736" s="6">
        <f>Raw_data!L736</f>
        <v>0</v>
      </c>
      <c r="N736" s="6">
        <f t="shared" si="67"/>
        <v>1229</v>
      </c>
      <c r="O736" s="6">
        <f t="shared" si="68"/>
        <v>197</v>
      </c>
      <c r="P736" s="6">
        <f t="shared" si="69"/>
        <v>1456</v>
      </c>
      <c r="Q736">
        <f t="shared" si="70"/>
        <v>1</v>
      </c>
      <c r="R736">
        <f t="shared" si="71"/>
        <v>2</v>
      </c>
    </row>
    <row r="737" spans="1:18" x14ac:dyDescent="0.25">
      <c r="A737">
        <f>Raw_data!A737</f>
        <v>736</v>
      </c>
      <c r="B737" t="str">
        <f>Raw_data!B737</f>
        <v>C3797</v>
      </c>
      <c r="C737" t="str">
        <f>Raw_data!C737</f>
        <v>R2348</v>
      </c>
      <c r="D737" s="3">
        <f>Raw_data!D737</f>
        <v>45314.784039351849</v>
      </c>
      <c r="E737" s="3">
        <f>Raw_data!E737</f>
        <v>45314.847233796296</v>
      </c>
      <c r="F737" s="4">
        <f t="shared" si="66"/>
        <v>6.3194444446708076E-2</v>
      </c>
      <c r="G737" s="6">
        <f>Raw_data!F737</f>
        <v>570</v>
      </c>
      <c r="H737" s="6">
        <f>Raw_data!G737</f>
        <v>0</v>
      </c>
      <c r="I737" t="str">
        <f>Raw_data!H737</f>
        <v>Credit Card</v>
      </c>
      <c r="J737" s="7" t="str">
        <f>IF(Raw_data!I737=0.1,"10%",Raw_data!I737)</f>
        <v>15% New User</v>
      </c>
      <c r="K737" s="6">
        <f>Raw_data!J737</f>
        <v>50</v>
      </c>
      <c r="L737" s="6">
        <f>Raw_data!K737</f>
        <v>40</v>
      </c>
      <c r="M737" s="6">
        <f>Raw_data!L737</f>
        <v>0</v>
      </c>
      <c r="N737" s="6">
        <f t="shared" si="67"/>
        <v>480</v>
      </c>
      <c r="O737" s="6">
        <f t="shared" si="68"/>
        <v>90</v>
      </c>
      <c r="P737" s="6">
        <f t="shared" si="69"/>
        <v>570</v>
      </c>
      <c r="Q737">
        <f t="shared" si="70"/>
        <v>1</v>
      </c>
      <c r="R737">
        <f t="shared" si="71"/>
        <v>4</v>
      </c>
    </row>
    <row r="738" spans="1:18" x14ac:dyDescent="0.25">
      <c r="A738">
        <f>Raw_data!A738</f>
        <v>737</v>
      </c>
      <c r="B738" t="str">
        <f>Raw_data!B738</f>
        <v>C7506</v>
      </c>
      <c r="C738" t="str">
        <f>Raw_data!C738</f>
        <v>R2959</v>
      </c>
      <c r="D738" s="3">
        <f>Raw_data!D738</f>
        <v>45320.989108796297</v>
      </c>
      <c r="E738" s="3">
        <f>Raw_data!E738</f>
        <v>45321.014108796298</v>
      </c>
      <c r="F738" s="4">
        <f t="shared" si="66"/>
        <v>2.5000000001455192E-2</v>
      </c>
      <c r="G738" s="6">
        <f>Raw_data!F738</f>
        <v>190</v>
      </c>
      <c r="H738" s="6">
        <f>Raw_data!G738</f>
        <v>50</v>
      </c>
      <c r="I738" t="str">
        <f>Raw_data!H738</f>
        <v>Cash on Delivery</v>
      </c>
      <c r="J738" s="7" t="str">
        <f>IF(Raw_data!I738=0.1,"10%",Raw_data!I738)</f>
        <v>10%</v>
      </c>
      <c r="K738" s="6">
        <f>Raw_data!J738</f>
        <v>88</v>
      </c>
      <c r="L738" s="6">
        <f>Raw_data!K738</f>
        <v>21</v>
      </c>
      <c r="M738" s="6">
        <f>Raw_data!L738</f>
        <v>50</v>
      </c>
      <c r="N738" s="6">
        <f t="shared" si="67"/>
        <v>81</v>
      </c>
      <c r="O738" s="6">
        <f t="shared" si="68"/>
        <v>59</v>
      </c>
      <c r="P738" s="6">
        <f t="shared" si="69"/>
        <v>240</v>
      </c>
      <c r="Q738">
        <f t="shared" si="70"/>
        <v>1</v>
      </c>
      <c r="R738">
        <f t="shared" si="71"/>
        <v>1</v>
      </c>
    </row>
    <row r="739" spans="1:18" x14ac:dyDescent="0.25">
      <c r="A739">
        <f>Raw_data!A739</f>
        <v>738</v>
      </c>
      <c r="B739" t="str">
        <f>Raw_data!B739</f>
        <v>C6870</v>
      </c>
      <c r="C739" t="str">
        <f>Raw_data!C739</f>
        <v>R2939</v>
      </c>
      <c r="D739" s="3">
        <f>Raw_data!D739</f>
        <v>45312.263194444444</v>
      </c>
      <c r="E739" s="3">
        <f>Raw_data!E739</f>
        <v>45312.332638888889</v>
      </c>
      <c r="F739" s="4">
        <f t="shared" si="66"/>
        <v>6.9444444445252884E-2</v>
      </c>
      <c r="G739" s="6">
        <f>Raw_data!F739</f>
        <v>629</v>
      </c>
      <c r="H739" s="6">
        <f>Raw_data!G739</f>
        <v>50</v>
      </c>
      <c r="I739" t="str">
        <f>Raw_data!H739</f>
        <v>Credit Card</v>
      </c>
      <c r="J739" s="7" t="str">
        <f>IF(Raw_data!I739=0.1,"10%",Raw_data!I739)</f>
        <v>15% New User</v>
      </c>
      <c r="K739" s="6">
        <f>Raw_data!J739</f>
        <v>70</v>
      </c>
      <c r="L739" s="6">
        <f>Raw_data!K739</f>
        <v>20</v>
      </c>
      <c r="M739" s="6">
        <f>Raw_data!L739</f>
        <v>0</v>
      </c>
      <c r="N739" s="6">
        <f t="shared" si="67"/>
        <v>539</v>
      </c>
      <c r="O739" s="6">
        <f t="shared" si="68"/>
        <v>90</v>
      </c>
      <c r="P739" s="6">
        <f t="shared" si="69"/>
        <v>679</v>
      </c>
      <c r="Q739">
        <f t="shared" si="70"/>
        <v>1</v>
      </c>
      <c r="R739">
        <f t="shared" si="71"/>
        <v>3</v>
      </c>
    </row>
    <row r="740" spans="1:18" x14ac:dyDescent="0.25">
      <c r="A740">
        <f>Raw_data!A740</f>
        <v>739</v>
      </c>
      <c r="B740" t="str">
        <f>Raw_data!B740</f>
        <v>C2531</v>
      </c>
      <c r="C740" t="str">
        <f>Raw_data!C740</f>
        <v>R2692</v>
      </c>
      <c r="D740" s="3">
        <f>Raw_data!D740</f>
        <v>45301.993090277778</v>
      </c>
      <c r="E740" s="3">
        <f>Raw_data!E740</f>
        <v>45302.047951388886</v>
      </c>
      <c r="F740" s="4">
        <f t="shared" si="66"/>
        <v>5.486111110803904E-2</v>
      </c>
      <c r="G740" s="6">
        <f>Raw_data!F740</f>
        <v>760</v>
      </c>
      <c r="H740" s="6">
        <f>Raw_data!G740</f>
        <v>30</v>
      </c>
      <c r="I740" t="str">
        <f>Raw_data!H740</f>
        <v>Credit Card</v>
      </c>
      <c r="J740" s="7" t="str">
        <f>IF(Raw_data!I740=0.1,"10%",Raw_data!I740)</f>
        <v>5% on App</v>
      </c>
      <c r="K740" s="6">
        <f>Raw_data!J740</f>
        <v>114</v>
      </c>
      <c r="L740" s="6">
        <f>Raw_data!K740</f>
        <v>33</v>
      </c>
      <c r="M740" s="6">
        <f>Raw_data!L740</f>
        <v>100</v>
      </c>
      <c r="N740" s="6">
        <f t="shared" si="67"/>
        <v>613</v>
      </c>
      <c r="O740" s="6">
        <f t="shared" si="68"/>
        <v>47</v>
      </c>
      <c r="P740" s="6">
        <f t="shared" si="69"/>
        <v>790</v>
      </c>
      <c r="Q740">
        <f t="shared" si="70"/>
        <v>2</v>
      </c>
      <c r="R740">
        <f t="shared" si="71"/>
        <v>3</v>
      </c>
    </row>
    <row r="741" spans="1:18" x14ac:dyDescent="0.25">
      <c r="A741">
        <f>Raw_data!A741</f>
        <v>740</v>
      </c>
      <c r="B741" t="str">
        <f>Raw_data!B741</f>
        <v>C9172</v>
      </c>
      <c r="C741" t="str">
        <f>Raw_data!C741</f>
        <v>R2535</v>
      </c>
      <c r="D741" s="3">
        <f>Raw_data!D741</f>
        <v>45302.184062499997</v>
      </c>
      <c r="E741" s="3">
        <f>Raw_data!E741</f>
        <v>45302.240312499998</v>
      </c>
      <c r="F741" s="4">
        <f t="shared" si="66"/>
        <v>5.6250000001455192E-2</v>
      </c>
      <c r="G741" s="6">
        <f>Raw_data!F741</f>
        <v>838</v>
      </c>
      <c r="H741" s="6">
        <f>Raw_data!G741</f>
        <v>20</v>
      </c>
      <c r="I741" t="str">
        <f>Raw_data!H741</f>
        <v>Digital Wallet</v>
      </c>
      <c r="J741" s="7" t="str">
        <f>IF(Raw_data!I741=0.1,"10%",Raw_data!I741)</f>
        <v>5% on App</v>
      </c>
      <c r="K741" s="6">
        <f>Raw_data!J741</f>
        <v>64</v>
      </c>
      <c r="L741" s="6">
        <f>Raw_data!K741</f>
        <v>17</v>
      </c>
      <c r="M741" s="6">
        <f>Raw_data!L741</f>
        <v>50</v>
      </c>
      <c r="N741" s="6">
        <f t="shared" si="67"/>
        <v>757</v>
      </c>
      <c r="O741" s="6">
        <f t="shared" si="68"/>
        <v>31</v>
      </c>
      <c r="P741" s="6">
        <f t="shared" si="69"/>
        <v>858</v>
      </c>
      <c r="Q741">
        <f t="shared" si="70"/>
        <v>1</v>
      </c>
      <c r="R741">
        <f t="shared" si="71"/>
        <v>1</v>
      </c>
    </row>
    <row r="742" spans="1:18" x14ac:dyDescent="0.25">
      <c r="A742">
        <f>Raw_data!A742</f>
        <v>741</v>
      </c>
      <c r="B742" t="str">
        <f>Raw_data!B742</f>
        <v>C4345</v>
      </c>
      <c r="C742" t="str">
        <f>Raw_data!C742</f>
        <v>R2827</v>
      </c>
      <c r="D742" s="3">
        <f>Raw_data!D742</f>
        <v>45302.247928240744</v>
      </c>
      <c r="E742" s="3">
        <f>Raw_data!E742</f>
        <v>45302.286122685182</v>
      </c>
      <c r="F742" s="4">
        <f t="shared" si="66"/>
        <v>3.8194444437976927E-2</v>
      </c>
      <c r="G742" s="6">
        <f>Raw_data!F742</f>
        <v>825</v>
      </c>
      <c r="H742" s="6">
        <f>Raw_data!G742</f>
        <v>30</v>
      </c>
      <c r="I742" t="str">
        <f>Raw_data!H742</f>
        <v>Credit Card</v>
      </c>
      <c r="J742" s="7" t="str">
        <f>IF(Raw_data!I742=0.1,"10%",Raw_data!I742)</f>
        <v>5% on App</v>
      </c>
      <c r="K742" s="6">
        <f>Raw_data!J742</f>
        <v>181</v>
      </c>
      <c r="L742" s="6">
        <f>Raw_data!K742</f>
        <v>41</v>
      </c>
      <c r="M742" s="6">
        <f>Raw_data!L742</f>
        <v>0</v>
      </c>
      <c r="N742" s="6">
        <f t="shared" si="67"/>
        <v>603</v>
      </c>
      <c r="O742" s="6">
        <f t="shared" si="68"/>
        <v>222</v>
      </c>
      <c r="P742" s="6">
        <f t="shared" si="69"/>
        <v>855</v>
      </c>
      <c r="Q742">
        <f t="shared" si="70"/>
        <v>1</v>
      </c>
      <c r="R742">
        <f t="shared" si="71"/>
        <v>2</v>
      </c>
    </row>
    <row r="743" spans="1:18" x14ac:dyDescent="0.25">
      <c r="A743">
        <f>Raw_data!A743</f>
        <v>742</v>
      </c>
      <c r="B743" t="str">
        <f>Raw_data!B743</f>
        <v>C8673</v>
      </c>
      <c r="C743" t="str">
        <f>Raw_data!C743</f>
        <v>R2377</v>
      </c>
      <c r="D743" s="3">
        <f>Raw_data!D743</f>
        <v>45292.97314814815</v>
      </c>
      <c r="E743" s="3">
        <f>Raw_data!E743</f>
        <v>45293.011342592596</v>
      </c>
      <c r="F743" s="4">
        <f t="shared" si="66"/>
        <v>3.8194444445252884E-2</v>
      </c>
      <c r="G743" s="6">
        <f>Raw_data!F743</f>
        <v>971</v>
      </c>
      <c r="H743" s="6">
        <f>Raw_data!G743</f>
        <v>50</v>
      </c>
      <c r="I743" t="str">
        <f>Raw_data!H743</f>
        <v>Cash on Delivery</v>
      </c>
      <c r="J743" s="7" t="str">
        <f>IF(Raw_data!I743=0.1,"10%",Raw_data!I743)</f>
        <v>50 off Promo</v>
      </c>
      <c r="K743" s="6">
        <f>Raw_data!J743</f>
        <v>110</v>
      </c>
      <c r="L743" s="6">
        <f>Raw_data!K743</f>
        <v>47</v>
      </c>
      <c r="M743" s="6">
        <f>Raw_data!L743</f>
        <v>0</v>
      </c>
      <c r="N743" s="6">
        <f t="shared" si="67"/>
        <v>814</v>
      </c>
      <c r="O743" s="6">
        <f t="shared" si="68"/>
        <v>157</v>
      </c>
      <c r="P743" s="6">
        <f t="shared" si="69"/>
        <v>1021</v>
      </c>
      <c r="Q743">
        <f t="shared" si="70"/>
        <v>1</v>
      </c>
      <c r="R743">
        <f t="shared" si="71"/>
        <v>2</v>
      </c>
    </row>
    <row r="744" spans="1:18" x14ac:dyDescent="0.25">
      <c r="A744">
        <f>Raw_data!A744</f>
        <v>743</v>
      </c>
      <c r="B744" t="str">
        <f>Raw_data!B744</f>
        <v>C7949</v>
      </c>
      <c r="C744" t="str">
        <f>Raw_data!C744</f>
        <v>R2898</v>
      </c>
      <c r="D744" s="3">
        <f>Raw_data!D744</f>
        <v>45307.062118055554</v>
      </c>
      <c r="E744" s="3">
        <f>Raw_data!E744</f>
        <v>45307.095451388886</v>
      </c>
      <c r="F744" s="4">
        <f t="shared" si="66"/>
        <v>3.3333333332848269E-2</v>
      </c>
      <c r="G744" s="6">
        <f>Raw_data!F744</f>
        <v>1786</v>
      </c>
      <c r="H744" s="6">
        <f>Raw_data!G744</f>
        <v>30</v>
      </c>
      <c r="I744" t="str">
        <f>Raw_data!H744</f>
        <v>Digital Wallet</v>
      </c>
      <c r="J744" s="7" t="str">
        <f>IF(Raw_data!I744=0.1,"10%",Raw_data!I744)</f>
        <v>None</v>
      </c>
      <c r="K744" s="6">
        <f>Raw_data!J744</f>
        <v>197</v>
      </c>
      <c r="L744" s="6">
        <f>Raw_data!K744</f>
        <v>31</v>
      </c>
      <c r="M744" s="6">
        <f>Raw_data!L744</f>
        <v>0</v>
      </c>
      <c r="N744" s="6">
        <f t="shared" si="67"/>
        <v>1558</v>
      </c>
      <c r="O744" s="6">
        <f t="shared" si="68"/>
        <v>228</v>
      </c>
      <c r="P744" s="6">
        <f t="shared" si="69"/>
        <v>1816</v>
      </c>
      <c r="Q744">
        <f t="shared" si="70"/>
        <v>3</v>
      </c>
      <c r="R744">
        <f t="shared" si="71"/>
        <v>1</v>
      </c>
    </row>
    <row r="745" spans="1:18" x14ac:dyDescent="0.25">
      <c r="A745">
        <f>Raw_data!A745</f>
        <v>744</v>
      </c>
      <c r="B745" t="str">
        <f>Raw_data!B745</f>
        <v>C7882</v>
      </c>
      <c r="C745" t="str">
        <f>Raw_data!C745</f>
        <v>R2915</v>
      </c>
      <c r="D745" s="3">
        <f>Raw_data!D745</f>
        <v>45303.32912037037</v>
      </c>
      <c r="E745" s="3">
        <f>Raw_data!E745</f>
        <v>45303.355509259258</v>
      </c>
      <c r="F745" s="4">
        <f t="shared" si="66"/>
        <v>2.6388888887595385E-2</v>
      </c>
      <c r="G745" s="6">
        <f>Raw_data!F745</f>
        <v>291</v>
      </c>
      <c r="H745" s="6">
        <f>Raw_data!G745</f>
        <v>0</v>
      </c>
      <c r="I745" t="str">
        <f>Raw_data!H745</f>
        <v>Cash on Delivery</v>
      </c>
      <c r="J745" s="7" t="str">
        <f>IF(Raw_data!I745=0.1,"10%",Raw_data!I745)</f>
        <v>15% New User</v>
      </c>
      <c r="K745" s="6">
        <f>Raw_data!J745</f>
        <v>187</v>
      </c>
      <c r="L745" s="6">
        <f>Raw_data!K745</f>
        <v>43</v>
      </c>
      <c r="M745" s="6">
        <f>Raw_data!L745</f>
        <v>0</v>
      </c>
      <c r="N745" s="6">
        <f t="shared" si="67"/>
        <v>61</v>
      </c>
      <c r="O745" s="6">
        <f t="shared" si="68"/>
        <v>230</v>
      </c>
      <c r="P745" s="6">
        <f t="shared" si="69"/>
        <v>291</v>
      </c>
      <c r="Q745">
        <f t="shared" si="70"/>
        <v>1</v>
      </c>
      <c r="R745">
        <f t="shared" si="71"/>
        <v>3</v>
      </c>
    </row>
    <row r="746" spans="1:18" x14ac:dyDescent="0.25">
      <c r="A746">
        <f>Raw_data!A746</f>
        <v>745</v>
      </c>
      <c r="B746" t="str">
        <f>Raw_data!B746</f>
        <v>C2906</v>
      </c>
      <c r="C746" t="str">
        <f>Raw_data!C746</f>
        <v>R2557</v>
      </c>
      <c r="D746" s="3">
        <f>Raw_data!D746</f>
        <v>45329.309282407405</v>
      </c>
      <c r="E746" s="3">
        <f>Raw_data!E746</f>
        <v>45329.371782407405</v>
      </c>
      <c r="F746" s="4">
        <f t="shared" si="66"/>
        <v>6.25E-2</v>
      </c>
      <c r="G746" s="6">
        <f>Raw_data!F746</f>
        <v>1675</v>
      </c>
      <c r="H746" s="6">
        <f>Raw_data!G746</f>
        <v>30</v>
      </c>
      <c r="I746" t="str">
        <f>Raw_data!H746</f>
        <v>Credit Card</v>
      </c>
      <c r="J746" s="7" t="str">
        <f>IF(Raw_data!I746=0.1,"10%",Raw_data!I746)</f>
        <v>10%</v>
      </c>
      <c r="K746" s="6">
        <f>Raw_data!J746</f>
        <v>136</v>
      </c>
      <c r="L746" s="6">
        <f>Raw_data!K746</f>
        <v>28</v>
      </c>
      <c r="M746" s="6">
        <f>Raw_data!L746</f>
        <v>0</v>
      </c>
      <c r="N746" s="6">
        <f t="shared" si="67"/>
        <v>1511</v>
      </c>
      <c r="O746" s="6">
        <f t="shared" si="68"/>
        <v>164</v>
      </c>
      <c r="P746" s="6">
        <f t="shared" si="69"/>
        <v>1705</v>
      </c>
      <c r="Q746">
        <f t="shared" si="70"/>
        <v>2</v>
      </c>
      <c r="R746">
        <f t="shared" si="71"/>
        <v>2</v>
      </c>
    </row>
    <row r="747" spans="1:18" x14ac:dyDescent="0.25">
      <c r="A747">
        <f>Raw_data!A747</f>
        <v>746</v>
      </c>
      <c r="B747" t="str">
        <f>Raw_data!B747</f>
        <v>C4086</v>
      </c>
      <c r="C747" t="str">
        <f>Raw_data!C747</f>
        <v>R2526</v>
      </c>
      <c r="D747" s="3">
        <f>Raw_data!D747</f>
        <v>45319.663622685184</v>
      </c>
      <c r="E747" s="3">
        <f>Raw_data!E747</f>
        <v>45319.697650462964</v>
      </c>
      <c r="F747" s="4">
        <f t="shared" si="66"/>
        <v>3.4027777779556345E-2</v>
      </c>
      <c r="G747" s="6">
        <f>Raw_data!F747</f>
        <v>1365</v>
      </c>
      <c r="H747" s="6">
        <f>Raw_data!G747</f>
        <v>20</v>
      </c>
      <c r="I747" t="str">
        <f>Raw_data!H747</f>
        <v>Cash on Delivery</v>
      </c>
      <c r="J747" s="7" t="str">
        <f>IF(Raw_data!I747=0.1,"10%",Raw_data!I747)</f>
        <v>5% on App</v>
      </c>
      <c r="K747" s="6">
        <f>Raw_data!J747</f>
        <v>154</v>
      </c>
      <c r="L747" s="6">
        <f>Raw_data!K747</f>
        <v>29</v>
      </c>
      <c r="M747" s="6">
        <f>Raw_data!L747</f>
        <v>0</v>
      </c>
      <c r="N747" s="6">
        <f t="shared" si="67"/>
        <v>1182</v>
      </c>
      <c r="O747" s="6">
        <f t="shared" si="68"/>
        <v>183</v>
      </c>
      <c r="P747" s="6">
        <f t="shared" si="69"/>
        <v>1385</v>
      </c>
      <c r="Q747">
        <f t="shared" si="70"/>
        <v>1</v>
      </c>
      <c r="R747">
        <f t="shared" si="71"/>
        <v>3</v>
      </c>
    </row>
    <row r="748" spans="1:18" x14ac:dyDescent="0.25">
      <c r="A748">
        <f>Raw_data!A748</f>
        <v>747</v>
      </c>
      <c r="B748" t="str">
        <f>Raw_data!B748</f>
        <v>C9152</v>
      </c>
      <c r="C748" t="str">
        <f>Raw_data!C748</f>
        <v>R2152</v>
      </c>
      <c r="D748" s="3">
        <f>Raw_data!D748</f>
        <v>45317.712951388887</v>
      </c>
      <c r="E748" s="3">
        <f>Raw_data!E748</f>
        <v>45317.767812500002</v>
      </c>
      <c r="F748" s="4">
        <f t="shared" si="66"/>
        <v>5.4861111115314998E-2</v>
      </c>
      <c r="G748" s="6">
        <f>Raw_data!F748</f>
        <v>237</v>
      </c>
      <c r="H748" s="6">
        <f>Raw_data!G748</f>
        <v>0</v>
      </c>
      <c r="I748" t="str">
        <f>Raw_data!H748</f>
        <v>Cash on Delivery</v>
      </c>
      <c r="J748" s="7" t="str">
        <f>IF(Raw_data!I748=0.1,"10%",Raw_data!I748)</f>
        <v>15% New User</v>
      </c>
      <c r="K748" s="6">
        <f>Raw_data!J748</f>
        <v>83</v>
      </c>
      <c r="L748" s="6">
        <f>Raw_data!K748</f>
        <v>23</v>
      </c>
      <c r="M748" s="6">
        <f>Raw_data!L748</f>
        <v>0</v>
      </c>
      <c r="N748" s="6">
        <f t="shared" si="67"/>
        <v>131</v>
      </c>
      <c r="O748" s="6">
        <f t="shared" si="68"/>
        <v>106</v>
      </c>
      <c r="P748" s="6">
        <f t="shared" si="69"/>
        <v>237</v>
      </c>
      <c r="Q748">
        <f t="shared" si="70"/>
        <v>1</v>
      </c>
      <c r="R748">
        <f t="shared" si="71"/>
        <v>3</v>
      </c>
    </row>
    <row r="749" spans="1:18" x14ac:dyDescent="0.25">
      <c r="A749">
        <f>Raw_data!A749</f>
        <v>748</v>
      </c>
      <c r="B749" t="str">
        <f>Raw_data!B749</f>
        <v>C6750</v>
      </c>
      <c r="C749" t="str">
        <f>Raw_data!C749</f>
        <v>R2733</v>
      </c>
      <c r="D749" s="3">
        <f>Raw_data!D749</f>
        <v>45317.661817129629</v>
      </c>
      <c r="E749" s="3">
        <f>Raw_data!E749</f>
        <v>45317.737511574072</v>
      </c>
      <c r="F749" s="4">
        <f t="shared" si="66"/>
        <v>7.5694444443797693E-2</v>
      </c>
      <c r="G749" s="6">
        <f>Raw_data!F749</f>
        <v>444</v>
      </c>
      <c r="H749" s="6">
        <f>Raw_data!G749</f>
        <v>40</v>
      </c>
      <c r="I749" t="str">
        <f>Raw_data!H749</f>
        <v>Credit Card</v>
      </c>
      <c r="J749" s="7" t="str">
        <f>IF(Raw_data!I749=0.1,"10%",Raw_data!I749)</f>
        <v>5% on App</v>
      </c>
      <c r="K749" s="6">
        <f>Raw_data!J749</f>
        <v>173</v>
      </c>
      <c r="L749" s="6">
        <f>Raw_data!K749</f>
        <v>42</v>
      </c>
      <c r="M749" s="6">
        <f>Raw_data!L749</f>
        <v>0</v>
      </c>
      <c r="N749" s="6">
        <f t="shared" si="67"/>
        <v>229</v>
      </c>
      <c r="O749" s="6">
        <f t="shared" si="68"/>
        <v>215</v>
      </c>
      <c r="P749" s="6">
        <f t="shared" si="69"/>
        <v>484</v>
      </c>
      <c r="Q749">
        <f t="shared" si="70"/>
        <v>1</v>
      </c>
      <c r="R749">
        <f t="shared" si="71"/>
        <v>2</v>
      </c>
    </row>
    <row r="750" spans="1:18" x14ac:dyDescent="0.25">
      <c r="A750">
        <f>Raw_data!A750</f>
        <v>749</v>
      </c>
      <c r="B750" t="str">
        <f>Raw_data!B750</f>
        <v>C9905</v>
      </c>
      <c r="C750" t="str">
        <f>Raw_data!C750</f>
        <v>R2205</v>
      </c>
      <c r="D750" s="3">
        <f>Raw_data!D750</f>
        <v>45294.081365740742</v>
      </c>
      <c r="E750" s="3">
        <f>Raw_data!E750</f>
        <v>45294.157754629632</v>
      </c>
      <c r="F750" s="4">
        <f t="shared" si="66"/>
        <v>7.6388888890505768E-2</v>
      </c>
      <c r="G750" s="6">
        <f>Raw_data!F750</f>
        <v>1303</v>
      </c>
      <c r="H750" s="6">
        <f>Raw_data!G750</f>
        <v>50</v>
      </c>
      <c r="I750" t="str">
        <f>Raw_data!H750</f>
        <v>Digital Wallet</v>
      </c>
      <c r="J750" s="7" t="str">
        <f>IF(Raw_data!I750=0.1,"10%",Raw_data!I750)</f>
        <v>5% on App</v>
      </c>
      <c r="K750" s="6">
        <f>Raw_data!J750</f>
        <v>159</v>
      </c>
      <c r="L750" s="6">
        <f>Raw_data!K750</f>
        <v>19</v>
      </c>
      <c r="M750" s="6">
        <f>Raw_data!L750</f>
        <v>0</v>
      </c>
      <c r="N750" s="6">
        <f t="shared" si="67"/>
        <v>1125</v>
      </c>
      <c r="O750" s="6">
        <f t="shared" si="68"/>
        <v>178</v>
      </c>
      <c r="P750" s="6">
        <f t="shared" si="69"/>
        <v>1353</v>
      </c>
      <c r="Q750">
        <f t="shared" si="70"/>
        <v>2</v>
      </c>
      <c r="R750">
        <f t="shared" si="71"/>
        <v>1</v>
      </c>
    </row>
    <row r="751" spans="1:18" x14ac:dyDescent="0.25">
      <c r="A751">
        <f>Raw_data!A751</f>
        <v>750</v>
      </c>
      <c r="B751" t="str">
        <f>Raw_data!B751</f>
        <v>C2062</v>
      </c>
      <c r="C751" t="str">
        <f>Raw_data!C751</f>
        <v>R2454</v>
      </c>
      <c r="D751" s="3">
        <f>Raw_data!D751</f>
        <v>45310.01525462963</v>
      </c>
      <c r="E751" s="3">
        <f>Raw_data!E751</f>
        <v>45310.050671296296</v>
      </c>
      <c r="F751" s="4">
        <f t="shared" si="66"/>
        <v>3.5416666665696539E-2</v>
      </c>
      <c r="G751" s="6">
        <f>Raw_data!F751</f>
        <v>1108</v>
      </c>
      <c r="H751" s="6">
        <f>Raw_data!G751</f>
        <v>50</v>
      </c>
      <c r="I751" t="str">
        <f>Raw_data!H751</f>
        <v>Cash on Delivery</v>
      </c>
      <c r="J751" s="7" t="str">
        <f>IF(Raw_data!I751=0.1,"10%",Raw_data!I751)</f>
        <v>10%</v>
      </c>
      <c r="K751" s="6">
        <f>Raw_data!J751</f>
        <v>82</v>
      </c>
      <c r="L751" s="6">
        <f>Raw_data!K751</f>
        <v>25</v>
      </c>
      <c r="M751" s="6">
        <f>Raw_data!L751</f>
        <v>0</v>
      </c>
      <c r="N751" s="6">
        <f t="shared" si="67"/>
        <v>1001</v>
      </c>
      <c r="O751" s="6">
        <f t="shared" si="68"/>
        <v>107</v>
      </c>
      <c r="P751" s="6">
        <f t="shared" si="69"/>
        <v>1158</v>
      </c>
      <c r="Q751">
        <f t="shared" si="70"/>
        <v>2</v>
      </c>
      <c r="R751">
        <f t="shared" si="71"/>
        <v>3</v>
      </c>
    </row>
    <row r="752" spans="1:18" x14ac:dyDescent="0.25">
      <c r="A752">
        <f>Raw_data!A752</f>
        <v>751</v>
      </c>
      <c r="B752" t="str">
        <f>Raw_data!B752</f>
        <v>C2976</v>
      </c>
      <c r="C752" t="str">
        <f>Raw_data!C752</f>
        <v>R2272</v>
      </c>
      <c r="D752" s="3">
        <f>Raw_data!D752</f>
        <v>45322.776423611111</v>
      </c>
      <c r="E752" s="3">
        <f>Raw_data!E752</f>
        <v>45322.805590277778</v>
      </c>
      <c r="F752" s="4">
        <f t="shared" si="66"/>
        <v>2.9166666667151731E-2</v>
      </c>
      <c r="G752" s="6">
        <f>Raw_data!F752</f>
        <v>1835</v>
      </c>
      <c r="H752" s="6">
        <f>Raw_data!G752</f>
        <v>30</v>
      </c>
      <c r="I752" t="str">
        <f>Raw_data!H752</f>
        <v>Credit Card</v>
      </c>
      <c r="J752" s="7" t="str">
        <f>IF(Raw_data!I752=0.1,"10%",Raw_data!I752)</f>
        <v>50 off Promo</v>
      </c>
      <c r="K752" s="6">
        <f>Raw_data!J752</f>
        <v>147</v>
      </c>
      <c r="L752" s="6">
        <f>Raw_data!K752</f>
        <v>13</v>
      </c>
      <c r="M752" s="6">
        <f>Raw_data!L752</f>
        <v>100</v>
      </c>
      <c r="N752" s="6">
        <f t="shared" si="67"/>
        <v>1675</v>
      </c>
      <c r="O752" s="6">
        <f t="shared" si="68"/>
        <v>60</v>
      </c>
      <c r="P752" s="6">
        <f t="shared" si="69"/>
        <v>1865</v>
      </c>
      <c r="Q752">
        <f t="shared" si="70"/>
        <v>1</v>
      </c>
      <c r="R752">
        <f t="shared" si="71"/>
        <v>2</v>
      </c>
    </row>
    <row r="753" spans="1:18" x14ac:dyDescent="0.25">
      <c r="A753">
        <f>Raw_data!A753</f>
        <v>752</v>
      </c>
      <c r="B753" t="str">
        <f>Raw_data!B753</f>
        <v>C2296</v>
      </c>
      <c r="C753" t="str">
        <f>Raw_data!C753</f>
        <v>R2893</v>
      </c>
      <c r="D753" s="3">
        <f>Raw_data!D753</f>
        <v>45295.542754629627</v>
      </c>
      <c r="E753" s="3">
        <f>Raw_data!E753</f>
        <v>45295.571226851855</v>
      </c>
      <c r="F753" s="4">
        <f t="shared" si="66"/>
        <v>2.8472222227719612E-2</v>
      </c>
      <c r="G753" s="6">
        <f>Raw_data!F753</f>
        <v>602</v>
      </c>
      <c r="H753" s="6">
        <f>Raw_data!G753</f>
        <v>0</v>
      </c>
      <c r="I753" t="str">
        <f>Raw_data!H753</f>
        <v>Digital Wallet</v>
      </c>
      <c r="J753" s="7" t="str">
        <f>IF(Raw_data!I753=0.1,"10%",Raw_data!I753)</f>
        <v>None</v>
      </c>
      <c r="K753" s="6">
        <f>Raw_data!J753</f>
        <v>110</v>
      </c>
      <c r="L753" s="6">
        <f>Raw_data!K753</f>
        <v>36</v>
      </c>
      <c r="M753" s="6">
        <f>Raw_data!L753</f>
        <v>150</v>
      </c>
      <c r="N753" s="6">
        <f t="shared" si="67"/>
        <v>456</v>
      </c>
      <c r="O753" s="6">
        <f t="shared" si="68"/>
        <v>-4</v>
      </c>
      <c r="P753" s="6">
        <f t="shared" si="69"/>
        <v>602</v>
      </c>
      <c r="Q753">
        <f t="shared" si="70"/>
        <v>1</v>
      </c>
      <c r="R753">
        <f t="shared" si="71"/>
        <v>2</v>
      </c>
    </row>
    <row r="754" spans="1:18" x14ac:dyDescent="0.25">
      <c r="A754">
        <f>Raw_data!A754</f>
        <v>753</v>
      </c>
      <c r="B754" t="str">
        <f>Raw_data!B754</f>
        <v>C7229</v>
      </c>
      <c r="C754" t="str">
        <f>Raw_data!C754</f>
        <v>R2235</v>
      </c>
      <c r="D754" s="3">
        <f>Raw_data!D754</f>
        <v>45306.311307870368</v>
      </c>
      <c r="E754" s="3">
        <f>Raw_data!E754</f>
        <v>45306.338391203702</v>
      </c>
      <c r="F754" s="4">
        <f t="shared" si="66"/>
        <v>2.7083333334303461E-2</v>
      </c>
      <c r="G754" s="6">
        <f>Raw_data!F754</f>
        <v>302</v>
      </c>
      <c r="H754" s="6">
        <f>Raw_data!G754</f>
        <v>40</v>
      </c>
      <c r="I754" t="str">
        <f>Raw_data!H754</f>
        <v>Digital Wallet</v>
      </c>
      <c r="J754" s="7" t="str">
        <f>IF(Raw_data!I754=0.1,"10%",Raw_data!I754)</f>
        <v>50 off Promo</v>
      </c>
      <c r="K754" s="6">
        <f>Raw_data!J754</f>
        <v>59</v>
      </c>
      <c r="L754" s="6">
        <f>Raw_data!K754</f>
        <v>37</v>
      </c>
      <c r="M754" s="6">
        <f>Raw_data!L754</f>
        <v>0</v>
      </c>
      <c r="N754" s="6">
        <f t="shared" si="67"/>
        <v>206</v>
      </c>
      <c r="O754" s="6">
        <f t="shared" si="68"/>
        <v>96</v>
      </c>
      <c r="P754" s="6">
        <f t="shared" si="69"/>
        <v>342</v>
      </c>
      <c r="Q754">
        <f t="shared" si="70"/>
        <v>1</v>
      </c>
      <c r="R754">
        <f t="shared" si="71"/>
        <v>1</v>
      </c>
    </row>
    <row r="755" spans="1:18" x14ac:dyDescent="0.25">
      <c r="A755">
        <f>Raw_data!A755</f>
        <v>754</v>
      </c>
      <c r="B755" t="str">
        <f>Raw_data!B755</f>
        <v>C8641</v>
      </c>
      <c r="C755" t="str">
        <f>Raw_data!C755</f>
        <v>R2851</v>
      </c>
      <c r="D755" s="3">
        <f>Raw_data!D755</f>
        <v>45308.333564814813</v>
      </c>
      <c r="E755" s="3">
        <f>Raw_data!E755</f>
        <v>45308.398842592593</v>
      </c>
      <c r="F755" s="4">
        <f t="shared" si="66"/>
        <v>6.5277777779556345E-2</v>
      </c>
      <c r="G755" s="6">
        <f>Raw_data!F755</f>
        <v>672</v>
      </c>
      <c r="H755" s="6">
        <f>Raw_data!G755</f>
        <v>0</v>
      </c>
      <c r="I755" t="str">
        <f>Raw_data!H755</f>
        <v>Digital Wallet</v>
      </c>
      <c r="J755" s="7" t="str">
        <f>IF(Raw_data!I755=0.1,"10%",Raw_data!I755)</f>
        <v>15% New User</v>
      </c>
      <c r="K755" s="6">
        <f>Raw_data!J755</f>
        <v>133</v>
      </c>
      <c r="L755" s="6">
        <f>Raw_data!K755</f>
        <v>25</v>
      </c>
      <c r="M755" s="6">
        <f>Raw_data!L755</f>
        <v>100</v>
      </c>
      <c r="N755" s="6">
        <f t="shared" si="67"/>
        <v>514</v>
      </c>
      <c r="O755" s="6">
        <f t="shared" si="68"/>
        <v>58</v>
      </c>
      <c r="P755" s="6">
        <f t="shared" si="69"/>
        <v>672</v>
      </c>
      <c r="Q755">
        <f t="shared" si="70"/>
        <v>1</v>
      </c>
      <c r="R755">
        <f t="shared" si="71"/>
        <v>1</v>
      </c>
    </row>
    <row r="756" spans="1:18" x14ac:dyDescent="0.25">
      <c r="A756">
        <f>Raw_data!A756</f>
        <v>755</v>
      </c>
      <c r="B756" t="str">
        <f>Raw_data!B756</f>
        <v>C1125</v>
      </c>
      <c r="C756" t="str">
        <f>Raw_data!C756</f>
        <v>R2739</v>
      </c>
      <c r="D756" s="3">
        <f>Raw_data!D756</f>
        <v>45299.909768518519</v>
      </c>
      <c r="E756" s="3">
        <f>Raw_data!E756</f>
        <v>45299.950740740744</v>
      </c>
      <c r="F756" s="4">
        <f t="shared" si="66"/>
        <v>4.0972222224809229E-2</v>
      </c>
      <c r="G756" s="6">
        <f>Raw_data!F756</f>
        <v>291</v>
      </c>
      <c r="H756" s="6">
        <f>Raw_data!G756</f>
        <v>50</v>
      </c>
      <c r="I756" t="str">
        <f>Raw_data!H756</f>
        <v>Cash on Delivery</v>
      </c>
      <c r="J756" s="7" t="str">
        <f>IF(Raw_data!I756=0.1,"10%",Raw_data!I756)</f>
        <v>50 off Promo</v>
      </c>
      <c r="K756" s="6">
        <f>Raw_data!J756</f>
        <v>114</v>
      </c>
      <c r="L756" s="6">
        <f>Raw_data!K756</f>
        <v>42</v>
      </c>
      <c r="M756" s="6">
        <f>Raw_data!L756</f>
        <v>100</v>
      </c>
      <c r="N756" s="6">
        <f t="shared" si="67"/>
        <v>135</v>
      </c>
      <c r="O756" s="6">
        <f t="shared" si="68"/>
        <v>56</v>
      </c>
      <c r="P756" s="6">
        <f t="shared" si="69"/>
        <v>341</v>
      </c>
      <c r="Q756">
        <f t="shared" si="70"/>
        <v>1</v>
      </c>
      <c r="R756">
        <f t="shared" si="71"/>
        <v>2</v>
      </c>
    </row>
    <row r="757" spans="1:18" x14ac:dyDescent="0.25">
      <c r="A757">
        <f>Raw_data!A757</f>
        <v>756</v>
      </c>
      <c r="B757" t="str">
        <f>Raw_data!B757</f>
        <v>C5632</v>
      </c>
      <c r="C757" t="str">
        <f>Raw_data!C757</f>
        <v>R2520</v>
      </c>
      <c r="D757" s="3">
        <f>Raw_data!D757</f>
        <v>45309.908113425925</v>
      </c>
      <c r="E757" s="3">
        <f>Raw_data!E757</f>
        <v>45309.933807870373</v>
      </c>
      <c r="F757" s="4">
        <f t="shared" si="66"/>
        <v>2.5694444448163267E-2</v>
      </c>
      <c r="G757" s="6">
        <f>Raw_data!F757</f>
        <v>104</v>
      </c>
      <c r="H757" s="6">
        <f>Raw_data!G757</f>
        <v>0</v>
      </c>
      <c r="I757" t="str">
        <f>Raw_data!H757</f>
        <v>Cash on Delivery</v>
      </c>
      <c r="J757" s="7" t="str">
        <f>IF(Raw_data!I757=0.1,"10%",Raw_data!I757)</f>
        <v>15% New User</v>
      </c>
      <c r="K757" s="6">
        <f>Raw_data!J757</f>
        <v>126</v>
      </c>
      <c r="L757" s="6">
        <f>Raw_data!K757</f>
        <v>28</v>
      </c>
      <c r="M757" s="6">
        <f>Raw_data!L757</f>
        <v>0</v>
      </c>
      <c r="N757" s="6">
        <f t="shared" si="67"/>
        <v>-50</v>
      </c>
      <c r="O757" s="6">
        <f t="shared" si="68"/>
        <v>154</v>
      </c>
      <c r="P757" s="6">
        <f t="shared" si="69"/>
        <v>104</v>
      </c>
      <c r="Q757">
        <f t="shared" si="70"/>
        <v>1</v>
      </c>
      <c r="R757">
        <f t="shared" si="71"/>
        <v>4</v>
      </c>
    </row>
    <row r="758" spans="1:18" x14ac:dyDescent="0.25">
      <c r="A758">
        <f>Raw_data!A758</f>
        <v>757</v>
      </c>
      <c r="B758" t="str">
        <f>Raw_data!B758</f>
        <v>C7288</v>
      </c>
      <c r="C758" t="str">
        <f>Raw_data!C758</f>
        <v>R2677</v>
      </c>
      <c r="D758" s="3">
        <f>Raw_data!D758</f>
        <v>45320.760231481479</v>
      </c>
      <c r="E758" s="3">
        <f>Raw_data!E758</f>
        <v>45320.794953703706</v>
      </c>
      <c r="F758" s="4">
        <f t="shared" si="66"/>
        <v>3.4722222226264421E-2</v>
      </c>
      <c r="G758" s="6">
        <f>Raw_data!F758</f>
        <v>1360</v>
      </c>
      <c r="H758" s="6">
        <f>Raw_data!G758</f>
        <v>40</v>
      </c>
      <c r="I758" t="str">
        <f>Raw_data!H758</f>
        <v>Cash on Delivery</v>
      </c>
      <c r="J758" s="7" t="str">
        <f>IF(Raw_data!I758=0.1,"10%",Raw_data!I758)</f>
        <v>15% New User</v>
      </c>
      <c r="K758" s="6">
        <f>Raw_data!J758</f>
        <v>50</v>
      </c>
      <c r="L758" s="6">
        <f>Raw_data!K758</f>
        <v>30</v>
      </c>
      <c r="M758" s="6">
        <f>Raw_data!L758</f>
        <v>0</v>
      </c>
      <c r="N758" s="6">
        <f t="shared" si="67"/>
        <v>1280</v>
      </c>
      <c r="O758" s="6">
        <f t="shared" si="68"/>
        <v>80</v>
      </c>
      <c r="P758" s="6">
        <f t="shared" si="69"/>
        <v>1400</v>
      </c>
      <c r="Q758">
        <f t="shared" si="70"/>
        <v>1</v>
      </c>
      <c r="R758">
        <f t="shared" si="71"/>
        <v>1</v>
      </c>
    </row>
    <row r="759" spans="1:18" x14ac:dyDescent="0.25">
      <c r="A759">
        <f>Raw_data!A759</f>
        <v>758</v>
      </c>
      <c r="B759" t="str">
        <f>Raw_data!B759</f>
        <v>C4596</v>
      </c>
      <c r="C759" t="str">
        <f>Raw_data!C759</f>
        <v>R2943</v>
      </c>
      <c r="D759" s="3">
        <f>Raw_data!D759</f>
        <v>45302.025266203702</v>
      </c>
      <c r="E759" s="3">
        <f>Raw_data!E759</f>
        <v>45302.060682870368</v>
      </c>
      <c r="F759" s="4">
        <f t="shared" si="66"/>
        <v>3.5416666665696539E-2</v>
      </c>
      <c r="G759" s="6">
        <f>Raw_data!F759</f>
        <v>1816</v>
      </c>
      <c r="H759" s="6">
        <f>Raw_data!G759</f>
        <v>30</v>
      </c>
      <c r="I759" t="str">
        <f>Raw_data!H759</f>
        <v>Digital Wallet</v>
      </c>
      <c r="J759" s="7" t="str">
        <f>IF(Raw_data!I759=0.1,"10%",Raw_data!I759)</f>
        <v>None</v>
      </c>
      <c r="K759" s="6">
        <f>Raw_data!J759</f>
        <v>182</v>
      </c>
      <c r="L759" s="6">
        <f>Raw_data!K759</f>
        <v>31</v>
      </c>
      <c r="M759" s="6">
        <f>Raw_data!L759</f>
        <v>100</v>
      </c>
      <c r="N759" s="6">
        <f t="shared" si="67"/>
        <v>1603</v>
      </c>
      <c r="O759" s="6">
        <f t="shared" si="68"/>
        <v>113</v>
      </c>
      <c r="P759" s="6">
        <f t="shared" si="69"/>
        <v>1846</v>
      </c>
      <c r="Q759">
        <f t="shared" si="70"/>
        <v>1</v>
      </c>
      <c r="R759">
        <f t="shared" si="71"/>
        <v>2</v>
      </c>
    </row>
    <row r="760" spans="1:18" x14ac:dyDescent="0.25">
      <c r="A760">
        <f>Raw_data!A760</f>
        <v>759</v>
      </c>
      <c r="B760" t="str">
        <f>Raw_data!B760</f>
        <v>C7168</v>
      </c>
      <c r="C760" t="str">
        <f>Raw_data!C760</f>
        <v>R2955</v>
      </c>
      <c r="D760" s="3">
        <f>Raw_data!D760</f>
        <v>45299.209409722222</v>
      </c>
      <c r="E760" s="3">
        <f>Raw_data!E760</f>
        <v>45299.242048611108</v>
      </c>
      <c r="F760" s="4">
        <f t="shared" si="66"/>
        <v>3.2638888886140194E-2</v>
      </c>
      <c r="G760" s="6">
        <f>Raw_data!F760</f>
        <v>410</v>
      </c>
      <c r="H760" s="6">
        <f>Raw_data!G760</f>
        <v>20</v>
      </c>
      <c r="I760" t="str">
        <f>Raw_data!H760</f>
        <v>Cash on Delivery</v>
      </c>
      <c r="J760" s="7" t="str">
        <f>IF(Raw_data!I760=0.1,"10%",Raw_data!I760)</f>
        <v>10%</v>
      </c>
      <c r="K760" s="6">
        <f>Raw_data!J760</f>
        <v>129</v>
      </c>
      <c r="L760" s="6">
        <f>Raw_data!K760</f>
        <v>18</v>
      </c>
      <c r="M760" s="6">
        <f>Raw_data!L760</f>
        <v>0</v>
      </c>
      <c r="N760" s="6">
        <f t="shared" si="67"/>
        <v>263</v>
      </c>
      <c r="O760" s="6">
        <f t="shared" si="68"/>
        <v>147</v>
      </c>
      <c r="P760" s="6">
        <f t="shared" si="69"/>
        <v>430</v>
      </c>
      <c r="Q760">
        <f t="shared" si="70"/>
        <v>1</v>
      </c>
      <c r="R760">
        <f t="shared" si="71"/>
        <v>2</v>
      </c>
    </row>
    <row r="761" spans="1:18" x14ac:dyDescent="0.25">
      <c r="A761">
        <f>Raw_data!A761</f>
        <v>760</v>
      </c>
      <c r="B761" t="str">
        <f>Raw_data!B761</f>
        <v>C8561</v>
      </c>
      <c r="C761" t="str">
        <f>Raw_data!C761</f>
        <v>R2830</v>
      </c>
      <c r="D761" s="3">
        <f>Raw_data!D761</f>
        <v>45301.74496527778</v>
      </c>
      <c r="E761" s="3">
        <f>Raw_data!E761</f>
        <v>45301.810937499999</v>
      </c>
      <c r="F761" s="4">
        <f t="shared" si="66"/>
        <v>6.5972222218988463E-2</v>
      </c>
      <c r="G761" s="6">
        <f>Raw_data!F761</f>
        <v>648</v>
      </c>
      <c r="H761" s="6">
        <f>Raw_data!G761</f>
        <v>0</v>
      </c>
      <c r="I761" t="str">
        <f>Raw_data!H761</f>
        <v>Credit Card</v>
      </c>
      <c r="J761" s="7" t="str">
        <f>IF(Raw_data!I761=0.1,"10%",Raw_data!I761)</f>
        <v>None</v>
      </c>
      <c r="K761" s="6">
        <f>Raw_data!J761</f>
        <v>64</v>
      </c>
      <c r="L761" s="6">
        <f>Raw_data!K761</f>
        <v>18</v>
      </c>
      <c r="M761" s="6">
        <f>Raw_data!L761</f>
        <v>0</v>
      </c>
      <c r="N761" s="6">
        <f t="shared" si="67"/>
        <v>566</v>
      </c>
      <c r="O761" s="6">
        <f t="shared" si="68"/>
        <v>82</v>
      </c>
      <c r="P761" s="6">
        <f t="shared" si="69"/>
        <v>648</v>
      </c>
      <c r="Q761">
        <f t="shared" si="70"/>
        <v>1</v>
      </c>
      <c r="R761">
        <f t="shared" si="71"/>
        <v>2</v>
      </c>
    </row>
    <row r="762" spans="1:18" x14ac:dyDescent="0.25">
      <c r="A762">
        <f>Raw_data!A762</f>
        <v>761</v>
      </c>
      <c r="B762" t="str">
        <f>Raw_data!B762</f>
        <v>C9258</v>
      </c>
      <c r="C762" t="str">
        <f>Raw_data!C762</f>
        <v>R2725</v>
      </c>
      <c r="D762" s="3">
        <f>Raw_data!D762</f>
        <v>45295.989699074074</v>
      </c>
      <c r="E762" s="3">
        <f>Raw_data!E762</f>
        <v>45296.043171296296</v>
      </c>
      <c r="F762" s="4">
        <f t="shared" si="66"/>
        <v>5.3472222221898846E-2</v>
      </c>
      <c r="G762" s="6">
        <f>Raw_data!F762</f>
        <v>155</v>
      </c>
      <c r="H762" s="6">
        <f>Raw_data!G762</f>
        <v>20</v>
      </c>
      <c r="I762" t="str">
        <f>Raw_data!H762</f>
        <v>Cash on Delivery</v>
      </c>
      <c r="J762" s="7" t="str">
        <f>IF(Raw_data!I762=0.1,"10%",Raw_data!I762)</f>
        <v>50 off Promo</v>
      </c>
      <c r="K762" s="6">
        <f>Raw_data!J762</f>
        <v>77</v>
      </c>
      <c r="L762" s="6">
        <f>Raw_data!K762</f>
        <v>18</v>
      </c>
      <c r="M762" s="6">
        <f>Raw_data!L762</f>
        <v>0</v>
      </c>
      <c r="N762" s="6">
        <f t="shared" si="67"/>
        <v>60</v>
      </c>
      <c r="O762" s="6">
        <f t="shared" si="68"/>
        <v>95</v>
      </c>
      <c r="P762" s="6">
        <f t="shared" si="69"/>
        <v>175</v>
      </c>
      <c r="Q762">
        <f t="shared" si="70"/>
        <v>1</v>
      </c>
      <c r="R762">
        <f t="shared" si="71"/>
        <v>1</v>
      </c>
    </row>
    <row r="763" spans="1:18" x14ac:dyDescent="0.25">
      <c r="A763">
        <f>Raw_data!A763</f>
        <v>762</v>
      </c>
      <c r="B763" t="str">
        <f>Raw_data!B763</f>
        <v>C1232</v>
      </c>
      <c r="C763" t="str">
        <f>Raw_data!C763</f>
        <v>R2500</v>
      </c>
      <c r="D763" s="3">
        <f>Raw_data!D763</f>
        <v>45299.321099537039</v>
      </c>
      <c r="E763" s="3">
        <f>Raw_data!E763</f>
        <v>45299.371793981481</v>
      </c>
      <c r="F763" s="4">
        <f t="shared" si="66"/>
        <v>5.0694444442342501E-2</v>
      </c>
      <c r="G763" s="6">
        <f>Raw_data!F763</f>
        <v>542</v>
      </c>
      <c r="H763" s="6">
        <f>Raw_data!G763</f>
        <v>50</v>
      </c>
      <c r="I763" t="str">
        <f>Raw_data!H763</f>
        <v>Cash on Delivery</v>
      </c>
      <c r="J763" s="7" t="str">
        <f>IF(Raw_data!I763=0.1,"10%",Raw_data!I763)</f>
        <v>15% New User</v>
      </c>
      <c r="K763" s="6">
        <f>Raw_data!J763</f>
        <v>72</v>
      </c>
      <c r="L763" s="6">
        <f>Raw_data!K763</f>
        <v>36</v>
      </c>
      <c r="M763" s="6">
        <f>Raw_data!L763</f>
        <v>50</v>
      </c>
      <c r="N763" s="6">
        <f t="shared" si="67"/>
        <v>434</v>
      </c>
      <c r="O763" s="6">
        <f t="shared" si="68"/>
        <v>58</v>
      </c>
      <c r="P763" s="6">
        <f t="shared" si="69"/>
        <v>592</v>
      </c>
      <c r="Q763">
        <f t="shared" si="70"/>
        <v>1</v>
      </c>
      <c r="R763">
        <f t="shared" si="71"/>
        <v>2</v>
      </c>
    </row>
    <row r="764" spans="1:18" x14ac:dyDescent="0.25">
      <c r="A764">
        <f>Raw_data!A764</f>
        <v>763</v>
      </c>
      <c r="B764" t="str">
        <f>Raw_data!B764</f>
        <v>C7371</v>
      </c>
      <c r="C764" t="str">
        <f>Raw_data!C764</f>
        <v>R2116</v>
      </c>
      <c r="D764" s="3">
        <f>Raw_data!D764</f>
        <v>45325.353449074071</v>
      </c>
      <c r="E764" s="3">
        <f>Raw_data!E764</f>
        <v>45325.379837962966</v>
      </c>
      <c r="F764" s="4">
        <f t="shared" si="66"/>
        <v>2.6388888894871343E-2</v>
      </c>
      <c r="G764" s="6">
        <f>Raw_data!F764</f>
        <v>1360</v>
      </c>
      <c r="H764" s="6">
        <f>Raw_data!G764</f>
        <v>30</v>
      </c>
      <c r="I764" t="str">
        <f>Raw_data!H764</f>
        <v>Digital Wallet</v>
      </c>
      <c r="J764" s="7" t="str">
        <f>IF(Raw_data!I764=0.1,"10%",Raw_data!I764)</f>
        <v>5% on App</v>
      </c>
      <c r="K764" s="6">
        <f>Raw_data!J764</f>
        <v>158</v>
      </c>
      <c r="L764" s="6">
        <f>Raw_data!K764</f>
        <v>26</v>
      </c>
      <c r="M764" s="6">
        <f>Raw_data!L764</f>
        <v>150</v>
      </c>
      <c r="N764" s="6">
        <f t="shared" si="67"/>
        <v>1176</v>
      </c>
      <c r="O764" s="6">
        <f t="shared" si="68"/>
        <v>34</v>
      </c>
      <c r="P764" s="6">
        <f t="shared" si="69"/>
        <v>1390</v>
      </c>
      <c r="Q764">
        <f t="shared" si="70"/>
        <v>2</v>
      </c>
      <c r="R764">
        <f t="shared" si="71"/>
        <v>2</v>
      </c>
    </row>
    <row r="765" spans="1:18" x14ac:dyDescent="0.25">
      <c r="A765">
        <f>Raw_data!A765</f>
        <v>764</v>
      </c>
      <c r="B765" t="str">
        <f>Raw_data!B765</f>
        <v>C5206</v>
      </c>
      <c r="C765" t="str">
        <f>Raw_data!C765</f>
        <v>R2385</v>
      </c>
      <c r="D765" s="3">
        <f>Raw_data!D765</f>
        <v>45327.985173611109</v>
      </c>
      <c r="E765" s="3">
        <f>Raw_data!E765</f>
        <v>45328.051840277774</v>
      </c>
      <c r="F765" s="4">
        <f t="shared" si="66"/>
        <v>6.6666666665696539E-2</v>
      </c>
      <c r="G765" s="6">
        <f>Raw_data!F765</f>
        <v>969</v>
      </c>
      <c r="H765" s="6">
        <f>Raw_data!G765</f>
        <v>30</v>
      </c>
      <c r="I765" t="str">
        <f>Raw_data!H765</f>
        <v>Cash on Delivery</v>
      </c>
      <c r="J765" s="7" t="str">
        <f>IF(Raw_data!I765=0.1,"10%",Raw_data!I765)</f>
        <v>5% on App</v>
      </c>
      <c r="K765" s="6">
        <f>Raw_data!J765</f>
        <v>156</v>
      </c>
      <c r="L765" s="6">
        <f>Raw_data!K765</f>
        <v>17</v>
      </c>
      <c r="M765" s="6">
        <f>Raw_data!L765</f>
        <v>100</v>
      </c>
      <c r="N765" s="6">
        <f t="shared" si="67"/>
        <v>796</v>
      </c>
      <c r="O765" s="6">
        <f t="shared" si="68"/>
        <v>73</v>
      </c>
      <c r="P765" s="6">
        <f t="shared" si="69"/>
        <v>999</v>
      </c>
      <c r="Q765">
        <f t="shared" si="70"/>
        <v>1</v>
      </c>
      <c r="R765">
        <f t="shared" si="71"/>
        <v>2</v>
      </c>
    </row>
    <row r="766" spans="1:18" x14ac:dyDescent="0.25">
      <c r="A766">
        <f>Raw_data!A766</f>
        <v>765</v>
      </c>
      <c r="B766" t="str">
        <f>Raw_data!B766</f>
        <v>C8943</v>
      </c>
      <c r="C766" t="str">
        <f>Raw_data!C766</f>
        <v>R2343</v>
      </c>
      <c r="D766" s="3">
        <f>Raw_data!D766</f>
        <v>45297.221724537034</v>
      </c>
      <c r="E766" s="3">
        <f>Raw_data!E766</f>
        <v>45297.279363425929</v>
      </c>
      <c r="F766" s="4">
        <f t="shared" si="66"/>
        <v>5.7638888894871343E-2</v>
      </c>
      <c r="G766" s="6">
        <f>Raw_data!F766</f>
        <v>1984</v>
      </c>
      <c r="H766" s="6">
        <f>Raw_data!G766</f>
        <v>0</v>
      </c>
      <c r="I766" t="str">
        <f>Raw_data!H766</f>
        <v>Credit Card</v>
      </c>
      <c r="J766" s="7" t="str">
        <f>IF(Raw_data!I766=0.1,"10%",Raw_data!I766)</f>
        <v>15% New User</v>
      </c>
      <c r="K766" s="6">
        <f>Raw_data!J766</f>
        <v>194</v>
      </c>
      <c r="L766" s="6">
        <f>Raw_data!K766</f>
        <v>25</v>
      </c>
      <c r="M766" s="6">
        <f>Raw_data!L766</f>
        <v>150</v>
      </c>
      <c r="N766" s="6">
        <f t="shared" si="67"/>
        <v>1765</v>
      </c>
      <c r="O766" s="6">
        <f t="shared" si="68"/>
        <v>69</v>
      </c>
      <c r="P766" s="6">
        <f t="shared" si="69"/>
        <v>1984</v>
      </c>
      <c r="Q766">
        <f t="shared" si="70"/>
        <v>1</v>
      </c>
      <c r="R766">
        <f t="shared" si="71"/>
        <v>3</v>
      </c>
    </row>
    <row r="767" spans="1:18" x14ac:dyDescent="0.25">
      <c r="A767">
        <f>Raw_data!A767</f>
        <v>766</v>
      </c>
      <c r="B767" t="str">
        <f>Raw_data!B767</f>
        <v>C7891</v>
      </c>
      <c r="C767" t="str">
        <f>Raw_data!C767</f>
        <v>R2583</v>
      </c>
      <c r="D767" s="3">
        <f>Raw_data!D767</f>
        <v>45304.807650462964</v>
      </c>
      <c r="E767" s="3">
        <f>Raw_data!E767</f>
        <v>45304.84584490741</v>
      </c>
      <c r="F767" s="4">
        <f t="shared" si="66"/>
        <v>3.8194444445252884E-2</v>
      </c>
      <c r="G767" s="6">
        <f>Raw_data!F767</f>
        <v>1320</v>
      </c>
      <c r="H767" s="6">
        <f>Raw_data!G767</f>
        <v>30</v>
      </c>
      <c r="I767" t="str">
        <f>Raw_data!H767</f>
        <v>Digital Wallet</v>
      </c>
      <c r="J767" s="7" t="str">
        <f>IF(Raw_data!I767=0.1,"10%",Raw_data!I767)</f>
        <v>None</v>
      </c>
      <c r="K767" s="6">
        <f>Raw_data!J767</f>
        <v>162</v>
      </c>
      <c r="L767" s="6">
        <f>Raw_data!K767</f>
        <v>27</v>
      </c>
      <c r="M767" s="6">
        <f>Raw_data!L767</f>
        <v>0</v>
      </c>
      <c r="N767" s="6">
        <f t="shared" si="67"/>
        <v>1131</v>
      </c>
      <c r="O767" s="6">
        <f t="shared" si="68"/>
        <v>189</v>
      </c>
      <c r="P767" s="6">
        <f t="shared" si="69"/>
        <v>1350</v>
      </c>
      <c r="Q767">
        <f t="shared" si="70"/>
        <v>1</v>
      </c>
      <c r="R767">
        <f t="shared" si="71"/>
        <v>3</v>
      </c>
    </row>
    <row r="768" spans="1:18" x14ac:dyDescent="0.25">
      <c r="A768">
        <f>Raw_data!A768</f>
        <v>767</v>
      </c>
      <c r="B768" t="str">
        <f>Raw_data!B768</f>
        <v>C7738</v>
      </c>
      <c r="C768" t="str">
        <f>Raw_data!C768</f>
        <v>R2394</v>
      </c>
      <c r="D768" s="3">
        <f>Raw_data!D768</f>
        <v>45306.651597222219</v>
      </c>
      <c r="E768" s="3">
        <f>Raw_data!E768</f>
        <v>45306.730763888889</v>
      </c>
      <c r="F768" s="4">
        <f t="shared" si="66"/>
        <v>7.9166666670062114E-2</v>
      </c>
      <c r="G768" s="6">
        <f>Raw_data!F768</f>
        <v>684</v>
      </c>
      <c r="H768" s="6">
        <f>Raw_data!G768</f>
        <v>0</v>
      </c>
      <c r="I768" t="str">
        <f>Raw_data!H768</f>
        <v>Credit Card</v>
      </c>
      <c r="J768" s="7" t="str">
        <f>IF(Raw_data!I768=0.1,"10%",Raw_data!I768)</f>
        <v>10%</v>
      </c>
      <c r="K768" s="6">
        <f>Raw_data!J768</f>
        <v>147</v>
      </c>
      <c r="L768" s="6">
        <f>Raw_data!K768</f>
        <v>42</v>
      </c>
      <c r="M768" s="6">
        <f>Raw_data!L768</f>
        <v>0</v>
      </c>
      <c r="N768" s="6">
        <f t="shared" si="67"/>
        <v>495</v>
      </c>
      <c r="O768" s="6">
        <f t="shared" si="68"/>
        <v>189</v>
      </c>
      <c r="P768" s="6">
        <f t="shared" si="69"/>
        <v>684</v>
      </c>
      <c r="Q768">
        <f t="shared" si="70"/>
        <v>1</v>
      </c>
      <c r="R768">
        <f t="shared" si="71"/>
        <v>2</v>
      </c>
    </row>
    <row r="769" spans="1:18" x14ac:dyDescent="0.25">
      <c r="A769">
        <f>Raw_data!A769</f>
        <v>768</v>
      </c>
      <c r="B769" t="str">
        <f>Raw_data!B769</f>
        <v>C3472</v>
      </c>
      <c r="C769" t="str">
        <f>Raw_data!C769</f>
        <v>R2063</v>
      </c>
      <c r="D769" s="3">
        <f>Raw_data!D769</f>
        <v>45316.543275462966</v>
      </c>
      <c r="E769" s="3">
        <f>Raw_data!E769</f>
        <v>45316.581469907411</v>
      </c>
      <c r="F769" s="4">
        <f t="shared" si="66"/>
        <v>3.8194444445252884E-2</v>
      </c>
      <c r="G769" s="6">
        <f>Raw_data!F769</f>
        <v>1694</v>
      </c>
      <c r="H769" s="6">
        <f>Raw_data!G769</f>
        <v>0</v>
      </c>
      <c r="I769" t="str">
        <f>Raw_data!H769</f>
        <v>Digital Wallet</v>
      </c>
      <c r="J769" s="7" t="str">
        <f>IF(Raw_data!I769=0.1,"10%",Raw_data!I769)</f>
        <v>None</v>
      </c>
      <c r="K769" s="6">
        <f>Raw_data!J769</f>
        <v>190</v>
      </c>
      <c r="L769" s="6">
        <f>Raw_data!K769</f>
        <v>10</v>
      </c>
      <c r="M769" s="6">
        <f>Raw_data!L769</f>
        <v>50</v>
      </c>
      <c r="N769" s="6">
        <f t="shared" si="67"/>
        <v>1494</v>
      </c>
      <c r="O769" s="6">
        <f t="shared" si="68"/>
        <v>150</v>
      </c>
      <c r="P769" s="6">
        <f t="shared" si="69"/>
        <v>1694</v>
      </c>
      <c r="Q769">
        <f t="shared" si="70"/>
        <v>1</v>
      </c>
      <c r="R769">
        <f t="shared" si="71"/>
        <v>1</v>
      </c>
    </row>
    <row r="770" spans="1:18" x14ac:dyDescent="0.25">
      <c r="A770">
        <f>Raw_data!A770</f>
        <v>769</v>
      </c>
      <c r="B770" t="str">
        <f>Raw_data!B770</f>
        <v>C3739</v>
      </c>
      <c r="C770" t="str">
        <f>Raw_data!C770</f>
        <v>R2716</v>
      </c>
      <c r="D770" s="3">
        <f>Raw_data!D770</f>
        <v>45302.189953703702</v>
      </c>
      <c r="E770" s="3">
        <f>Raw_data!E770</f>
        <v>45302.233703703707</v>
      </c>
      <c r="F770" s="4">
        <f t="shared" si="66"/>
        <v>4.3750000004365575E-2</v>
      </c>
      <c r="G770" s="6">
        <f>Raw_data!F770</f>
        <v>851</v>
      </c>
      <c r="H770" s="6">
        <f>Raw_data!G770</f>
        <v>20</v>
      </c>
      <c r="I770" t="str">
        <f>Raw_data!H770</f>
        <v>Digital Wallet</v>
      </c>
      <c r="J770" s="7" t="str">
        <f>IF(Raw_data!I770=0.1,"10%",Raw_data!I770)</f>
        <v>15% New User</v>
      </c>
      <c r="K770" s="6">
        <f>Raw_data!J770</f>
        <v>191</v>
      </c>
      <c r="L770" s="6">
        <f>Raw_data!K770</f>
        <v>21</v>
      </c>
      <c r="M770" s="6">
        <f>Raw_data!L770</f>
        <v>0</v>
      </c>
      <c r="N770" s="6">
        <f t="shared" si="67"/>
        <v>639</v>
      </c>
      <c r="O770" s="6">
        <f t="shared" si="68"/>
        <v>212</v>
      </c>
      <c r="P770" s="6">
        <f t="shared" si="69"/>
        <v>871</v>
      </c>
      <c r="Q770">
        <f t="shared" si="70"/>
        <v>1</v>
      </c>
      <c r="R770">
        <f t="shared" si="71"/>
        <v>1</v>
      </c>
    </row>
    <row r="771" spans="1:18" x14ac:dyDescent="0.25">
      <c r="A771">
        <f>Raw_data!A771</f>
        <v>770</v>
      </c>
      <c r="B771" t="str">
        <f>Raw_data!B771</f>
        <v>C6401</v>
      </c>
      <c r="C771" t="str">
        <f>Raw_data!C771</f>
        <v>R2720</v>
      </c>
      <c r="D771" s="3">
        <f>Raw_data!D771</f>
        <v>45312.287546296298</v>
      </c>
      <c r="E771" s="3">
        <f>Raw_data!E771</f>
        <v>45312.313240740739</v>
      </c>
      <c r="F771" s="4">
        <f t="shared" ref="F771:F834" si="72">E771-D771</f>
        <v>2.569444444088731E-2</v>
      </c>
      <c r="G771" s="6">
        <f>Raw_data!F771</f>
        <v>1637</v>
      </c>
      <c r="H771" s="6">
        <f>Raw_data!G771</f>
        <v>30</v>
      </c>
      <c r="I771" t="str">
        <f>Raw_data!H771</f>
        <v>Cash on Delivery</v>
      </c>
      <c r="J771" s="7" t="str">
        <f>IF(Raw_data!I771=0.1,"10%",Raw_data!I771)</f>
        <v>15% New User</v>
      </c>
      <c r="K771" s="6">
        <f>Raw_data!J771</f>
        <v>188</v>
      </c>
      <c r="L771" s="6">
        <f>Raw_data!K771</f>
        <v>15</v>
      </c>
      <c r="M771" s="6">
        <f>Raw_data!L771</f>
        <v>0</v>
      </c>
      <c r="N771" s="6">
        <f t="shared" ref="N771:N834" si="73">G771-K771-L771</f>
        <v>1434</v>
      </c>
      <c r="O771" s="6">
        <f t="shared" ref="O771:O834" si="74">K771+L771-M771</f>
        <v>203</v>
      </c>
      <c r="P771" s="6">
        <f t="shared" ref="P771:P834" si="75">G771+H771</f>
        <v>1667</v>
      </c>
      <c r="Q771">
        <f t="shared" ref="Q771:Q834" si="76">COUNTIF(B$2:B$1001,B771)</f>
        <v>1</v>
      </c>
      <c r="R771">
        <f t="shared" ref="R771:R834" si="77">COUNTIF(C$2:C$1001,C771)</f>
        <v>2</v>
      </c>
    </row>
    <row r="772" spans="1:18" x14ac:dyDescent="0.25">
      <c r="A772">
        <f>Raw_data!A772</f>
        <v>771</v>
      </c>
      <c r="B772" t="str">
        <f>Raw_data!B772</f>
        <v>C2761</v>
      </c>
      <c r="C772" t="str">
        <f>Raw_data!C772</f>
        <v>R2071</v>
      </c>
      <c r="D772" s="3">
        <f>Raw_data!D772</f>
        <v>45329.397974537038</v>
      </c>
      <c r="E772" s="3">
        <f>Raw_data!E772</f>
        <v>45329.425057870372</v>
      </c>
      <c r="F772" s="4">
        <f t="shared" si="72"/>
        <v>2.7083333334303461E-2</v>
      </c>
      <c r="G772" s="6">
        <f>Raw_data!F772</f>
        <v>1572</v>
      </c>
      <c r="H772" s="6">
        <f>Raw_data!G772</f>
        <v>0</v>
      </c>
      <c r="I772" t="str">
        <f>Raw_data!H772</f>
        <v>Credit Card</v>
      </c>
      <c r="J772" s="7" t="str">
        <f>IF(Raw_data!I772=0.1,"10%",Raw_data!I772)</f>
        <v>10%</v>
      </c>
      <c r="K772" s="6">
        <f>Raw_data!J772</f>
        <v>77</v>
      </c>
      <c r="L772" s="6">
        <f>Raw_data!K772</f>
        <v>50</v>
      </c>
      <c r="M772" s="6">
        <f>Raw_data!L772</f>
        <v>50</v>
      </c>
      <c r="N772" s="6">
        <f t="shared" si="73"/>
        <v>1445</v>
      </c>
      <c r="O772" s="6">
        <f t="shared" si="74"/>
        <v>77</v>
      </c>
      <c r="P772" s="6">
        <f t="shared" si="75"/>
        <v>1572</v>
      </c>
      <c r="Q772">
        <f t="shared" si="76"/>
        <v>1</v>
      </c>
      <c r="R772">
        <f t="shared" si="77"/>
        <v>1</v>
      </c>
    </row>
    <row r="773" spans="1:18" x14ac:dyDescent="0.25">
      <c r="A773">
        <f>Raw_data!A773</f>
        <v>772</v>
      </c>
      <c r="B773" t="str">
        <f>Raw_data!B773</f>
        <v>C1876</v>
      </c>
      <c r="C773" t="str">
        <f>Raw_data!C773</f>
        <v>R2788</v>
      </c>
      <c r="D773" s="3">
        <f>Raw_data!D773</f>
        <v>45317.940752314818</v>
      </c>
      <c r="E773" s="3">
        <f>Raw_data!E773</f>
        <v>45317.99422453704</v>
      </c>
      <c r="F773" s="4">
        <f t="shared" si="72"/>
        <v>5.3472222221898846E-2</v>
      </c>
      <c r="G773" s="6">
        <f>Raw_data!F773</f>
        <v>459</v>
      </c>
      <c r="H773" s="6">
        <f>Raw_data!G773</f>
        <v>20</v>
      </c>
      <c r="I773" t="str">
        <f>Raw_data!H773</f>
        <v>Digital Wallet</v>
      </c>
      <c r="J773" s="7" t="str">
        <f>IF(Raw_data!I773=0.1,"10%",Raw_data!I773)</f>
        <v>50 off Promo</v>
      </c>
      <c r="K773" s="6">
        <f>Raw_data!J773</f>
        <v>91</v>
      </c>
      <c r="L773" s="6">
        <f>Raw_data!K773</f>
        <v>14</v>
      </c>
      <c r="M773" s="6">
        <f>Raw_data!L773</f>
        <v>0</v>
      </c>
      <c r="N773" s="6">
        <f t="shared" si="73"/>
        <v>354</v>
      </c>
      <c r="O773" s="6">
        <f t="shared" si="74"/>
        <v>105</v>
      </c>
      <c r="P773" s="6">
        <f t="shared" si="75"/>
        <v>479</v>
      </c>
      <c r="Q773">
        <f t="shared" si="76"/>
        <v>2</v>
      </c>
      <c r="R773">
        <f t="shared" si="77"/>
        <v>1</v>
      </c>
    </row>
    <row r="774" spans="1:18" x14ac:dyDescent="0.25">
      <c r="A774">
        <f>Raw_data!A774</f>
        <v>773</v>
      </c>
      <c r="B774" t="str">
        <f>Raw_data!B774</f>
        <v>C4812</v>
      </c>
      <c r="C774" t="str">
        <f>Raw_data!C774</f>
        <v>R2273</v>
      </c>
      <c r="D774" s="3">
        <f>Raw_data!D774</f>
        <v>45328.174305555556</v>
      </c>
      <c r="E774" s="3">
        <f>Raw_data!E774</f>
        <v>45328.232638888891</v>
      </c>
      <c r="F774" s="4">
        <f t="shared" si="72"/>
        <v>5.8333333334303461E-2</v>
      </c>
      <c r="G774" s="6">
        <f>Raw_data!F774</f>
        <v>1823</v>
      </c>
      <c r="H774" s="6">
        <f>Raw_data!G774</f>
        <v>40</v>
      </c>
      <c r="I774" t="str">
        <f>Raw_data!H774</f>
        <v>Cash on Delivery</v>
      </c>
      <c r="J774" s="7" t="str">
        <f>IF(Raw_data!I774=0.1,"10%",Raw_data!I774)</f>
        <v>50 off Promo</v>
      </c>
      <c r="K774" s="6">
        <f>Raw_data!J774</f>
        <v>148</v>
      </c>
      <c r="L774" s="6">
        <f>Raw_data!K774</f>
        <v>25</v>
      </c>
      <c r="M774" s="6">
        <f>Raw_data!L774</f>
        <v>0</v>
      </c>
      <c r="N774" s="6">
        <f t="shared" si="73"/>
        <v>1650</v>
      </c>
      <c r="O774" s="6">
        <f t="shared" si="74"/>
        <v>173</v>
      </c>
      <c r="P774" s="6">
        <f t="shared" si="75"/>
        <v>1863</v>
      </c>
      <c r="Q774">
        <f t="shared" si="76"/>
        <v>1</v>
      </c>
      <c r="R774">
        <f t="shared" si="77"/>
        <v>2</v>
      </c>
    </row>
    <row r="775" spans="1:18" x14ac:dyDescent="0.25">
      <c r="A775">
        <f>Raw_data!A775</f>
        <v>774</v>
      </c>
      <c r="B775" t="str">
        <f>Raw_data!B775</f>
        <v>C2460</v>
      </c>
      <c r="C775" t="str">
        <f>Raw_data!C775</f>
        <v>R2989</v>
      </c>
      <c r="D775" s="3">
        <f>Raw_data!D775</f>
        <v>45311.584606481483</v>
      </c>
      <c r="E775" s="3">
        <f>Raw_data!E775</f>
        <v>45311.642245370371</v>
      </c>
      <c r="F775" s="4">
        <f t="shared" si="72"/>
        <v>5.7638888887595385E-2</v>
      </c>
      <c r="G775" s="6">
        <f>Raw_data!F775</f>
        <v>918</v>
      </c>
      <c r="H775" s="6">
        <f>Raw_data!G775</f>
        <v>20</v>
      </c>
      <c r="I775" t="str">
        <f>Raw_data!H775</f>
        <v>Digital Wallet</v>
      </c>
      <c r="J775" s="7" t="str">
        <f>IF(Raw_data!I775=0.1,"10%",Raw_data!I775)</f>
        <v>10%</v>
      </c>
      <c r="K775" s="6">
        <f>Raw_data!J775</f>
        <v>110</v>
      </c>
      <c r="L775" s="6">
        <f>Raw_data!K775</f>
        <v>27</v>
      </c>
      <c r="M775" s="6">
        <f>Raw_data!L775</f>
        <v>0</v>
      </c>
      <c r="N775" s="6">
        <f t="shared" si="73"/>
        <v>781</v>
      </c>
      <c r="O775" s="6">
        <f t="shared" si="74"/>
        <v>137</v>
      </c>
      <c r="P775" s="6">
        <f t="shared" si="75"/>
        <v>938</v>
      </c>
      <c r="Q775">
        <f t="shared" si="76"/>
        <v>2</v>
      </c>
      <c r="R775">
        <f t="shared" si="77"/>
        <v>3</v>
      </c>
    </row>
    <row r="776" spans="1:18" x14ac:dyDescent="0.25">
      <c r="A776">
        <f>Raw_data!A776</f>
        <v>775</v>
      </c>
      <c r="B776" t="str">
        <f>Raw_data!B776</f>
        <v>C2733</v>
      </c>
      <c r="C776" t="str">
        <f>Raw_data!C776</f>
        <v>R2319</v>
      </c>
      <c r="D776" s="3">
        <f>Raw_data!D776</f>
        <v>45295.679108796299</v>
      </c>
      <c r="E776" s="3">
        <f>Raw_data!E776</f>
        <v>45295.75341435185</v>
      </c>
      <c r="F776" s="4">
        <f t="shared" si="72"/>
        <v>7.4305555550381541E-2</v>
      </c>
      <c r="G776" s="6">
        <f>Raw_data!F776</f>
        <v>129</v>
      </c>
      <c r="H776" s="6">
        <f>Raw_data!G776</f>
        <v>20</v>
      </c>
      <c r="I776" t="str">
        <f>Raw_data!H776</f>
        <v>Digital Wallet</v>
      </c>
      <c r="J776" s="7" t="str">
        <f>IF(Raw_data!I776=0.1,"10%",Raw_data!I776)</f>
        <v>50 off Promo</v>
      </c>
      <c r="K776" s="6">
        <f>Raw_data!J776</f>
        <v>172</v>
      </c>
      <c r="L776" s="6">
        <f>Raw_data!K776</f>
        <v>27</v>
      </c>
      <c r="M776" s="6">
        <f>Raw_data!L776</f>
        <v>0</v>
      </c>
      <c r="N776" s="6">
        <f t="shared" si="73"/>
        <v>-70</v>
      </c>
      <c r="O776" s="6">
        <f t="shared" si="74"/>
        <v>199</v>
      </c>
      <c r="P776" s="6">
        <f t="shared" si="75"/>
        <v>149</v>
      </c>
      <c r="Q776">
        <f t="shared" si="76"/>
        <v>1</v>
      </c>
      <c r="R776">
        <f t="shared" si="77"/>
        <v>1</v>
      </c>
    </row>
    <row r="777" spans="1:18" x14ac:dyDescent="0.25">
      <c r="A777">
        <f>Raw_data!A777</f>
        <v>776</v>
      </c>
      <c r="B777" t="str">
        <f>Raw_data!B777</f>
        <v>C2605</v>
      </c>
      <c r="C777" t="str">
        <f>Raw_data!C777</f>
        <v>R2337</v>
      </c>
      <c r="D777" s="3">
        <f>Raw_data!D777</f>
        <v>45312.009189814817</v>
      </c>
      <c r="E777" s="3">
        <f>Raw_data!E777</f>
        <v>45312.057106481479</v>
      </c>
      <c r="F777" s="4">
        <f t="shared" si="72"/>
        <v>4.7916666662786156E-2</v>
      </c>
      <c r="G777" s="6">
        <f>Raw_data!F777</f>
        <v>1902</v>
      </c>
      <c r="H777" s="6">
        <f>Raw_data!G777</f>
        <v>0</v>
      </c>
      <c r="I777" t="str">
        <f>Raw_data!H777</f>
        <v>Digital Wallet</v>
      </c>
      <c r="J777" s="7" t="str">
        <f>IF(Raw_data!I777=0.1,"10%",Raw_data!I777)</f>
        <v>5% on App</v>
      </c>
      <c r="K777" s="6">
        <f>Raw_data!J777</f>
        <v>113</v>
      </c>
      <c r="L777" s="6">
        <f>Raw_data!K777</f>
        <v>10</v>
      </c>
      <c r="M777" s="6">
        <f>Raw_data!L777</f>
        <v>0</v>
      </c>
      <c r="N777" s="6">
        <f t="shared" si="73"/>
        <v>1779</v>
      </c>
      <c r="O777" s="6">
        <f t="shared" si="74"/>
        <v>123</v>
      </c>
      <c r="P777" s="6">
        <f t="shared" si="75"/>
        <v>1902</v>
      </c>
      <c r="Q777">
        <f t="shared" si="76"/>
        <v>1</v>
      </c>
      <c r="R777">
        <f t="shared" si="77"/>
        <v>1</v>
      </c>
    </row>
    <row r="778" spans="1:18" x14ac:dyDescent="0.25">
      <c r="A778">
        <f>Raw_data!A778</f>
        <v>777</v>
      </c>
      <c r="B778" t="str">
        <f>Raw_data!B778</f>
        <v>C6622</v>
      </c>
      <c r="C778" t="str">
        <f>Raw_data!C778</f>
        <v>R2365</v>
      </c>
      <c r="D778" s="3">
        <f>Raw_data!D778</f>
        <v>45306.216863425929</v>
      </c>
      <c r="E778" s="3">
        <f>Raw_data!E778</f>
        <v>45306.247418981482</v>
      </c>
      <c r="F778" s="4">
        <f t="shared" si="72"/>
        <v>3.0555555553291924E-2</v>
      </c>
      <c r="G778" s="6">
        <f>Raw_data!F778</f>
        <v>207</v>
      </c>
      <c r="H778" s="6">
        <f>Raw_data!G778</f>
        <v>50</v>
      </c>
      <c r="I778" t="str">
        <f>Raw_data!H778</f>
        <v>Digital Wallet</v>
      </c>
      <c r="J778" s="7" t="str">
        <f>IF(Raw_data!I778=0.1,"10%",Raw_data!I778)</f>
        <v>50 off Promo</v>
      </c>
      <c r="K778" s="6">
        <f>Raw_data!J778</f>
        <v>80</v>
      </c>
      <c r="L778" s="6">
        <f>Raw_data!K778</f>
        <v>28</v>
      </c>
      <c r="M778" s="6">
        <f>Raw_data!L778</f>
        <v>0</v>
      </c>
      <c r="N778" s="6">
        <f t="shared" si="73"/>
        <v>99</v>
      </c>
      <c r="O778" s="6">
        <f t="shared" si="74"/>
        <v>108</v>
      </c>
      <c r="P778" s="6">
        <f t="shared" si="75"/>
        <v>257</v>
      </c>
      <c r="Q778">
        <f t="shared" si="76"/>
        <v>1</v>
      </c>
      <c r="R778">
        <f t="shared" si="77"/>
        <v>2</v>
      </c>
    </row>
    <row r="779" spans="1:18" x14ac:dyDescent="0.25">
      <c r="A779">
        <f>Raw_data!A779</f>
        <v>778</v>
      </c>
      <c r="B779" t="str">
        <f>Raw_data!B779</f>
        <v>C7767</v>
      </c>
      <c r="C779" t="str">
        <f>Raw_data!C779</f>
        <v>R2494</v>
      </c>
      <c r="D779" s="3">
        <f>Raw_data!D779</f>
        <v>45322.85738425926</v>
      </c>
      <c r="E779" s="3">
        <f>Raw_data!E779</f>
        <v>45322.93377314815</v>
      </c>
      <c r="F779" s="4">
        <f t="shared" si="72"/>
        <v>7.6388888890505768E-2</v>
      </c>
      <c r="G779" s="6">
        <f>Raw_data!F779</f>
        <v>943</v>
      </c>
      <c r="H779" s="6">
        <f>Raw_data!G779</f>
        <v>50</v>
      </c>
      <c r="I779" t="str">
        <f>Raw_data!H779</f>
        <v>Digital Wallet</v>
      </c>
      <c r="J779" s="7" t="str">
        <f>IF(Raw_data!I779=0.1,"10%",Raw_data!I779)</f>
        <v>50 off Promo</v>
      </c>
      <c r="K779" s="6">
        <f>Raw_data!J779</f>
        <v>130</v>
      </c>
      <c r="L779" s="6">
        <f>Raw_data!K779</f>
        <v>17</v>
      </c>
      <c r="M779" s="6">
        <f>Raw_data!L779</f>
        <v>0</v>
      </c>
      <c r="N779" s="6">
        <f t="shared" si="73"/>
        <v>796</v>
      </c>
      <c r="O779" s="6">
        <f t="shared" si="74"/>
        <v>147</v>
      </c>
      <c r="P779" s="6">
        <f t="shared" si="75"/>
        <v>993</v>
      </c>
      <c r="Q779">
        <f t="shared" si="76"/>
        <v>1</v>
      </c>
      <c r="R779">
        <f t="shared" si="77"/>
        <v>1</v>
      </c>
    </row>
    <row r="780" spans="1:18" x14ac:dyDescent="0.25">
      <c r="A780">
        <f>Raw_data!A780</f>
        <v>779</v>
      </c>
      <c r="B780" t="str">
        <f>Raw_data!B780</f>
        <v>C7986</v>
      </c>
      <c r="C780" t="str">
        <f>Raw_data!C780</f>
        <v>R2606</v>
      </c>
      <c r="D780" s="3">
        <f>Raw_data!D780</f>
        <v>45297.611273148148</v>
      </c>
      <c r="E780" s="3">
        <f>Raw_data!E780</f>
        <v>45297.643912037034</v>
      </c>
      <c r="F780" s="4">
        <f t="shared" si="72"/>
        <v>3.2638888886140194E-2</v>
      </c>
      <c r="G780" s="6">
        <f>Raw_data!F780</f>
        <v>1725</v>
      </c>
      <c r="H780" s="6">
        <f>Raw_data!G780</f>
        <v>50</v>
      </c>
      <c r="I780" t="str">
        <f>Raw_data!H780</f>
        <v>Digital Wallet</v>
      </c>
      <c r="J780" s="7" t="str">
        <f>IF(Raw_data!I780=0.1,"10%",Raw_data!I780)</f>
        <v>50 off Promo</v>
      </c>
      <c r="K780" s="6">
        <f>Raw_data!J780</f>
        <v>59</v>
      </c>
      <c r="L780" s="6">
        <f>Raw_data!K780</f>
        <v>12</v>
      </c>
      <c r="M780" s="6">
        <f>Raw_data!L780</f>
        <v>0</v>
      </c>
      <c r="N780" s="6">
        <f t="shared" si="73"/>
        <v>1654</v>
      </c>
      <c r="O780" s="6">
        <f t="shared" si="74"/>
        <v>71</v>
      </c>
      <c r="P780" s="6">
        <f t="shared" si="75"/>
        <v>1775</v>
      </c>
      <c r="Q780">
        <f t="shared" si="76"/>
        <v>1</v>
      </c>
      <c r="R780">
        <f t="shared" si="77"/>
        <v>1</v>
      </c>
    </row>
    <row r="781" spans="1:18" x14ac:dyDescent="0.25">
      <c r="A781">
        <f>Raw_data!A781</f>
        <v>780</v>
      </c>
      <c r="B781" t="str">
        <f>Raw_data!B781</f>
        <v>C4517</v>
      </c>
      <c r="C781" t="str">
        <f>Raw_data!C781</f>
        <v>R2165</v>
      </c>
      <c r="D781" s="3">
        <f>Raw_data!D781</f>
        <v>45306.191365740742</v>
      </c>
      <c r="E781" s="3">
        <f>Raw_data!E781</f>
        <v>45306.227476851855</v>
      </c>
      <c r="F781" s="4">
        <f t="shared" si="72"/>
        <v>3.6111111112404615E-2</v>
      </c>
      <c r="G781" s="6">
        <f>Raw_data!F781</f>
        <v>816</v>
      </c>
      <c r="H781" s="6">
        <f>Raw_data!G781</f>
        <v>20</v>
      </c>
      <c r="I781" t="str">
        <f>Raw_data!H781</f>
        <v>Cash on Delivery</v>
      </c>
      <c r="J781" s="7" t="str">
        <f>IF(Raw_data!I781=0.1,"10%",Raw_data!I781)</f>
        <v>5% on App</v>
      </c>
      <c r="K781" s="6">
        <f>Raw_data!J781</f>
        <v>57</v>
      </c>
      <c r="L781" s="6">
        <f>Raw_data!K781</f>
        <v>34</v>
      </c>
      <c r="M781" s="6">
        <f>Raw_data!L781</f>
        <v>0</v>
      </c>
      <c r="N781" s="6">
        <f t="shared" si="73"/>
        <v>725</v>
      </c>
      <c r="O781" s="6">
        <f t="shared" si="74"/>
        <v>91</v>
      </c>
      <c r="P781" s="6">
        <f t="shared" si="75"/>
        <v>836</v>
      </c>
      <c r="Q781">
        <f t="shared" si="76"/>
        <v>1</v>
      </c>
      <c r="R781">
        <f t="shared" si="77"/>
        <v>2</v>
      </c>
    </row>
    <row r="782" spans="1:18" x14ac:dyDescent="0.25">
      <c r="A782">
        <f>Raw_data!A782</f>
        <v>781</v>
      </c>
      <c r="B782" t="str">
        <f>Raw_data!B782</f>
        <v>C4735</v>
      </c>
      <c r="C782" t="str">
        <f>Raw_data!C782</f>
        <v>R2543</v>
      </c>
      <c r="D782" s="3">
        <f>Raw_data!D782</f>
        <v>45321.167905092596</v>
      </c>
      <c r="E782" s="3">
        <f>Raw_data!E782</f>
        <v>45321.231099537035</v>
      </c>
      <c r="F782" s="4">
        <f t="shared" si="72"/>
        <v>6.3194444439432118E-2</v>
      </c>
      <c r="G782" s="6">
        <f>Raw_data!F782</f>
        <v>990</v>
      </c>
      <c r="H782" s="6">
        <f>Raw_data!G782</f>
        <v>0</v>
      </c>
      <c r="I782" t="str">
        <f>Raw_data!H782</f>
        <v>Digital Wallet</v>
      </c>
      <c r="J782" s="7" t="str">
        <f>IF(Raw_data!I782=0.1,"10%",Raw_data!I782)</f>
        <v>50 off Promo</v>
      </c>
      <c r="K782" s="6">
        <f>Raw_data!J782</f>
        <v>198</v>
      </c>
      <c r="L782" s="6">
        <f>Raw_data!K782</f>
        <v>14</v>
      </c>
      <c r="M782" s="6">
        <f>Raw_data!L782</f>
        <v>0</v>
      </c>
      <c r="N782" s="6">
        <f t="shared" si="73"/>
        <v>778</v>
      </c>
      <c r="O782" s="6">
        <f t="shared" si="74"/>
        <v>212</v>
      </c>
      <c r="P782" s="6">
        <f t="shared" si="75"/>
        <v>990</v>
      </c>
      <c r="Q782">
        <f t="shared" si="76"/>
        <v>1</v>
      </c>
      <c r="R782">
        <f t="shared" si="77"/>
        <v>1</v>
      </c>
    </row>
    <row r="783" spans="1:18" x14ac:dyDescent="0.25">
      <c r="A783">
        <f>Raw_data!A783</f>
        <v>782</v>
      </c>
      <c r="B783" t="str">
        <f>Raw_data!B783</f>
        <v>C9434</v>
      </c>
      <c r="C783" t="str">
        <f>Raw_data!C783</f>
        <v>R2010</v>
      </c>
      <c r="D783" s="3">
        <f>Raw_data!D783</f>
        <v>45310.873472222222</v>
      </c>
      <c r="E783" s="3">
        <f>Raw_data!E783</f>
        <v>45310.925555555557</v>
      </c>
      <c r="F783" s="4">
        <f t="shared" si="72"/>
        <v>5.2083333335758653E-2</v>
      </c>
      <c r="G783" s="6">
        <f>Raw_data!F783</f>
        <v>1059</v>
      </c>
      <c r="H783" s="6">
        <f>Raw_data!G783</f>
        <v>30</v>
      </c>
      <c r="I783" t="str">
        <f>Raw_data!H783</f>
        <v>Credit Card</v>
      </c>
      <c r="J783" s="7" t="str">
        <f>IF(Raw_data!I783=0.1,"10%",Raw_data!I783)</f>
        <v>5% on App</v>
      </c>
      <c r="K783" s="6">
        <f>Raw_data!J783</f>
        <v>108</v>
      </c>
      <c r="L783" s="6">
        <f>Raw_data!K783</f>
        <v>49</v>
      </c>
      <c r="M783" s="6">
        <f>Raw_data!L783</f>
        <v>0</v>
      </c>
      <c r="N783" s="6">
        <f t="shared" si="73"/>
        <v>902</v>
      </c>
      <c r="O783" s="6">
        <f t="shared" si="74"/>
        <v>157</v>
      </c>
      <c r="P783" s="6">
        <f t="shared" si="75"/>
        <v>1089</v>
      </c>
      <c r="Q783">
        <f t="shared" si="76"/>
        <v>1</v>
      </c>
      <c r="R783">
        <f t="shared" si="77"/>
        <v>3</v>
      </c>
    </row>
    <row r="784" spans="1:18" x14ac:dyDescent="0.25">
      <c r="A784">
        <f>Raw_data!A784</f>
        <v>783</v>
      </c>
      <c r="B784" t="str">
        <f>Raw_data!B784</f>
        <v>C3590</v>
      </c>
      <c r="C784" t="str">
        <f>Raw_data!C784</f>
        <v>R2300</v>
      </c>
      <c r="D784" s="3">
        <f>Raw_data!D784</f>
        <v>45308.429872685185</v>
      </c>
      <c r="E784" s="3">
        <f>Raw_data!E784</f>
        <v>45308.510428240741</v>
      </c>
      <c r="F784" s="4">
        <f t="shared" si="72"/>
        <v>8.0555555556202307E-2</v>
      </c>
      <c r="G784" s="6">
        <f>Raw_data!F784</f>
        <v>1568</v>
      </c>
      <c r="H784" s="6">
        <f>Raw_data!G784</f>
        <v>20</v>
      </c>
      <c r="I784" t="str">
        <f>Raw_data!H784</f>
        <v>Cash on Delivery</v>
      </c>
      <c r="J784" s="7" t="str">
        <f>IF(Raw_data!I784=0.1,"10%",Raw_data!I784)</f>
        <v>10%</v>
      </c>
      <c r="K784" s="6">
        <f>Raw_data!J784</f>
        <v>79</v>
      </c>
      <c r="L784" s="6">
        <f>Raw_data!K784</f>
        <v>28</v>
      </c>
      <c r="M784" s="6">
        <f>Raw_data!L784</f>
        <v>0</v>
      </c>
      <c r="N784" s="6">
        <f t="shared" si="73"/>
        <v>1461</v>
      </c>
      <c r="O784" s="6">
        <f t="shared" si="74"/>
        <v>107</v>
      </c>
      <c r="P784" s="6">
        <f t="shared" si="75"/>
        <v>1588</v>
      </c>
      <c r="Q784">
        <f t="shared" si="76"/>
        <v>1</v>
      </c>
      <c r="R784">
        <f t="shared" si="77"/>
        <v>3</v>
      </c>
    </row>
    <row r="785" spans="1:18" x14ac:dyDescent="0.25">
      <c r="A785">
        <f>Raw_data!A785</f>
        <v>784</v>
      </c>
      <c r="B785" t="str">
        <f>Raw_data!B785</f>
        <v>C2063</v>
      </c>
      <c r="C785" t="str">
        <f>Raw_data!C785</f>
        <v>R2728</v>
      </c>
      <c r="D785" s="3">
        <f>Raw_data!D785</f>
        <v>45304.179745370369</v>
      </c>
      <c r="E785" s="3">
        <f>Raw_data!E785</f>
        <v>45304.226967592593</v>
      </c>
      <c r="F785" s="4">
        <f t="shared" si="72"/>
        <v>4.7222222223354038E-2</v>
      </c>
      <c r="G785" s="6">
        <f>Raw_data!F785</f>
        <v>992</v>
      </c>
      <c r="H785" s="6">
        <f>Raw_data!G785</f>
        <v>20</v>
      </c>
      <c r="I785" t="str">
        <f>Raw_data!H785</f>
        <v>Credit Card</v>
      </c>
      <c r="J785" s="7" t="str">
        <f>IF(Raw_data!I785=0.1,"10%",Raw_data!I785)</f>
        <v>None</v>
      </c>
      <c r="K785" s="6">
        <f>Raw_data!J785</f>
        <v>194</v>
      </c>
      <c r="L785" s="6">
        <f>Raw_data!K785</f>
        <v>27</v>
      </c>
      <c r="M785" s="6">
        <f>Raw_data!L785</f>
        <v>100</v>
      </c>
      <c r="N785" s="6">
        <f t="shared" si="73"/>
        <v>771</v>
      </c>
      <c r="O785" s="6">
        <f t="shared" si="74"/>
        <v>121</v>
      </c>
      <c r="P785" s="6">
        <f t="shared" si="75"/>
        <v>1012</v>
      </c>
      <c r="Q785">
        <f t="shared" si="76"/>
        <v>1</v>
      </c>
      <c r="R785">
        <f t="shared" si="77"/>
        <v>1</v>
      </c>
    </row>
    <row r="786" spans="1:18" x14ac:dyDescent="0.25">
      <c r="A786">
        <f>Raw_data!A786</f>
        <v>785</v>
      </c>
      <c r="B786" t="str">
        <f>Raw_data!B786</f>
        <v>C5324</v>
      </c>
      <c r="C786" t="str">
        <f>Raw_data!C786</f>
        <v>R2800</v>
      </c>
      <c r="D786" s="3">
        <f>Raw_data!D786</f>
        <v>45310.517453703702</v>
      </c>
      <c r="E786" s="3">
        <f>Raw_data!E786</f>
        <v>45310.548009259262</v>
      </c>
      <c r="F786" s="4">
        <f t="shared" si="72"/>
        <v>3.0555555560567882E-2</v>
      </c>
      <c r="G786" s="6">
        <f>Raw_data!F786</f>
        <v>1561</v>
      </c>
      <c r="H786" s="6">
        <f>Raw_data!G786</f>
        <v>0</v>
      </c>
      <c r="I786" t="str">
        <f>Raw_data!H786</f>
        <v>Digital Wallet</v>
      </c>
      <c r="J786" s="7" t="str">
        <f>IF(Raw_data!I786=0.1,"10%",Raw_data!I786)</f>
        <v>10%</v>
      </c>
      <c r="K786" s="6">
        <f>Raw_data!J786</f>
        <v>69</v>
      </c>
      <c r="L786" s="6">
        <f>Raw_data!K786</f>
        <v>40</v>
      </c>
      <c r="M786" s="6">
        <f>Raw_data!L786</f>
        <v>0</v>
      </c>
      <c r="N786" s="6">
        <f t="shared" si="73"/>
        <v>1452</v>
      </c>
      <c r="O786" s="6">
        <f t="shared" si="74"/>
        <v>109</v>
      </c>
      <c r="P786" s="6">
        <f t="shared" si="75"/>
        <v>1561</v>
      </c>
      <c r="Q786">
        <f t="shared" si="76"/>
        <v>1</v>
      </c>
      <c r="R786">
        <f t="shared" si="77"/>
        <v>2</v>
      </c>
    </row>
    <row r="787" spans="1:18" x14ac:dyDescent="0.25">
      <c r="A787">
        <f>Raw_data!A787</f>
        <v>786</v>
      </c>
      <c r="B787" t="str">
        <f>Raw_data!B787</f>
        <v>C6342</v>
      </c>
      <c r="C787" t="str">
        <f>Raw_data!C787</f>
        <v>R2101</v>
      </c>
      <c r="D787" s="3">
        <f>Raw_data!D787</f>
        <v>45317.051064814812</v>
      </c>
      <c r="E787" s="3">
        <f>Raw_data!E787</f>
        <v>45317.10800925926</v>
      </c>
      <c r="F787" s="4">
        <f t="shared" si="72"/>
        <v>5.6944444448163267E-2</v>
      </c>
      <c r="G787" s="6">
        <f>Raw_data!F787</f>
        <v>831</v>
      </c>
      <c r="H787" s="6">
        <f>Raw_data!G787</f>
        <v>40</v>
      </c>
      <c r="I787" t="str">
        <f>Raw_data!H787</f>
        <v>Credit Card</v>
      </c>
      <c r="J787" s="7" t="str">
        <f>IF(Raw_data!I787=0.1,"10%",Raw_data!I787)</f>
        <v>None</v>
      </c>
      <c r="K787" s="6">
        <f>Raw_data!J787</f>
        <v>97</v>
      </c>
      <c r="L787" s="6">
        <f>Raw_data!K787</f>
        <v>42</v>
      </c>
      <c r="M787" s="6">
        <f>Raw_data!L787</f>
        <v>0</v>
      </c>
      <c r="N787" s="6">
        <f t="shared" si="73"/>
        <v>692</v>
      </c>
      <c r="O787" s="6">
        <f t="shared" si="74"/>
        <v>139</v>
      </c>
      <c r="P787" s="6">
        <f t="shared" si="75"/>
        <v>871</v>
      </c>
      <c r="Q787">
        <f t="shared" si="76"/>
        <v>1</v>
      </c>
      <c r="R787">
        <f t="shared" si="77"/>
        <v>2</v>
      </c>
    </row>
    <row r="788" spans="1:18" x14ac:dyDescent="0.25">
      <c r="A788">
        <f>Raw_data!A788</f>
        <v>787</v>
      </c>
      <c r="B788" t="str">
        <f>Raw_data!B788</f>
        <v>C1005</v>
      </c>
      <c r="C788" t="str">
        <f>Raw_data!C788</f>
        <v>R2424</v>
      </c>
      <c r="D788" s="3">
        <f>Raw_data!D788</f>
        <v>45304.910740740743</v>
      </c>
      <c r="E788" s="3">
        <f>Raw_data!E788</f>
        <v>45304.991990740738</v>
      </c>
      <c r="F788" s="4">
        <f t="shared" si="72"/>
        <v>8.1249999995634425E-2</v>
      </c>
      <c r="G788" s="6">
        <f>Raw_data!F788</f>
        <v>705</v>
      </c>
      <c r="H788" s="6">
        <f>Raw_data!G788</f>
        <v>20</v>
      </c>
      <c r="I788" t="str">
        <f>Raw_data!H788</f>
        <v>Digital Wallet</v>
      </c>
      <c r="J788" s="7" t="str">
        <f>IF(Raw_data!I788=0.1,"10%",Raw_data!I788)</f>
        <v>10%</v>
      </c>
      <c r="K788" s="6">
        <f>Raw_data!J788</f>
        <v>179</v>
      </c>
      <c r="L788" s="6">
        <f>Raw_data!K788</f>
        <v>27</v>
      </c>
      <c r="M788" s="6">
        <f>Raw_data!L788</f>
        <v>0</v>
      </c>
      <c r="N788" s="6">
        <f t="shared" si="73"/>
        <v>499</v>
      </c>
      <c r="O788" s="6">
        <f t="shared" si="74"/>
        <v>206</v>
      </c>
      <c r="P788" s="6">
        <f t="shared" si="75"/>
        <v>725</v>
      </c>
      <c r="Q788">
        <f t="shared" si="76"/>
        <v>1</v>
      </c>
      <c r="R788">
        <f t="shared" si="77"/>
        <v>1</v>
      </c>
    </row>
    <row r="789" spans="1:18" x14ac:dyDescent="0.25">
      <c r="A789">
        <f>Raw_data!A789</f>
        <v>788</v>
      </c>
      <c r="B789" t="str">
        <f>Raw_data!B789</f>
        <v>C8489</v>
      </c>
      <c r="C789" t="str">
        <f>Raw_data!C789</f>
        <v>R2391</v>
      </c>
      <c r="D789" s="3">
        <f>Raw_data!D789</f>
        <v>45319.24359953704</v>
      </c>
      <c r="E789" s="3">
        <f>Raw_data!E789</f>
        <v>45319.308182870373</v>
      </c>
      <c r="F789" s="4">
        <f t="shared" si="72"/>
        <v>6.4583333332848269E-2</v>
      </c>
      <c r="G789" s="6">
        <f>Raw_data!F789</f>
        <v>556</v>
      </c>
      <c r="H789" s="6">
        <f>Raw_data!G789</f>
        <v>40</v>
      </c>
      <c r="I789" t="str">
        <f>Raw_data!H789</f>
        <v>Digital Wallet</v>
      </c>
      <c r="J789" s="7" t="str">
        <f>IF(Raw_data!I789=0.1,"10%",Raw_data!I789)</f>
        <v>None</v>
      </c>
      <c r="K789" s="6">
        <f>Raw_data!J789</f>
        <v>86</v>
      </c>
      <c r="L789" s="6">
        <f>Raw_data!K789</f>
        <v>48</v>
      </c>
      <c r="M789" s="6">
        <f>Raw_data!L789</f>
        <v>0</v>
      </c>
      <c r="N789" s="6">
        <f t="shared" si="73"/>
        <v>422</v>
      </c>
      <c r="O789" s="6">
        <f t="shared" si="74"/>
        <v>134</v>
      </c>
      <c r="P789" s="6">
        <f t="shared" si="75"/>
        <v>596</v>
      </c>
      <c r="Q789">
        <f t="shared" si="76"/>
        <v>1</v>
      </c>
      <c r="R789">
        <f t="shared" si="77"/>
        <v>1</v>
      </c>
    </row>
    <row r="790" spans="1:18" x14ac:dyDescent="0.25">
      <c r="A790">
        <f>Raw_data!A790</f>
        <v>789</v>
      </c>
      <c r="B790" t="str">
        <f>Raw_data!B790</f>
        <v>C9659</v>
      </c>
      <c r="C790" t="str">
        <f>Raw_data!C790</f>
        <v>R2778</v>
      </c>
      <c r="D790" s="3">
        <f>Raw_data!D790</f>
        <v>45322.441504629627</v>
      </c>
      <c r="E790" s="3">
        <f>Raw_data!E790</f>
        <v>45322.505393518521</v>
      </c>
      <c r="F790" s="4">
        <f t="shared" si="72"/>
        <v>6.3888888893416151E-2</v>
      </c>
      <c r="G790" s="6">
        <f>Raw_data!F790</f>
        <v>714</v>
      </c>
      <c r="H790" s="6">
        <f>Raw_data!G790</f>
        <v>40</v>
      </c>
      <c r="I790" t="str">
        <f>Raw_data!H790</f>
        <v>Cash on Delivery</v>
      </c>
      <c r="J790" s="7" t="str">
        <f>IF(Raw_data!I790=0.1,"10%",Raw_data!I790)</f>
        <v>None</v>
      </c>
      <c r="K790" s="6">
        <f>Raw_data!J790</f>
        <v>178</v>
      </c>
      <c r="L790" s="6">
        <f>Raw_data!K790</f>
        <v>25</v>
      </c>
      <c r="M790" s="6">
        <f>Raw_data!L790</f>
        <v>150</v>
      </c>
      <c r="N790" s="6">
        <f t="shared" si="73"/>
        <v>511</v>
      </c>
      <c r="O790" s="6">
        <f t="shared" si="74"/>
        <v>53</v>
      </c>
      <c r="P790" s="6">
        <f t="shared" si="75"/>
        <v>754</v>
      </c>
      <c r="Q790">
        <f t="shared" si="76"/>
        <v>1</v>
      </c>
      <c r="R790">
        <f t="shared" si="77"/>
        <v>2</v>
      </c>
    </row>
    <row r="791" spans="1:18" x14ac:dyDescent="0.25">
      <c r="A791">
        <f>Raw_data!A791</f>
        <v>790</v>
      </c>
      <c r="B791" t="str">
        <f>Raw_data!B791</f>
        <v>C9195</v>
      </c>
      <c r="C791" t="str">
        <f>Raw_data!C791</f>
        <v>R2213</v>
      </c>
      <c r="D791" s="3">
        <f>Raw_data!D791</f>
        <v>45325.477754629632</v>
      </c>
      <c r="E791" s="3">
        <f>Raw_data!E791</f>
        <v>45325.553449074076</v>
      </c>
      <c r="F791" s="4">
        <f t="shared" si="72"/>
        <v>7.5694444443797693E-2</v>
      </c>
      <c r="G791" s="6">
        <f>Raw_data!F791</f>
        <v>1858</v>
      </c>
      <c r="H791" s="6">
        <f>Raw_data!G791</f>
        <v>50</v>
      </c>
      <c r="I791" t="str">
        <f>Raw_data!H791</f>
        <v>Cash on Delivery</v>
      </c>
      <c r="J791" s="7" t="str">
        <f>IF(Raw_data!I791=0.1,"10%",Raw_data!I791)</f>
        <v>15% New User</v>
      </c>
      <c r="K791" s="6">
        <f>Raw_data!J791</f>
        <v>181</v>
      </c>
      <c r="L791" s="6">
        <f>Raw_data!K791</f>
        <v>25</v>
      </c>
      <c r="M791" s="6">
        <f>Raw_data!L791</f>
        <v>0</v>
      </c>
      <c r="N791" s="6">
        <f t="shared" si="73"/>
        <v>1652</v>
      </c>
      <c r="O791" s="6">
        <f t="shared" si="74"/>
        <v>206</v>
      </c>
      <c r="P791" s="6">
        <f t="shared" si="75"/>
        <v>1908</v>
      </c>
      <c r="Q791">
        <f t="shared" si="76"/>
        <v>1</v>
      </c>
      <c r="R791">
        <f t="shared" si="77"/>
        <v>1</v>
      </c>
    </row>
    <row r="792" spans="1:18" x14ac:dyDescent="0.25">
      <c r="A792">
        <f>Raw_data!A792</f>
        <v>791</v>
      </c>
      <c r="B792" t="str">
        <f>Raw_data!B792</f>
        <v>C6966</v>
      </c>
      <c r="C792" t="str">
        <f>Raw_data!C792</f>
        <v>R2690</v>
      </c>
      <c r="D792" s="3">
        <f>Raw_data!D792</f>
        <v>45314.964317129627</v>
      </c>
      <c r="E792" s="3">
        <f>Raw_data!E792</f>
        <v>45314.995567129627</v>
      </c>
      <c r="F792" s="4">
        <f t="shared" si="72"/>
        <v>3.125E-2</v>
      </c>
      <c r="G792" s="6">
        <f>Raw_data!F792</f>
        <v>797</v>
      </c>
      <c r="H792" s="6">
        <f>Raw_data!G792</f>
        <v>0</v>
      </c>
      <c r="I792" t="str">
        <f>Raw_data!H792</f>
        <v>Digital Wallet</v>
      </c>
      <c r="J792" s="7" t="str">
        <f>IF(Raw_data!I792=0.1,"10%",Raw_data!I792)</f>
        <v>None</v>
      </c>
      <c r="K792" s="6">
        <f>Raw_data!J792</f>
        <v>149</v>
      </c>
      <c r="L792" s="6">
        <f>Raw_data!K792</f>
        <v>47</v>
      </c>
      <c r="M792" s="6">
        <f>Raw_data!L792</f>
        <v>0</v>
      </c>
      <c r="N792" s="6">
        <f t="shared" si="73"/>
        <v>601</v>
      </c>
      <c r="O792" s="6">
        <f t="shared" si="74"/>
        <v>196</v>
      </c>
      <c r="P792" s="6">
        <f t="shared" si="75"/>
        <v>797</v>
      </c>
      <c r="Q792">
        <f t="shared" si="76"/>
        <v>1</v>
      </c>
      <c r="R792">
        <f t="shared" si="77"/>
        <v>1</v>
      </c>
    </row>
    <row r="793" spans="1:18" x14ac:dyDescent="0.25">
      <c r="A793">
        <f>Raw_data!A793</f>
        <v>792</v>
      </c>
      <c r="B793" t="str">
        <f>Raw_data!B793</f>
        <v>C9837</v>
      </c>
      <c r="C793" t="str">
        <f>Raw_data!C793</f>
        <v>R2087</v>
      </c>
      <c r="D793" s="3">
        <f>Raw_data!D793</f>
        <v>45320.278726851851</v>
      </c>
      <c r="E793" s="3">
        <f>Raw_data!E793</f>
        <v>45320.34747685185</v>
      </c>
      <c r="F793" s="4">
        <f t="shared" si="72"/>
        <v>6.8749999998544808E-2</v>
      </c>
      <c r="G793" s="6">
        <f>Raw_data!F793</f>
        <v>1819</v>
      </c>
      <c r="H793" s="6">
        <f>Raw_data!G793</f>
        <v>40</v>
      </c>
      <c r="I793" t="str">
        <f>Raw_data!H793</f>
        <v>Cash on Delivery</v>
      </c>
      <c r="J793" s="7" t="str">
        <f>IF(Raw_data!I793=0.1,"10%",Raw_data!I793)</f>
        <v>None</v>
      </c>
      <c r="K793" s="6">
        <f>Raw_data!J793</f>
        <v>103</v>
      </c>
      <c r="L793" s="6">
        <f>Raw_data!K793</f>
        <v>50</v>
      </c>
      <c r="M793" s="6">
        <f>Raw_data!L793</f>
        <v>0</v>
      </c>
      <c r="N793" s="6">
        <f t="shared" si="73"/>
        <v>1666</v>
      </c>
      <c r="O793" s="6">
        <f t="shared" si="74"/>
        <v>153</v>
      </c>
      <c r="P793" s="6">
        <f t="shared" si="75"/>
        <v>1859</v>
      </c>
      <c r="Q793">
        <f t="shared" si="76"/>
        <v>1</v>
      </c>
      <c r="R793">
        <f t="shared" si="77"/>
        <v>2</v>
      </c>
    </row>
    <row r="794" spans="1:18" x14ac:dyDescent="0.25">
      <c r="A794">
        <f>Raw_data!A794</f>
        <v>793</v>
      </c>
      <c r="B794" t="str">
        <f>Raw_data!B794</f>
        <v>C1117</v>
      </c>
      <c r="C794" t="str">
        <f>Raw_data!C794</f>
        <v>R2552</v>
      </c>
      <c r="D794" s="3">
        <f>Raw_data!D794</f>
        <v>45302.050625000003</v>
      </c>
      <c r="E794" s="3">
        <f>Raw_data!E794</f>
        <v>45302.116597222222</v>
      </c>
      <c r="F794" s="4">
        <f t="shared" si="72"/>
        <v>6.5972222218988463E-2</v>
      </c>
      <c r="G794" s="6">
        <f>Raw_data!F794</f>
        <v>1618</v>
      </c>
      <c r="H794" s="6">
        <f>Raw_data!G794</f>
        <v>0</v>
      </c>
      <c r="I794" t="str">
        <f>Raw_data!H794</f>
        <v>Credit Card</v>
      </c>
      <c r="J794" s="7" t="str">
        <f>IF(Raw_data!I794=0.1,"10%",Raw_data!I794)</f>
        <v>15% New User</v>
      </c>
      <c r="K794" s="6">
        <f>Raw_data!J794</f>
        <v>171</v>
      </c>
      <c r="L794" s="6">
        <f>Raw_data!K794</f>
        <v>16</v>
      </c>
      <c r="M794" s="6">
        <f>Raw_data!L794</f>
        <v>50</v>
      </c>
      <c r="N794" s="6">
        <f t="shared" si="73"/>
        <v>1431</v>
      </c>
      <c r="O794" s="6">
        <f t="shared" si="74"/>
        <v>137</v>
      </c>
      <c r="P794" s="6">
        <f t="shared" si="75"/>
        <v>1618</v>
      </c>
      <c r="Q794">
        <f t="shared" si="76"/>
        <v>1</v>
      </c>
      <c r="R794">
        <f t="shared" si="77"/>
        <v>3</v>
      </c>
    </row>
    <row r="795" spans="1:18" x14ac:dyDescent="0.25">
      <c r="A795">
        <f>Raw_data!A795</f>
        <v>794</v>
      </c>
      <c r="B795" t="str">
        <f>Raw_data!B795</f>
        <v>C3551</v>
      </c>
      <c r="C795" t="str">
        <f>Raw_data!C795</f>
        <v>R2400</v>
      </c>
      <c r="D795" s="3">
        <f>Raw_data!D795</f>
        <v>45312.318842592591</v>
      </c>
      <c r="E795" s="3">
        <f>Raw_data!E795</f>
        <v>45312.348009259258</v>
      </c>
      <c r="F795" s="4">
        <f t="shared" si="72"/>
        <v>2.9166666667151731E-2</v>
      </c>
      <c r="G795" s="6">
        <f>Raw_data!F795</f>
        <v>773</v>
      </c>
      <c r="H795" s="6">
        <f>Raw_data!G795</f>
        <v>50</v>
      </c>
      <c r="I795" t="str">
        <f>Raw_data!H795</f>
        <v>Cash on Delivery</v>
      </c>
      <c r="J795" s="7" t="str">
        <f>IF(Raw_data!I795=0.1,"10%",Raw_data!I795)</f>
        <v>50 off Promo</v>
      </c>
      <c r="K795" s="6">
        <f>Raw_data!J795</f>
        <v>74</v>
      </c>
      <c r="L795" s="6">
        <f>Raw_data!K795</f>
        <v>23</v>
      </c>
      <c r="M795" s="6">
        <f>Raw_data!L795</f>
        <v>100</v>
      </c>
      <c r="N795" s="6">
        <f t="shared" si="73"/>
        <v>676</v>
      </c>
      <c r="O795" s="6">
        <f t="shared" si="74"/>
        <v>-3</v>
      </c>
      <c r="P795" s="6">
        <f t="shared" si="75"/>
        <v>823</v>
      </c>
      <c r="Q795">
        <f t="shared" si="76"/>
        <v>1</v>
      </c>
      <c r="R795">
        <f t="shared" si="77"/>
        <v>4</v>
      </c>
    </row>
    <row r="796" spans="1:18" x14ac:dyDescent="0.25">
      <c r="A796">
        <f>Raw_data!A796</f>
        <v>795</v>
      </c>
      <c r="B796" t="str">
        <f>Raw_data!B796</f>
        <v>C6560</v>
      </c>
      <c r="C796" t="str">
        <f>Raw_data!C796</f>
        <v>R2587</v>
      </c>
      <c r="D796" s="3">
        <f>Raw_data!D796</f>
        <v>45292.344039351854</v>
      </c>
      <c r="E796" s="3">
        <f>Raw_data!E796</f>
        <v>45292.396817129629</v>
      </c>
      <c r="F796" s="4">
        <f t="shared" si="72"/>
        <v>5.2777777775190771E-2</v>
      </c>
      <c r="G796" s="6">
        <f>Raw_data!F796</f>
        <v>1370</v>
      </c>
      <c r="H796" s="6">
        <f>Raw_data!G796</f>
        <v>0</v>
      </c>
      <c r="I796" t="str">
        <f>Raw_data!H796</f>
        <v>Cash on Delivery</v>
      </c>
      <c r="J796" s="7" t="str">
        <f>IF(Raw_data!I796=0.1,"10%",Raw_data!I796)</f>
        <v>50 off Promo</v>
      </c>
      <c r="K796" s="6">
        <f>Raw_data!J796</f>
        <v>180</v>
      </c>
      <c r="L796" s="6">
        <f>Raw_data!K796</f>
        <v>34</v>
      </c>
      <c r="M796" s="6">
        <f>Raw_data!L796</f>
        <v>150</v>
      </c>
      <c r="N796" s="6">
        <f t="shared" si="73"/>
        <v>1156</v>
      </c>
      <c r="O796" s="6">
        <f t="shared" si="74"/>
        <v>64</v>
      </c>
      <c r="P796" s="6">
        <f t="shared" si="75"/>
        <v>1370</v>
      </c>
      <c r="Q796">
        <f t="shared" si="76"/>
        <v>1</v>
      </c>
      <c r="R796">
        <f t="shared" si="77"/>
        <v>2</v>
      </c>
    </row>
    <row r="797" spans="1:18" x14ac:dyDescent="0.25">
      <c r="A797">
        <f>Raw_data!A797</f>
        <v>796</v>
      </c>
      <c r="B797" t="str">
        <f>Raw_data!B797</f>
        <v>C5289</v>
      </c>
      <c r="C797" t="str">
        <f>Raw_data!C797</f>
        <v>R2888</v>
      </c>
      <c r="D797" s="3">
        <f>Raw_data!D797</f>
        <v>45305.721921296295</v>
      </c>
      <c r="E797" s="3">
        <f>Raw_data!E797</f>
        <v>45305.748310185183</v>
      </c>
      <c r="F797" s="4">
        <f t="shared" si="72"/>
        <v>2.6388888887595385E-2</v>
      </c>
      <c r="G797" s="6">
        <f>Raw_data!F797</f>
        <v>642</v>
      </c>
      <c r="H797" s="6">
        <f>Raw_data!G797</f>
        <v>20</v>
      </c>
      <c r="I797" t="str">
        <f>Raw_data!H797</f>
        <v>Credit Card</v>
      </c>
      <c r="J797" s="7" t="str">
        <f>IF(Raw_data!I797=0.1,"10%",Raw_data!I797)</f>
        <v>15% New User</v>
      </c>
      <c r="K797" s="6">
        <f>Raw_data!J797</f>
        <v>58</v>
      </c>
      <c r="L797" s="6">
        <f>Raw_data!K797</f>
        <v>41</v>
      </c>
      <c r="M797" s="6">
        <f>Raw_data!L797</f>
        <v>150</v>
      </c>
      <c r="N797" s="6">
        <f t="shared" si="73"/>
        <v>543</v>
      </c>
      <c r="O797" s="6">
        <f t="shared" si="74"/>
        <v>-51</v>
      </c>
      <c r="P797" s="6">
        <f t="shared" si="75"/>
        <v>662</v>
      </c>
      <c r="Q797">
        <f t="shared" si="76"/>
        <v>1</v>
      </c>
      <c r="R797">
        <f t="shared" si="77"/>
        <v>2</v>
      </c>
    </row>
    <row r="798" spans="1:18" x14ac:dyDescent="0.25">
      <c r="A798">
        <f>Raw_data!A798</f>
        <v>797</v>
      </c>
      <c r="B798" t="str">
        <f>Raw_data!B798</f>
        <v>C1846</v>
      </c>
      <c r="C798" t="str">
        <f>Raw_data!C798</f>
        <v>R2045</v>
      </c>
      <c r="D798" s="3">
        <f>Raw_data!D798</f>
        <v>45293.210127314815</v>
      </c>
      <c r="E798" s="3">
        <f>Raw_data!E798</f>
        <v>45293.274016203701</v>
      </c>
      <c r="F798" s="4">
        <f t="shared" si="72"/>
        <v>6.3888888886140194E-2</v>
      </c>
      <c r="G798" s="6">
        <f>Raw_data!F798</f>
        <v>1687</v>
      </c>
      <c r="H798" s="6">
        <f>Raw_data!G798</f>
        <v>40</v>
      </c>
      <c r="I798" t="str">
        <f>Raw_data!H798</f>
        <v>Cash on Delivery</v>
      </c>
      <c r="J798" s="7" t="str">
        <f>IF(Raw_data!I798=0.1,"10%",Raw_data!I798)</f>
        <v>5% on App</v>
      </c>
      <c r="K798" s="6">
        <f>Raw_data!J798</f>
        <v>83</v>
      </c>
      <c r="L798" s="6">
        <f>Raw_data!K798</f>
        <v>47</v>
      </c>
      <c r="M798" s="6">
        <f>Raw_data!L798</f>
        <v>0</v>
      </c>
      <c r="N798" s="6">
        <f t="shared" si="73"/>
        <v>1557</v>
      </c>
      <c r="O798" s="6">
        <f t="shared" si="74"/>
        <v>130</v>
      </c>
      <c r="P798" s="6">
        <f t="shared" si="75"/>
        <v>1727</v>
      </c>
      <c r="Q798">
        <f t="shared" si="76"/>
        <v>1</v>
      </c>
      <c r="R798">
        <f t="shared" si="77"/>
        <v>2</v>
      </c>
    </row>
    <row r="799" spans="1:18" x14ac:dyDescent="0.25">
      <c r="A799">
        <f>Raw_data!A799</f>
        <v>798</v>
      </c>
      <c r="B799" t="str">
        <f>Raw_data!B799</f>
        <v>C7316</v>
      </c>
      <c r="C799" t="str">
        <f>Raw_data!C799</f>
        <v>R2671</v>
      </c>
      <c r="D799" s="3">
        <f>Raw_data!D799</f>
        <v>45319.299050925925</v>
      </c>
      <c r="E799" s="3">
        <f>Raw_data!E799</f>
        <v>45319.342800925922</v>
      </c>
      <c r="F799" s="4">
        <f t="shared" si="72"/>
        <v>4.3749999997089617E-2</v>
      </c>
      <c r="G799" s="6">
        <f>Raw_data!F799</f>
        <v>956</v>
      </c>
      <c r="H799" s="6">
        <f>Raw_data!G799</f>
        <v>0</v>
      </c>
      <c r="I799" t="str">
        <f>Raw_data!H799</f>
        <v>Digital Wallet</v>
      </c>
      <c r="J799" s="7" t="str">
        <f>IF(Raw_data!I799=0.1,"10%",Raw_data!I799)</f>
        <v>None</v>
      </c>
      <c r="K799" s="6">
        <f>Raw_data!J799</f>
        <v>92</v>
      </c>
      <c r="L799" s="6">
        <f>Raw_data!K799</f>
        <v>31</v>
      </c>
      <c r="M799" s="6">
        <f>Raw_data!L799</f>
        <v>100</v>
      </c>
      <c r="N799" s="6">
        <f t="shared" si="73"/>
        <v>833</v>
      </c>
      <c r="O799" s="6">
        <f t="shared" si="74"/>
        <v>23</v>
      </c>
      <c r="P799" s="6">
        <f t="shared" si="75"/>
        <v>956</v>
      </c>
      <c r="Q799">
        <f t="shared" si="76"/>
        <v>2</v>
      </c>
      <c r="R799">
        <f t="shared" si="77"/>
        <v>2</v>
      </c>
    </row>
    <row r="800" spans="1:18" x14ac:dyDescent="0.25">
      <c r="A800">
        <f>Raw_data!A800</f>
        <v>799</v>
      </c>
      <c r="B800" t="str">
        <f>Raw_data!B800</f>
        <v>C7469</v>
      </c>
      <c r="C800" t="str">
        <f>Raw_data!C800</f>
        <v>R2462</v>
      </c>
      <c r="D800" s="3">
        <f>Raw_data!D800</f>
        <v>45301.212129629632</v>
      </c>
      <c r="E800" s="3">
        <f>Raw_data!E800</f>
        <v>45301.288518518515</v>
      </c>
      <c r="F800" s="4">
        <f t="shared" si="72"/>
        <v>7.6388888883229811E-2</v>
      </c>
      <c r="G800" s="6">
        <f>Raw_data!F800</f>
        <v>1711</v>
      </c>
      <c r="H800" s="6">
        <f>Raw_data!G800</f>
        <v>30</v>
      </c>
      <c r="I800" t="str">
        <f>Raw_data!H800</f>
        <v>Credit Card</v>
      </c>
      <c r="J800" s="7" t="str">
        <f>IF(Raw_data!I800=0.1,"10%",Raw_data!I800)</f>
        <v>None</v>
      </c>
      <c r="K800" s="6">
        <f>Raw_data!J800</f>
        <v>123</v>
      </c>
      <c r="L800" s="6">
        <f>Raw_data!K800</f>
        <v>25</v>
      </c>
      <c r="M800" s="6">
        <f>Raw_data!L800</f>
        <v>0</v>
      </c>
      <c r="N800" s="6">
        <f t="shared" si="73"/>
        <v>1563</v>
      </c>
      <c r="O800" s="6">
        <f t="shared" si="74"/>
        <v>148</v>
      </c>
      <c r="P800" s="6">
        <f t="shared" si="75"/>
        <v>1741</v>
      </c>
      <c r="Q800">
        <f t="shared" si="76"/>
        <v>1</v>
      </c>
      <c r="R800">
        <f t="shared" si="77"/>
        <v>2</v>
      </c>
    </row>
    <row r="801" spans="1:18" x14ac:dyDescent="0.25">
      <c r="A801">
        <f>Raw_data!A801</f>
        <v>800</v>
      </c>
      <c r="B801" t="str">
        <f>Raw_data!B801</f>
        <v>C9915</v>
      </c>
      <c r="C801" t="str">
        <f>Raw_data!C801</f>
        <v>R2591</v>
      </c>
      <c r="D801" s="3">
        <f>Raw_data!D801</f>
        <v>45310.857766203706</v>
      </c>
      <c r="E801" s="3">
        <f>Raw_data!E801</f>
        <v>45310.898043981484</v>
      </c>
      <c r="F801" s="4">
        <f t="shared" si="72"/>
        <v>4.0277777778101154E-2</v>
      </c>
      <c r="G801" s="6">
        <f>Raw_data!F801</f>
        <v>996</v>
      </c>
      <c r="H801" s="6">
        <f>Raw_data!G801</f>
        <v>0</v>
      </c>
      <c r="I801" t="str">
        <f>Raw_data!H801</f>
        <v>Digital Wallet</v>
      </c>
      <c r="J801" s="7" t="str">
        <f>IF(Raw_data!I801=0.1,"10%",Raw_data!I801)</f>
        <v>15% New User</v>
      </c>
      <c r="K801" s="6">
        <f>Raw_data!J801</f>
        <v>143</v>
      </c>
      <c r="L801" s="6">
        <f>Raw_data!K801</f>
        <v>38</v>
      </c>
      <c r="M801" s="6">
        <f>Raw_data!L801</f>
        <v>0</v>
      </c>
      <c r="N801" s="6">
        <f t="shared" si="73"/>
        <v>815</v>
      </c>
      <c r="O801" s="6">
        <f t="shared" si="74"/>
        <v>181</v>
      </c>
      <c r="P801" s="6">
        <f t="shared" si="75"/>
        <v>996</v>
      </c>
      <c r="Q801">
        <f t="shared" si="76"/>
        <v>1</v>
      </c>
      <c r="R801">
        <f t="shared" si="77"/>
        <v>2</v>
      </c>
    </row>
    <row r="802" spans="1:18" x14ac:dyDescent="0.25">
      <c r="A802">
        <f>Raw_data!A802</f>
        <v>801</v>
      </c>
      <c r="B802" t="str">
        <f>Raw_data!B802</f>
        <v>C1224</v>
      </c>
      <c r="C802" t="str">
        <f>Raw_data!C802</f>
        <v>R2309</v>
      </c>
      <c r="D802" s="3">
        <f>Raw_data!D802</f>
        <v>45302.278194444443</v>
      </c>
      <c r="E802" s="3">
        <f>Raw_data!E802</f>
        <v>45302.32402777778</v>
      </c>
      <c r="F802" s="4">
        <f t="shared" si="72"/>
        <v>4.5833333337213844E-2</v>
      </c>
      <c r="G802" s="6">
        <f>Raw_data!F802</f>
        <v>1562</v>
      </c>
      <c r="H802" s="6">
        <f>Raw_data!G802</f>
        <v>40</v>
      </c>
      <c r="I802" t="str">
        <f>Raw_data!H802</f>
        <v>Credit Card</v>
      </c>
      <c r="J802" s="7" t="str">
        <f>IF(Raw_data!I802=0.1,"10%",Raw_data!I802)</f>
        <v>15% New User</v>
      </c>
      <c r="K802" s="6">
        <f>Raw_data!J802</f>
        <v>71</v>
      </c>
      <c r="L802" s="6">
        <f>Raw_data!K802</f>
        <v>25</v>
      </c>
      <c r="M802" s="6">
        <f>Raw_data!L802</f>
        <v>0</v>
      </c>
      <c r="N802" s="6">
        <f t="shared" si="73"/>
        <v>1466</v>
      </c>
      <c r="O802" s="6">
        <f t="shared" si="74"/>
        <v>96</v>
      </c>
      <c r="P802" s="6">
        <f t="shared" si="75"/>
        <v>1602</v>
      </c>
      <c r="Q802">
        <f t="shared" si="76"/>
        <v>1</v>
      </c>
      <c r="R802">
        <f t="shared" si="77"/>
        <v>3</v>
      </c>
    </row>
    <row r="803" spans="1:18" x14ac:dyDescent="0.25">
      <c r="A803">
        <f>Raw_data!A803</f>
        <v>802</v>
      </c>
      <c r="B803" t="str">
        <f>Raw_data!B803</f>
        <v>C5208</v>
      </c>
      <c r="C803" t="str">
        <f>Raw_data!C803</f>
        <v>R2085</v>
      </c>
      <c r="D803" s="3">
        <f>Raw_data!D803</f>
        <v>45326.395636574074</v>
      </c>
      <c r="E803" s="3">
        <f>Raw_data!E803</f>
        <v>45326.445636574077</v>
      </c>
      <c r="F803" s="4">
        <f t="shared" si="72"/>
        <v>5.0000000002910383E-2</v>
      </c>
      <c r="G803" s="6">
        <f>Raw_data!F803</f>
        <v>377</v>
      </c>
      <c r="H803" s="6">
        <f>Raw_data!G803</f>
        <v>50</v>
      </c>
      <c r="I803" t="str">
        <f>Raw_data!H803</f>
        <v>Digital Wallet</v>
      </c>
      <c r="J803" s="7" t="str">
        <f>IF(Raw_data!I803=0.1,"10%",Raw_data!I803)</f>
        <v>5% on App</v>
      </c>
      <c r="K803" s="6">
        <f>Raw_data!J803</f>
        <v>119</v>
      </c>
      <c r="L803" s="6">
        <f>Raw_data!K803</f>
        <v>21</v>
      </c>
      <c r="M803" s="6">
        <f>Raw_data!L803</f>
        <v>0</v>
      </c>
      <c r="N803" s="6">
        <f t="shared" si="73"/>
        <v>237</v>
      </c>
      <c r="O803" s="6">
        <f t="shared" si="74"/>
        <v>140</v>
      </c>
      <c r="P803" s="6">
        <f t="shared" si="75"/>
        <v>427</v>
      </c>
      <c r="Q803">
        <f t="shared" si="76"/>
        <v>1</v>
      </c>
      <c r="R803">
        <f t="shared" si="77"/>
        <v>2</v>
      </c>
    </row>
    <row r="804" spans="1:18" x14ac:dyDescent="0.25">
      <c r="A804">
        <f>Raw_data!A804</f>
        <v>803</v>
      </c>
      <c r="B804" t="str">
        <f>Raw_data!B804</f>
        <v>C7283</v>
      </c>
      <c r="C804" t="str">
        <f>Raw_data!C804</f>
        <v>R2091</v>
      </c>
      <c r="D804" s="3">
        <f>Raw_data!D804</f>
        <v>45322.818993055553</v>
      </c>
      <c r="E804" s="3">
        <f>Raw_data!E804</f>
        <v>45322.898854166669</v>
      </c>
      <c r="F804" s="4">
        <f t="shared" si="72"/>
        <v>7.9861111116770189E-2</v>
      </c>
      <c r="G804" s="6">
        <f>Raw_data!F804</f>
        <v>651</v>
      </c>
      <c r="H804" s="6">
        <f>Raw_data!G804</f>
        <v>50</v>
      </c>
      <c r="I804" t="str">
        <f>Raw_data!H804</f>
        <v>Digital Wallet</v>
      </c>
      <c r="J804" s="7" t="str">
        <f>IF(Raw_data!I804=0.1,"10%",Raw_data!I804)</f>
        <v>50 off Promo</v>
      </c>
      <c r="K804" s="6">
        <f>Raw_data!J804</f>
        <v>179</v>
      </c>
      <c r="L804" s="6">
        <f>Raw_data!K804</f>
        <v>26</v>
      </c>
      <c r="M804" s="6">
        <f>Raw_data!L804</f>
        <v>0</v>
      </c>
      <c r="N804" s="6">
        <f t="shared" si="73"/>
        <v>446</v>
      </c>
      <c r="O804" s="6">
        <f t="shared" si="74"/>
        <v>205</v>
      </c>
      <c r="P804" s="6">
        <f t="shared" si="75"/>
        <v>701</v>
      </c>
      <c r="Q804">
        <f t="shared" si="76"/>
        <v>1</v>
      </c>
      <c r="R804">
        <f t="shared" si="77"/>
        <v>2</v>
      </c>
    </row>
    <row r="805" spans="1:18" x14ac:dyDescent="0.25">
      <c r="A805">
        <f>Raw_data!A805</f>
        <v>804</v>
      </c>
      <c r="B805" t="str">
        <f>Raw_data!B805</f>
        <v>C3048</v>
      </c>
      <c r="C805" t="str">
        <f>Raw_data!C805</f>
        <v>R2659</v>
      </c>
      <c r="D805" s="3">
        <f>Raw_data!D805</f>
        <v>45313.133993055555</v>
      </c>
      <c r="E805" s="3">
        <f>Raw_data!E805</f>
        <v>45313.198576388888</v>
      </c>
      <c r="F805" s="4">
        <f t="shared" si="72"/>
        <v>6.4583333332848269E-2</v>
      </c>
      <c r="G805" s="6">
        <f>Raw_data!F805</f>
        <v>1736</v>
      </c>
      <c r="H805" s="6">
        <f>Raw_data!G805</f>
        <v>40</v>
      </c>
      <c r="I805" t="str">
        <f>Raw_data!H805</f>
        <v>Cash on Delivery</v>
      </c>
      <c r="J805" s="7" t="str">
        <f>IF(Raw_data!I805=0.1,"10%",Raw_data!I805)</f>
        <v>10%</v>
      </c>
      <c r="K805" s="6">
        <f>Raw_data!J805</f>
        <v>143</v>
      </c>
      <c r="L805" s="6">
        <f>Raw_data!K805</f>
        <v>46</v>
      </c>
      <c r="M805" s="6">
        <f>Raw_data!L805</f>
        <v>0</v>
      </c>
      <c r="N805" s="6">
        <f t="shared" si="73"/>
        <v>1547</v>
      </c>
      <c r="O805" s="6">
        <f t="shared" si="74"/>
        <v>189</v>
      </c>
      <c r="P805" s="6">
        <f t="shared" si="75"/>
        <v>1776</v>
      </c>
      <c r="Q805">
        <f t="shared" si="76"/>
        <v>2</v>
      </c>
      <c r="R805">
        <f t="shared" si="77"/>
        <v>2</v>
      </c>
    </row>
    <row r="806" spans="1:18" x14ac:dyDescent="0.25">
      <c r="A806">
        <f>Raw_data!A806</f>
        <v>805</v>
      </c>
      <c r="B806" t="str">
        <f>Raw_data!B806</f>
        <v>C7233</v>
      </c>
      <c r="C806" t="str">
        <f>Raw_data!C806</f>
        <v>R2672</v>
      </c>
      <c r="D806" s="3">
        <f>Raw_data!D806</f>
        <v>45318.970543981479</v>
      </c>
      <c r="E806" s="3">
        <f>Raw_data!E806</f>
        <v>45319.007349537038</v>
      </c>
      <c r="F806" s="4">
        <f t="shared" si="72"/>
        <v>3.680555555911269E-2</v>
      </c>
      <c r="G806" s="6">
        <f>Raw_data!F806</f>
        <v>210</v>
      </c>
      <c r="H806" s="6">
        <f>Raw_data!G806</f>
        <v>20</v>
      </c>
      <c r="I806" t="str">
        <f>Raw_data!H806</f>
        <v>Digital Wallet</v>
      </c>
      <c r="J806" s="7" t="str">
        <f>IF(Raw_data!I806=0.1,"10%",Raw_data!I806)</f>
        <v>50 off Promo</v>
      </c>
      <c r="K806" s="6">
        <f>Raw_data!J806</f>
        <v>81</v>
      </c>
      <c r="L806" s="6">
        <f>Raw_data!K806</f>
        <v>36</v>
      </c>
      <c r="M806" s="6">
        <f>Raw_data!L806</f>
        <v>0</v>
      </c>
      <c r="N806" s="6">
        <f t="shared" si="73"/>
        <v>93</v>
      </c>
      <c r="O806" s="6">
        <f t="shared" si="74"/>
        <v>117</v>
      </c>
      <c r="P806" s="6">
        <f t="shared" si="75"/>
        <v>230</v>
      </c>
      <c r="Q806">
        <f t="shared" si="76"/>
        <v>1</v>
      </c>
      <c r="R806">
        <f t="shared" si="77"/>
        <v>2</v>
      </c>
    </row>
    <row r="807" spans="1:18" x14ac:dyDescent="0.25">
      <c r="A807">
        <f>Raw_data!A807</f>
        <v>806</v>
      </c>
      <c r="B807" t="str">
        <f>Raw_data!B807</f>
        <v>C2828</v>
      </c>
      <c r="C807" t="str">
        <f>Raw_data!C807</f>
        <v>R2713</v>
      </c>
      <c r="D807" s="3">
        <f>Raw_data!D807</f>
        <v>45303.372673611113</v>
      </c>
      <c r="E807" s="3">
        <f>Raw_data!E807</f>
        <v>45303.442118055558</v>
      </c>
      <c r="F807" s="4">
        <f t="shared" si="72"/>
        <v>6.9444444445252884E-2</v>
      </c>
      <c r="G807" s="6">
        <f>Raw_data!F807</f>
        <v>484</v>
      </c>
      <c r="H807" s="6">
        <f>Raw_data!G807</f>
        <v>20</v>
      </c>
      <c r="I807" t="str">
        <f>Raw_data!H807</f>
        <v>Cash on Delivery</v>
      </c>
      <c r="J807" s="7" t="str">
        <f>IF(Raw_data!I807=0.1,"10%",Raw_data!I807)</f>
        <v>None</v>
      </c>
      <c r="K807" s="6">
        <f>Raw_data!J807</f>
        <v>155</v>
      </c>
      <c r="L807" s="6">
        <f>Raw_data!K807</f>
        <v>34</v>
      </c>
      <c r="M807" s="6">
        <f>Raw_data!L807</f>
        <v>150</v>
      </c>
      <c r="N807" s="6">
        <f t="shared" si="73"/>
        <v>295</v>
      </c>
      <c r="O807" s="6">
        <f t="shared" si="74"/>
        <v>39</v>
      </c>
      <c r="P807" s="6">
        <f t="shared" si="75"/>
        <v>504</v>
      </c>
      <c r="Q807">
        <f t="shared" si="76"/>
        <v>1</v>
      </c>
      <c r="R807">
        <f t="shared" si="77"/>
        <v>3</v>
      </c>
    </row>
    <row r="808" spans="1:18" x14ac:dyDescent="0.25">
      <c r="A808">
        <f>Raw_data!A808</f>
        <v>807</v>
      </c>
      <c r="B808" t="str">
        <f>Raw_data!B808</f>
        <v>C2917</v>
      </c>
      <c r="C808" t="str">
        <f>Raw_data!C808</f>
        <v>R2935</v>
      </c>
      <c r="D808" s="3">
        <f>Raw_data!D808</f>
        <v>45321.085925925923</v>
      </c>
      <c r="E808" s="3">
        <f>Raw_data!E808</f>
        <v>45321.129675925928</v>
      </c>
      <c r="F808" s="4">
        <f t="shared" si="72"/>
        <v>4.3750000004365575E-2</v>
      </c>
      <c r="G808" s="6">
        <f>Raw_data!F808</f>
        <v>1956</v>
      </c>
      <c r="H808" s="6">
        <f>Raw_data!G808</f>
        <v>50</v>
      </c>
      <c r="I808" t="str">
        <f>Raw_data!H808</f>
        <v>Credit Card</v>
      </c>
      <c r="J808" s="7" t="str">
        <f>IF(Raw_data!I808=0.1,"10%",Raw_data!I808)</f>
        <v>15% New User</v>
      </c>
      <c r="K808" s="6">
        <f>Raw_data!J808</f>
        <v>193</v>
      </c>
      <c r="L808" s="6">
        <f>Raw_data!K808</f>
        <v>22</v>
      </c>
      <c r="M808" s="6">
        <f>Raw_data!L808</f>
        <v>0</v>
      </c>
      <c r="N808" s="6">
        <f t="shared" si="73"/>
        <v>1741</v>
      </c>
      <c r="O808" s="6">
        <f t="shared" si="74"/>
        <v>215</v>
      </c>
      <c r="P808" s="6">
        <f t="shared" si="75"/>
        <v>2006</v>
      </c>
      <c r="Q808">
        <f t="shared" si="76"/>
        <v>1</v>
      </c>
      <c r="R808">
        <f t="shared" si="77"/>
        <v>2</v>
      </c>
    </row>
    <row r="809" spans="1:18" x14ac:dyDescent="0.25">
      <c r="A809">
        <f>Raw_data!A809</f>
        <v>808</v>
      </c>
      <c r="B809" t="str">
        <f>Raw_data!B809</f>
        <v>C5234</v>
      </c>
      <c r="C809" t="str">
        <f>Raw_data!C809</f>
        <v>R2927</v>
      </c>
      <c r="D809" s="3">
        <f>Raw_data!D809</f>
        <v>45316.910868055558</v>
      </c>
      <c r="E809" s="3">
        <f>Raw_data!E809</f>
        <v>45316.96434027778</v>
      </c>
      <c r="F809" s="4">
        <f t="shared" si="72"/>
        <v>5.3472222221898846E-2</v>
      </c>
      <c r="G809" s="6">
        <f>Raw_data!F809</f>
        <v>860</v>
      </c>
      <c r="H809" s="6">
        <f>Raw_data!G809</f>
        <v>50</v>
      </c>
      <c r="I809" t="str">
        <f>Raw_data!H809</f>
        <v>Digital Wallet</v>
      </c>
      <c r="J809" s="7" t="str">
        <f>IF(Raw_data!I809=0.1,"10%",Raw_data!I809)</f>
        <v>5% on App</v>
      </c>
      <c r="K809" s="6">
        <f>Raw_data!J809</f>
        <v>50</v>
      </c>
      <c r="L809" s="6">
        <f>Raw_data!K809</f>
        <v>17</v>
      </c>
      <c r="M809" s="6">
        <f>Raw_data!L809</f>
        <v>50</v>
      </c>
      <c r="N809" s="6">
        <f t="shared" si="73"/>
        <v>793</v>
      </c>
      <c r="O809" s="6">
        <f t="shared" si="74"/>
        <v>17</v>
      </c>
      <c r="P809" s="6">
        <f t="shared" si="75"/>
        <v>910</v>
      </c>
      <c r="Q809">
        <f t="shared" si="76"/>
        <v>1</v>
      </c>
      <c r="R809">
        <f t="shared" si="77"/>
        <v>2</v>
      </c>
    </row>
    <row r="810" spans="1:18" x14ac:dyDescent="0.25">
      <c r="A810">
        <f>Raw_data!A810</f>
        <v>809</v>
      </c>
      <c r="B810" t="str">
        <f>Raw_data!B810</f>
        <v>C7988</v>
      </c>
      <c r="C810" t="str">
        <f>Raw_data!C810</f>
        <v>R2241</v>
      </c>
      <c r="D810" s="3">
        <f>Raw_data!D810</f>
        <v>45321.398541666669</v>
      </c>
      <c r="E810" s="3">
        <f>Raw_data!E810</f>
        <v>45321.42701388889</v>
      </c>
      <c r="F810" s="4">
        <f t="shared" si="72"/>
        <v>2.8472222220443655E-2</v>
      </c>
      <c r="G810" s="6">
        <f>Raw_data!F810</f>
        <v>1314</v>
      </c>
      <c r="H810" s="6">
        <f>Raw_data!G810</f>
        <v>40</v>
      </c>
      <c r="I810" t="str">
        <f>Raw_data!H810</f>
        <v>Digital Wallet</v>
      </c>
      <c r="J810" s="7" t="str">
        <f>IF(Raw_data!I810=0.1,"10%",Raw_data!I810)</f>
        <v>50 off Promo</v>
      </c>
      <c r="K810" s="6">
        <f>Raw_data!J810</f>
        <v>121</v>
      </c>
      <c r="L810" s="6">
        <f>Raw_data!K810</f>
        <v>14</v>
      </c>
      <c r="M810" s="6">
        <f>Raw_data!L810</f>
        <v>100</v>
      </c>
      <c r="N810" s="6">
        <f t="shared" si="73"/>
        <v>1179</v>
      </c>
      <c r="O810" s="6">
        <f t="shared" si="74"/>
        <v>35</v>
      </c>
      <c r="P810" s="6">
        <f t="shared" si="75"/>
        <v>1354</v>
      </c>
      <c r="Q810">
        <f t="shared" si="76"/>
        <v>1</v>
      </c>
      <c r="R810">
        <f t="shared" si="77"/>
        <v>2</v>
      </c>
    </row>
    <row r="811" spans="1:18" x14ac:dyDescent="0.25">
      <c r="A811">
        <f>Raw_data!A811</f>
        <v>810</v>
      </c>
      <c r="B811" t="str">
        <f>Raw_data!B811</f>
        <v>C3026</v>
      </c>
      <c r="C811" t="str">
        <f>Raw_data!C811</f>
        <v>R2864</v>
      </c>
      <c r="D811" s="3">
        <f>Raw_data!D811</f>
        <v>45321.777037037034</v>
      </c>
      <c r="E811" s="3">
        <f>Raw_data!E811</f>
        <v>45321.813148148147</v>
      </c>
      <c r="F811" s="4">
        <f t="shared" si="72"/>
        <v>3.6111111112404615E-2</v>
      </c>
      <c r="G811" s="6">
        <f>Raw_data!F811</f>
        <v>1613</v>
      </c>
      <c r="H811" s="6">
        <f>Raw_data!G811</f>
        <v>20</v>
      </c>
      <c r="I811" t="str">
        <f>Raw_data!H811</f>
        <v>Credit Card</v>
      </c>
      <c r="J811" s="7" t="str">
        <f>IF(Raw_data!I811=0.1,"10%",Raw_data!I811)</f>
        <v>5% on App</v>
      </c>
      <c r="K811" s="6">
        <f>Raw_data!J811</f>
        <v>99</v>
      </c>
      <c r="L811" s="6">
        <f>Raw_data!K811</f>
        <v>21</v>
      </c>
      <c r="M811" s="6">
        <f>Raw_data!L811</f>
        <v>0</v>
      </c>
      <c r="N811" s="6">
        <f t="shared" si="73"/>
        <v>1493</v>
      </c>
      <c r="O811" s="6">
        <f t="shared" si="74"/>
        <v>120</v>
      </c>
      <c r="P811" s="6">
        <f t="shared" si="75"/>
        <v>1633</v>
      </c>
      <c r="Q811">
        <f t="shared" si="76"/>
        <v>1</v>
      </c>
      <c r="R811">
        <f t="shared" si="77"/>
        <v>1</v>
      </c>
    </row>
    <row r="812" spans="1:18" x14ac:dyDescent="0.25">
      <c r="A812">
        <f>Raw_data!A812</f>
        <v>811</v>
      </c>
      <c r="B812" t="str">
        <f>Raw_data!B812</f>
        <v>C4744</v>
      </c>
      <c r="C812" t="str">
        <f>Raw_data!C812</f>
        <v>R2001</v>
      </c>
      <c r="D812" s="3">
        <f>Raw_data!D812</f>
        <v>45319.755590277775</v>
      </c>
      <c r="E812" s="3">
        <f>Raw_data!E812</f>
        <v>45319.830590277779</v>
      </c>
      <c r="F812" s="4">
        <f t="shared" si="72"/>
        <v>7.5000000004365575E-2</v>
      </c>
      <c r="G812" s="6">
        <f>Raw_data!F812</f>
        <v>793</v>
      </c>
      <c r="H812" s="6">
        <f>Raw_data!G812</f>
        <v>50</v>
      </c>
      <c r="I812" t="str">
        <f>Raw_data!H812</f>
        <v>Credit Card</v>
      </c>
      <c r="J812" s="7" t="str">
        <f>IF(Raw_data!I812=0.1,"10%",Raw_data!I812)</f>
        <v>50 off Promo</v>
      </c>
      <c r="K812" s="6">
        <f>Raw_data!J812</f>
        <v>190</v>
      </c>
      <c r="L812" s="6">
        <f>Raw_data!K812</f>
        <v>50</v>
      </c>
      <c r="M812" s="6">
        <f>Raw_data!L812</f>
        <v>0</v>
      </c>
      <c r="N812" s="6">
        <f t="shared" si="73"/>
        <v>553</v>
      </c>
      <c r="O812" s="6">
        <f t="shared" si="74"/>
        <v>240</v>
      </c>
      <c r="P812" s="6">
        <f t="shared" si="75"/>
        <v>843</v>
      </c>
      <c r="Q812">
        <f t="shared" si="76"/>
        <v>1</v>
      </c>
      <c r="R812">
        <f t="shared" si="77"/>
        <v>2</v>
      </c>
    </row>
    <row r="813" spans="1:18" x14ac:dyDescent="0.25">
      <c r="A813">
        <f>Raw_data!A813</f>
        <v>812</v>
      </c>
      <c r="B813" t="str">
        <f>Raw_data!B813</f>
        <v>C1009</v>
      </c>
      <c r="C813" t="str">
        <f>Raw_data!C813</f>
        <v>R2224</v>
      </c>
      <c r="D813" s="3">
        <f>Raw_data!D813</f>
        <v>45319.106377314813</v>
      </c>
      <c r="E813" s="3">
        <f>Raw_data!E813</f>
        <v>45319.13554398148</v>
      </c>
      <c r="F813" s="4">
        <f t="shared" si="72"/>
        <v>2.9166666667151731E-2</v>
      </c>
      <c r="G813" s="6">
        <f>Raw_data!F813</f>
        <v>1549</v>
      </c>
      <c r="H813" s="6">
        <f>Raw_data!G813</f>
        <v>20</v>
      </c>
      <c r="I813" t="str">
        <f>Raw_data!H813</f>
        <v>Digital Wallet</v>
      </c>
      <c r="J813" s="7" t="str">
        <f>IF(Raw_data!I813=0.1,"10%",Raw_data!I813)</f>
        <v>None</v>
      </c>
      <c r="K813" s="6">
        <f>Raw_data!J813</f>
        <v>64</v>
      </c>
      <c r="L813" s="6">
        <f>Raw_data!K813</f>
        <v>12</v>
      </c>
      <c r="M813" s="6">
        <f>Raw_data!L813</f>
        <v>0</v>
      </c>
      <c r="N813" s="6">
        <f t="shared" si="73"/>
        <v>1473</v>
      </c>
      <c r="O813" s="6">
        <f t="shared" si="74"/>
        <v>76</v>
      </c>
      <c r="P813" s="6">
        <f t="shared" si="75"/>
        <v>1569</v>
      </c>
      <c r="Q813">
        <f t="shared" si="76"/>
        <v>2</v>
      </c>
      <c r="R813">
        <f t="shared" si="77"/>
        <v>1</v>
      </c>
    </row>
    <row r="814" spans="1:18" x14ac:dyDescent="0.25">
      <c r="A814">
        <f>Raw_data!A814</f>
        <v>813</v>
      </c>
      <c r="B814" t="str">
        <f>Raw_data!B814</f>
        <v>C1260</v>
      </c>
      <c r="C814" t="str">
        <f>Raw_data!C814</f>
        <v>R2800</v>
      </c>
      <c r="D814" s="3">
        <f>Raw_data!D814</f>
        <v>45321.552245370367</v>
      </c>
      <c r="E814" s="3">
        <f>Raw_data!E814</f>
        <v>45321.632800925923</v>
      </c>
      <c r="F814" s="4">
        <f t="shared" si="72"/>
        <v>8.0555555556202307E-2</v>
      </c>
      <c r="G814" s="6">
        <f>Raw_data!F814</f>
        <v>504</v>
      </c>
      <c r="H814" s="6">
        <f>Raw_data!G814</f>
        <v>50</v>
      </c>
      <c r="I814" t="str">
        <f>Raw_data!H814</f>
        <v>Credit Card</v>
      </c>
      <c r="J814" s="7" t="str">
        <f>IF(Raw_data!I814=0.1,"10%",Raw_data!I814)</f>
        <v>10%</v>
      </c>
      <c r="K814" s="6">
        <f>Raw_data!J814</f>
        <v>102</v>
      </c>
      <c r="L814" s="6">
        <f>Raw_data!K814</f>
        <v>44</v>
      </c>
      <c r="M814" s="6">
        <f>Raw_data!L814</f>
        <v>150</v>
      </c>
      <c r="N814" s="6">
        <f t="shared" si="73"/>
        <v>358</v>
      </c>
      <c r="O814" s="6">
        <f t="shared" si="74"/>
        <v>-4</v>
      </c>
      <c r="P814" s="6">
        <f t="shared" si="75"/>
        <v>554</v>
      </c>
      <c r="Q814">
        <f t="shared" si="76"/>
        <v>1</v>
      </c>
      <c r="R814">
        <f t="shared" si="77"/>
        <v>2</v>
      </c>
    </row>
    <row r="815" spans="1:18" x14ac:dyDescent="0.25">
      <c r="A815">
        <f>Raw_data!A815</f>
        <v>814</v>
      </c>
      <c r="B815" t="str">
        <f>Raw_data!B815</f>
        <v>C7038</v>
      </c>
      <c r="C815" t="str">
        <f>Raw_data!C815</f>
        <v>R2744</v>
      </c>
      <c r="D815" s="3">
        <f>Raw_data!D815</f>
        <v>45298.319618055553</v>
      </c>
      <c r="E815" s="3">
        <f>Raw_data!E815</f>
        <v>45298.371006944442</v>
      </c>
      <c r="F815" s="4">
        <f t="shared" si="72"/>
        <v>5.1388888889050577E-2</v>
      </c>
      <c r="G815" s="6">
        <f>Raw_data!F815</f>
        <v>1458</v>
      </c>
      <c r="H815" s="6">
        <f>Raw_data!G815</f>
        <v>0</v>
      </c>
      <c r="I815" t="str">
        <f>Raw_data!H815</f>
        <v>Cash on Delivery</v>
      </c>
      <c r="J815" s="7" t="str">
        <f>IF(Raw_data!I815=0.1,"10%",Raw_data!I815)</f>
        <v>5% on App</v>
      </c>
      <c r="K815" s="6">
        <f>Raw_data!J815</f>
        <v>57</v>
      </c>
      <c r="L815" s="6">
        <f>Raw_data!K815</f>
        <v>42</v>
      </c>
      <c r="M815" s="6">
        <f>Raw_data!L815</f>
        <v>50</v>
      </c>
      <c r="N815" s="6">
        <f t="shared" si="73"/>
        <v>1359</v>
      </c>
      <c r="O815" s="6">
        <f t="shared" si="74"/>
        <v>49</v>
      </c>
      <c r="P815" s="6">
        <f t="shared" si="75"/>
        <v>1458</v>
      </c>
      <c r="Q815">
        <f t="shared" si="76"/>
        <v>1</v>
      </c>
      <c r="R815">
        <f t="shared" si="77"/>
        <v>1</v>
      </c>
    </row>
    <row r="816" spans="1:18" x14ac:dyDescent="0.25">
      <c r="A816">
        <f>Raw_data!A816</f>
        <v>815</v>
      </c>
      <c r="B816" t="str">
        <f>Raw_data!B816</f>
        <v>C3219</v>
      </c>
      <c r="C816" t="str">
        <f>Raw_data!C816</f>
        <v>R2972</v>
      </c>
      <c r="D816" s="3">
        <f>Raw_data!D816</f>
        <v>45305.236770833333</v>
      </c>
      <c r="E816" s="3">
        <f>Raw_data!E816</f>
        <v>45305.302048611113</v>
      </c>
      <c r="F816" s="4">
        <f t="shared" si="72"/>
        <v>6.5277777779556345E-2</v>
      </c>
      <c r="G816" s="6">
        <f>Raw_data!F816</f>
        <v>1332</v>
      </c>
      <c r="H816" s="6">
        <f>Raw_data!G816</f>
        <v>30</v>
      </c>
      <c r="I816" t="str">
        <f>Raw_data!H816</f>
        <v>Credit Card</v>
      </c>
      <c r="J816" s="7" t="str">
        <f>IF(Raw_data!I816=0.1,"10%",Raw_data!I816)</f>
        <v>5% on App</v>
      </c>
      <c r="K816" s="6">
        <f>Raw_data!J816</f>
        <v>123</v>
      </c>
      <c r="L816" s="6">
        <f>Raw_data!K816</f>
        <v>31</v>
      </c>
      <c r="M816" s="6">
        <f>Raw_data!L816</f>
        <v>0</v>
      </c>
      <c r="N816" s="6">
        <f t="shared" si="73"/>
        <v>1178</v>
      </c>
      <c r="O816" s="6">
        <f t="shared" si="74"/>
        <v>154</v>
      </c>
      <c r="P816" s="6">
        <f t="shared" si="75"/>
        <v>1362</v>
      </c>
      <c r="Q816">
        <f t="shared" si="76"/>
        <v>1</v>
      </c>
      <c r="R816">
        <f t="shared" si="77"/>
        <v>4</v>
      </c>
    </row>
    <row r="817" spans="1:18" x14ac:dyDescent="0.25">
      <c r="A817">
        <f>Raw_data!A817</f>
        <v>816</v>
      </c>
      <c r="B817" t="str">
        <f>Raw_data!B817</f>
        <v>C8041</v>
      </c>
      <c r="C817" t="str">
        <f>Raw_data!C817</f>
        <v>R2925</v>
      </c>
      <c r="D817" s="3">
        <f>Raw_data!D817</f>
        <v>45308.590752314813</v>
      </c>
      <c r="E817" s="3">
        <f>Raw_data!E817</f>
        <v>45308.643530092595</v>
      </c>
      <c r="F817" s="4">
        <f t="shared" si="72"/>
        <v>5.2777777782466728E-2</v>
      </c>
      <c r="G817" s="6">
        <f>Raw_data!F817</f>
        <v>121</v>
      </c>
      <c r="H817" s="6">
        <f>Raw_data!G817</f>
        <v>0</v>
      </c>
      <c r="I817" t="str">
        <f>Raw_data!H817</f>
        <v>Credit Card</v>
      </c>
      <c r="J817" s="7" t="str">
        <f>IF(Raw_data!I817=0.1,"10%",Raw_data!I817)</f>
        <v>10%</v>
      </c>
      <c r="K817" s="6">
        <f>Raw_data!J817</f>
        <v>95</v>
      </c>
      <c r="L817" s="6">
        <f>Raw_data!K817</f>
        <v>18</v>
      </c>
      <c r="M817" s="6">
        <f>Raw_data!L817</f>
        <v>0</v>
      </c>
      <c r="N817" s="6">
        <f t="shared" si="73"/>
        <v>8</v>
      </c>
      <c r="O817" s="6">
        <f t="shared" si="74"/>
        <v>113</v>
      </c>
      <c r="P817" s="6">
        <f t="shared" si="75"/>
        <v>121</v>
      </c>
      <c r="Q817">
        <f t="shared" si="76"/>
        <v>2</v>
      </c>
      <c r="R817">
        <f t="shared" si="77"/>
        <v>2</v>
      </c>
    </row>
    <row r="818" spans="1:18" x14ac:dyDescent="0.25">
      <c r="A818">
        <f>Raw_data!A818</f>
        <v>817</v>
      </c>
      <c r="B818" t="str">
        <f>Raw_data!B818</f>
        <v>C3060</v>
      </c>
      <c r="C818" t="str">
        <f>Raw_data!C818</f>
        <v>R2928</v>
      </c>
      <c r="D818" s="3">
        <f>Raw_data!D818</f>
        <v>45310.992129629631</v>
      </c>
      <c r="E818" s="3">
        <f>Raw_data!E818</f>
        <v>45311.052546296298</v>
      </c>
      <c r="F818" s="4">
        <f t="shared" si="72"/>
        <v>6.0416666667151731E-2</v>
      </c>
      <c r="G818" s="6">
        <f>Raw_data!F818</f>
        <v>777</v>
      </c>
      <c r="H818" s="6">
        <f>Raw_data!G818</f>
        <v>50</v>
      </c>
      <c r="I818" t="str">
        <f>Raw_data!H818</f>
        <v>Digital Wallet</v>
      </c>
      <c r="J818" s="7" t="str">
        <f>IF(Raw_data!I818=0.1,"10%",Raw_data!I818)</f>
        <v>5% on App</v>
      </c>
      <c r="K818" s="6">
        <f>Raw_data!J818</f>
        <v>118</v>
      </c>
      <c r="L818" s="6">
        <f>Raw_data!K818</f>
        <v>50</v>
      </c>
      <c r="M818" s="6">
        <f>Raw_data!L818</f>
        <v>150</v>
      </c>
      <c r="N818" s="6">
        <f t="shared" si="73"/>
        <v>609</v>
      </c>
      <c r="O818" s="6">
        <f t="shared" si="74"/>
        <v>18</v>
      </c>
      <c r="P818" s="6">
        <f t="shared" si="75"/>
        <v>827</v>
      </c>
      <c r="Q818">
        <f t="shared" si="76"/>
        <v>1</v>
      </c>
      <c r="R818">
        <f t="shared" si="77"/>
        <v>1</v>
      </c>
    </row>
    <row r="819" spans="1:18" x14ac:dyDescent="0.25">
      <c r="A819">
        <f>Raw_data!A819</f>
        <v>818</v>
      </c>
      <c r="B819" t="str">
        <f>Raw_data!B819</f>
        <v>C6287</v>
      </c>
      <c r="C819" t="str">
        <f>Raw_data!C819</f>
        <v>R2588</v>
      </c>
      <c r="D819" s="3">
        <f>Raw_data!D819</f>
        <v>45311.757141203707</v>
      </c>
      <c r="E819" s="3">
        <f>Raw_data!E819</f>
        <v>45311.780752314815</v>
      </c>
      <c r="F819" s="4">
        <f t="shared" si="72"/>
        <v>2.361111110803904E-2</v>
      </c>
      <c r="G819" s="6">
        <f>Raw_data!F819</f>
        <v>710</v>
      </c>
      <c r="H819" s="6">
        <f>Raw_data!G819</f>
        <v>30</v>
      </c>
      <c r="I819" t="str">
        <f>Raw_data!H819</f>
        <v>Cash on Delivery</v>
      </c>
      <c r="J819" s="7" t="str">
        <f>IF(Raw_data!I819=0.1,"10%",Raw_data!I819)</f>
        <v>5% on App</v>
      </c>
      <c r="K819" s="6">
        <f>Raw_data!J819</f>
        <v>163</v>
      </c>
      <c r="L819" s="6">
        <f>Raw_data!K819</f>
        <v>27</v>
      </c>
      <c r="M819" s="6">
        <f>Raw_data!L819</f>
        <v>50</v>
      </c>
      <c r="N819" s="6">
        <f t="shared" si="73"/>
        <v>520</v>
      </c>
      <c r="O819" s="6">
        <f t="shared" si="74"/>
        <v>140</v>
      </c>
      <c r="P819" s="6">
        <f t="shared" si="75"/>
        <v>740</v>
      </c>
      <c r="Q819">
        <f t="shared" si="76"/>
        <v>1</v>
      </c>
      <c r="R819">
        <f t="shared" si="77"/>
        <v>2</v>
      </c>
    </row>
    <row r="820" spans="1:18" x14ac:dyDescent="0.25">
      <c r="A820">
        <f>Raw_data!A820</f>
        <v>819</v>
      </c>
      <c r="B820" t="str">
        <f>Raw_data!B820</f>
        <v>C2619</v>
      </c>
      <c r="C820" t="str">
        <f>Raw_data!C820</f>
        <v>R2115</v>
      </c>
      <c r="D820" s="3">
        <f>Raw_data!D820</f>
        <v>45299.98097222222</v>
      </c>
      <c r="E820" s="3">
        <f>Raw_data!E820</f>
        <v>45300.054583333331</v>
      </c>
      <c r="F820" s="4">
        <f t="shared" si="72"/>
        <v>7.3611111110949423E-2</v>
      </c>
      <c r="G820" s="6">
        <f>Raw_data!F820</f>
        <v>1331</v>
      </c>
      <c r="H820" s="6">
        <f>Raw_data!G820</f>
        <v>30</v>
      </c>
      <c r="I820" t="str">
        <f>Raw_data!H820</f>
        <v>Credit Card</v>
      </c>
      <c r="J820" s="7" t="str">
        <f>IF(Raw_data!I820=0.1,"10%",Raw_data!I820)</f>
        <v>50 off Promo</v>
      </c>
      <c r="K820" s="6">
        <f>Raw_data!J820</f>
        <v>196</v>
      </c>
      <c r="L820" s="6">
        <f>Raw_data!K820</f>
        <v>38</v>
      </c>
      <c r="M820" s="6">
        <f>Raw_data!L820</f>
        <v>50</v>
      </c>
      <c r="N820" s="6">
        <f t="shared" si="73"/>
        <v>1097</v>
      </c>
      <c r="O820" s="6">
        <f t="shared" si="74"/>
        <v>184</v>
      </c>
      <c r="P820" s="6">
        <f t="shared" si="75"/>
        <v>1361</v>
      </c>
      <c r="Q820">
        <f t="shared" si="76"/>
        <v>1</v>
      </c>
      <c r="R820">
        <f t="shared" si="77"/>
        <v>1</v>
      </c>
    </row>
    <row r="821" spans="1:18" x14ac:dyDescent="0.25">
      <c r="A821">
        <f>Raw_data!A821</f>
        <v>820</v>
      </c>
      <c r="B821" t="str">
        <f>Raw_data!B821</f>
        <v>C9512</v>
      </c>
      <c r="C821" t="str">
        <f>Raw_data!C821</f>
        <v>R2665</v>
      </c>
      <c r="D821" s="3">
        <f>Raw_data!D821</f>
        <v>45324.282951388886</v>
      </c>
      <c r="E821" s="3">
        <f>Raw_data!E821</f>
        <v>45324.306562500002</v>
      </c>
      <c r="F821" s="4">
        <f t="shared" si="72"/>
        <v>2.3611111115314998E-2</v>
      </c>
      <c r="G821" s="6">
        <f>Raw_data!F821</f>
        <v>107</v>
      </c>
      <c r="H821" s="6">
        <f>Raw_data!G821</f>
        <v>50</v>
      </c>
      <c r="I821" t="str">
        <f>Raw_data!H821</f>
        <v>Cash on Delivery</v>
      </c>
      <c r="J821" s="7" t="str">
        <f>IF(Raw_data!I821=0.1,"10%",Raw_data!I821)</f>
        <v>50 off Promo</v>
      </c>
      <c r="K821" s="6">
        <f>Raw_data!J821</f>
        <v>172</v>
      </c>
      <c r="L821" s="6">
        <f>Raw_data!K821</f>
        <v>48</v>
      </c>
      <c r="M821" s="6">
        <f>Raw_data!L821</f>
        <v>0</v>
      </c>
      <c r="N821" s="6">
        <f t="shared" si="73"/>
        <v>-113</v>
      </c>
      <c r="O821" s="6">
        <f t="shared" si="74"/>
        <v>220</v>
      </c>
      <c r="P821" s="6">
        <f t="shared" si="75"/>
        <v>157</v>
      </c>
      <c r="Q821">
        <f t="shared" si="76"/>
        <v>1</v>
      </c>
      <c r="R821">
        <f t="shared" si="77"/>
        <v>2</v>
      </c>
    </row>
    <row r="822" spans="1:18" x14ac:dyDescent="0.25">
      <c r="A822">
        <f>Raw_data!A822</f>
        <v>821</v>
      </c>
      <c r="B822" t="str">
        <f>Raw_data!B822</f>
        <v>C2342</v>
      </c>
      <c r="C822" t="str">
        <f>Raw_data!C822</f>
        <v>R2917</v>
      </c>
      <c r="D822" s="3">
        <f>Raw_data!D822</f>
        <v>45325.070150462961</v>
      </c>
      <c r="E822" s="3">
        <f>Raw_data!E822</f>
        <v>45325.131956018522</v>
      </c>
      <c r="F822" s="4">
        <f t="shared" si="72"/>
        <v>6.1805555560567882E-2</v>
      </c>
      <c r="G822" s="6">
        <f>Raw_data!F822</f>
        <v>801</v>
      </c>
      <c r="H822" s="6">
        <f>Raw_data!G822</f>
        <v>50</v>
      </c>
      <c r="I822" t="str">
        <f>Raw_data!H822</f>
        <v>Cash on Delivery</v>
      </c>
      <c r="J822" s="7" t="str">
        <f>IF(Raw_data!I822=0.1,"10%",Raw_data!I822)</f>
        <v>10%</v>
      </c>
      <c r="K822" s="6">
        <f>Raw_data!J822</f>
        <v>188</v>
      </c>
      <c r="L822" s="6">
        <f>Raw_data!K822</f>
        <v>36</v>
      </c>
      <c r="M822" s="6">
        <f>Raw_data!L822</f>
        <v>50</v>
      </c>
      <c r="N822" s="6">
        <f t="shared" si="73"/>
        <v>577</v>
      </c>
      <c r="O822" s="6">
        <f t="shared" si="74"/>
        <v>174</v>
      </c>
      <c r="P822" s="6">
        <f t="shared" si="75"/>
        <v>851</v>
      </c>
      <c r="Q822">
        <f t="shared" si="76"/>
        <v>1</v>
      </c>
      <c r="R822">
        <f t="shared" si="77"/>
        <v>2</v>
      </c>
    </row>
    <row r="823" spans="1:18" x14ac:dyDescent="0.25">
      <c r="A823">
        <f>Raw_data!A823</f>
        <v>822</v>
      </c>
      <c r="B823" t="str">
        <f>Raw_data!B823</f>
        <v>C3832</v>
      </c>
      <c r="C823" t="str">
        <f>Raw_data!C823</f>
        <v>R2102</v>
      </c>
      <c r="D823" s="3">
        <f>Raw_data!D823</f>
        <v>45329.335995370369</v>
      </c>
      <c r="E823" s="3">
        <f>Raw_data!E823</f>
        <v>45329.370717592596</v>
      </c>
      <c r="F823" s="4">
        <f t="shared" si="72"/>
        <v>3.4722222226264421E-2</v>
      </c>
      <c r="G823" s="6">
        <f>Raw_data!F823</f>
        <v>1810</v>
      </c>
      <c r="H823" s="6">
        <f>Raw_data!G823</f>
        <v>20</v>
      </c>
      <c r="I823" t="str">
        <f>Raw_data!H823</f>
        <v>Cash on Delivery</v>
      </c>
      <c r="J823" s="7" t="str">
        <f>IF(Raw_data!I823=0.1,"10%",Raw_data!I823)</f>
        <v>None</v>
      </c>
      <c r="K823" s="6">
        <f>Raw_data!J823</f>
        <v>166</v>
      </c>
      <c r="L823" s="6">
        <f>Raw_data!K823</f>
        <v>45</v>
      </c>
      <c r="M823" s="6">
        <f>Raw_data!L823</f>
        <v>0</v>
      </c>
      <c r="N823" s="6">
        <f t="shared" si="73"/>
        <v>1599</v>
      </c>
      <c r="O823" s="6">
        <f t="shared" si="74"/>
        <v>211</v>
      </c>
      <c r="P823" s="6">
        <f t="shared" si="75"/>
        <v>1830</v>
      </c>
      <c r="Q823">
        <f t="shared" si="76"/>
        <v>2</v>
      </c>
      <c r="R823">
        <f t="shared" si="77"/>
        <v>1</v>
      </c>
    </row>
    <row r="824" spans="1:18" x14ac:dyDescent="0.25">
      <c r="A824">
        <f>Raw_data!A824</f>
        <v>823</v>
      </c>
      <c r="B824" t="str">
        <f>Raw_data!B824</f>
        <v>C3824</v>
      </c>
      <c r="C824" t="str">
        <f>Raw_data!C824</f>
        <v>R2193</v>
      </c>
      <c r="D824" s="3">
        <f>Raw_data!D824</f>
        <v>45327.812893518516</v>
      </c>
      <c r="E824" s="3">
        <f>Raw_data!E824</f>
        <v>45327.849699074075</v>
      </c>
      <c r="F824" s="4">
        <f t="shared" si="72"/>
        <v>3.680555555911269E-2</v>
      </c>
      <c r="G824" s="6">
        <f>Raw_data!F824</f>
        <v>1908</v>
      </c>
      <c r="H824" s="6">
        <f>Raw_data!G824</f>
        <v>50</v>
      </c>
      <c r="I824" t="str">
        <f>Raw_data!H824</f>
        <v>Digital Wallet</v>
      </c>
      <c r="J824" s="7" t="str">
        <f>IF(Raw_data!I824=0.1,"10%",Raw_data!I824)</f>
        <v>5% on App</v>
      </c>
      <c r="K824" s="6">
        <f>Raw_data!J824</f>
        <v>92</v>
      </c>
      <c r="L824" s="6">
        <f>Raw_data!K824</f>
        <v>26</v>
      </c>
      <c r="M824" s="6">
        <f>Raw_data!L824</f>
        <v>0</v>
      </c>
      <c r="N824" s="6">
        <f t="shared" si="73"/>
        <v>1790</v>
      </c>
      <c r="O824" s="6">
        <f t="shared" si="74"/>
        <v>118</v>
      </c>
      <c r="P824" s="6">
        <f t="shared" si="75"/>
        <v>1958</v>
      </c>
      <c r="Q824">
        <f t="shared" si="76"/>
        <v>1</v>
      </c>
      <c r="R824">
        <f t="shared" si="77"/>
        <v>1</v>
      </c>
    </row>
    <row r="825" spans="1:18" x14ac:dyDescent="0.25">
      <c r="A825">
        <f>Raw_data!A825</f>
        <v>824</v>
      </c>
      <c r="B825" t="str">
        <f>Raw_data!B825</f>
        <v>C2994</v>
      </c>
      <c r="C825" t="str">
        <f>Raw_data!C825</f>
        <v>R2165</v>
      </c>
      <c r="D825" s="3">
        <f>Raw_data!D825</f>
        <v>45318.084745370368</v>
      </c>
      <c r="E825" s="3">
        <f>Raw_data!E825</f>
        <v>45318.117384259262</v>
      </c>
      <c r="F825" s="4">
        <f t="shared" si="72"/>
        <v>3.2638888893416151E-2</v>
      </c>
      <c r="G825" s="6">
        <f>Raw_data!F825</f>
        <v>628</v>
      </c>
      <c r="H825" s="6">
        <f>Raw_data!G825</f>
        <v>40</v>
      </c>
      <c r="I825" t="str">
        <f>Raw_data!H825</f>
        <v>Credit Card</v>
      </c>
      <c r="J825" s="7" t="str">
        <f>IF(Raw_data!I825=0.1,"10%",Raw_data!I825)</f>
        <v>None</v>
      </c>
      <c r="K825" s="6">
        <f>Raw_data!J825</f>
        <v>69</v>
      </c>
      <c r="L825" s="6">
        <f>Raw_data!K825</f>
        <v>43</v>
      </c>
      <c r="M825" s="6">
        <f>Raw_data!L825</f>
        <v>0</v>
      </c>
      <c r="N825" s="6">
        <f t="shared" si="73"/>
        <v>516</v>
      </c>
      <c r="O825" s="6">
        <f t="shared" si="74"/>
        <v>112</v>
      </c>
      <c r="P825" s="6">
        <f t="shared" si="75"/>
        <v>668</v>
      </c>
      <c r="Q825">
        <f t="shared" si="76"/>
        <v>1</v>
      </c>
      <c r="R825">
        <f t="shared" si="77"/>
        <v>2</v>
      </c>
    </row>
    <row r="826" spans="1:18" x14ac:dyDescent="0.25">
      <c r="A826">
        <f>Raw_data!A826</f>
        <v>825</v>
      </c>
      <c r="B826" t="str">
        <f>Raw_data!B826</f>
        <v>C4490</v>
      </c>
      <c r="C826" t="str">
        <f>Raw_data!C826</f>
        <v>R2870</v>
      </c>
      <c r="D826" s="3">
        <f>Raw_data!D826</f>
        <v>45311.094085648147</v>
      </c>
      <c r="E826" s="3">
        <f>Raw_data!E826</f>
        <v>45311.128807870373</v>
      </c>
      <c r="F826" s="4">
        <f t="shared" si="72"/>
        <v>3.4722222226264421E-2</v>
      </c>
      <c r="G826" s="6">
        <f>Raw_data!F826</f>
        <v>701</v>
      </c>
      <c r="H826" s="6">
        <f>Raw_data!G826</f>
        <v>50</v>
      </c>
      <c r="I826" t="str">
        <f>Raw_data!H826</f>
        <v>Digital Wallet</v>
      </c>
      <c r="J826" s="7" t="str">
        <f>IF(Raw_data!I826=0.1,"10%",Raw_data!I826)</f>
        <v>10%</v>
      </c>
      <c r="K826" s="6">
        <f>Raw_data!J826</f>
        <v>197</v>
      </c>
      <c r="L826" s="6">
        <f>Raw_data!K826</f>
        <v>12</v>
      </c>
      <c r="M826" s="6">
        <f>Raw_data!L826</f>
        <v>0</v>
      </c>
      <c r="N826" s="6">
        <f t="shared" si="73"/>
        <v>492</v>
      </c>
      <c r="O826" s="6">
        <f t="shared" si="74"/>
        <v>209</v>
      </c>
      <c r="P826" s="6">
        <f t="shared" si="75"/>
        <v>751</v>
      </c>
      <c r="Q826">
        <f t="shared" si="76"/>
        <v>1</v>
      </c>
      <c r="R826">
        <f t="shared" si="77"/>
        <v>2</v>
      </c>
    </row>
    <row r="827" spans="1:18" x14ac:dyDescent="0.25">
      <c r="A827">
        <f>Raw_data!A827</f>
        <v>826</v>
      </c>
      <c r="B827" t="str">
        <f>Raw_data!B827</f>
        <v>C8984</v>
      </c>
      <c r="C827" t="str">
        <f>Raw_data!C827</f>
        <v>R2089</v>
      </c>
      <c r="D827" s="3">
        <f>Raw_data!D827</f>
        <v>45304.919803240744</v>
      </c>
      <c r="E827" s="3">
        <f>Raw_data!E827</f>
        <v>45304.977442129632</v>
      </c>
      <c r="F827" s="4">
        <f t="shared" si="72"/>
        <v>5.7638888887595385E-2</v>
      </c>
      <c r="G827" s="6">
        <f>Raw_data!F827</f>
        <v>1776</v>
      </c>
      <c r="H827" s="6">
        <f>Raw_data!G827</f>
        <v>40</v>
      </c>
      <c r="I827" t="str">
        <f>Raw_data!H827</f>
        <v>Credit Card</v>
      </c>
      <c r="J827" s="7" t="str">
        <f>IF(Raw_data!I827=0.1,"10%",Raw_data!I827)</f>
        <v>10%</v>
      </c>
      <c r="K827" s="6">
        <f>Raw_data!J827</f>
        <v>70</v>
      </c>
      <c r="L827" s="6">
        <f>Raw_data!K827</f>
        <v>14</v>
      </c>
      <c r="M827" s="6">
        <f>Raw_data!L827</f>
        <v>0</v>
      </c>
      <c r="N827" s="6">
        <f t="shared" si="73"/>
        <v>1692</v>
      </c>
      <c r="O827" s="6">
        <f t="shared" si="74"/>
        <v>84</v>
      </c>
      <c r="P827" s="6">
        <f t="shared" si="75"/>
        <v>1816</v>
      </c>
      <c r="Q827">
        <f t="shared" si="76"/>
        <v>1</v>
      </c>
      <c r="R827">
        <f t="shared" si="77"/>
        <v>1</v>
      </c>
    </row>
    <row r="828" spans="1:18" x14ac:dyDescent="0.25">
      <c r="A828">
        <f>Raw_data!A828</f>
        <v>827</v>
      </c>
      <c r="B828" t="str">
        <f>Raw_data!B828</f>
        <v>C2604</v>
      </c>
      <c r="C828" t="str">
        <f>Raw_data!C828</f>
        <v>R2685</v>
      </c>
      <c r="D828" s="3">
        <f>Raw_data!D828</f>
        <v>45321.262361111112</v>
      </c>
      <c r="E828" s="3">
        <f>Raw_data!E828</f>
        <v>45321.289444444446</v>
      </c>
      <c r="F828" s="4">
        <f t="shared" si="72"/>
        <v>2.7083333334303461E-2</v>
      </c>
      <c r="G828" s="6">
        <f>Raw_data!F828</f>
        <v>756</v>
      </c>
      <c r="H828" s="6">
        <f>Raw_data!G828</f>
        <v>50</v>
      </c>
      <c r="I828" t="str">
        <f>Raw_data!H828</f>
        <v>Credit Card</v>
      </c>
      <c r="J828" s="7" t="str">
        <f>IF(Raw_data!I828=0.1,"10%",Raw_data!I828)</f>
        <v>50 off Promo</v>
      </c>
      <c r="K828" s="6">
        <f>Raw_data!J828</f>
        <v>131</v>
      </c>
      <c r="L828" s="6">
        <f>Raw_data!K828</f>
        <v>23</v>
      </c>
      <c r="M828" s="6">
        <f>Raw_data!L828</f>
        <v>0</v>
      </c>
      <c r="N828" s="6">
        <f t="shared" si="73"/>
        <v>602</v>
      </c>
      <c r="O828" s="6">
        <f t="shared" si="74"/>
        <v>154</v>
      </c>
      <c r="P828" s="6">
        <f t="shared" si="75"/>
        <v>806</v>
      </c>
      <c r="Q828">
        <f t="shared" si="76"/>
        <v>1</v>
      </c>
      <c r="R828">
        <f t="shared" si="77"/>
        <v>2</v>
      </c>
    </row>
    <row r="829" spans="1:18" x14ac:dyDescent="0.25">
      <c r="A829">
        <f>Raw_data!A829</f>
        <v>828</v>
      </c>
      <c r="B829" t="str">
        <f>Raw_data!B829</f>
        <v>C1235</v>
      </c>
      <c r="C829" t="str">
        <f>Raw_data!C829</f>
        <v>R2121</v>
      </c>
      <c r="D829" s="3">
        <f>Raw_data!D829</f>
        <v>45322.30972222222</v>
      </c>
      <c r="E829" s="3">
        <f>Raw_data!E829</f>
        <v>45322.34652777778</v>
      </c>
      <c r="F829" s="4">
        <f t="shared" si="72"/>
        <v>3.680555555911269E-2</v>
      </c>
      <c r="G829" s="6">
        <f>Raw_data!F829</f>
        <v>265</v>
      </c>
      <c r="H829" s="6">
        <f>Raw_data!G829</f>
        <v>20</v>
      </c>
      <c r="I829" t="str">
        <f>Raw_data!H829</f>
        <v>Digital Wallet</v>
      </c>
      <c r="J829" s="7" t="str">
        <f>IF(Raw_data!I829=0.1,"10%",Raw_data!I829)</f>
        <v>5% on App</v>
      </c>
      <c r="K829" s="6">
        <f>Raw_data!J829</f>
        <v>106</v>
      </c>
      <c r="L829" s="6">
        <f>Raw_data!K829</f>
        <v>12</v>
      </c>
      <c r="M829" s="6">
        <f>Raw_data!L829</f>
        <v>0</v>
      </c>
      <c r="N829" s="6">
        <f t="shared" si="73"/>
        <v>147</v>
      </c>
      <c r="O829" s="6">
        <f t="shared" si="74"/>
        <v>118</v>
      </c>
      <c r="P829" s="6">
        <f t="shared" si="75"/>
        <v>285</v>
      </c>
      <c r="Q829">
        <f t="shared" si="76"/>
        <v>1</v>
      </c>
      <c r="R829">
        <f t="shared" si="77"/>
        <v>2</v>
      </c>
    </row>
    <row r="830" spans="1:18" x14ac:dyDescent="0.25">
      <c r="A830">
        <f>Raw_data!A830</f>
        <v>829</v>
      </c>
      <c r="B830" t="str">
        <f>Raw_data!B830</f>
        <v>C2908</v>
      </c>
      <c r="C830" t="str">
        <f>Raw_data!C830</f>
        <v>R2142</v>
      </c>
      <c r="D830" s="3">
        <f>Raw_data!D830</f>
        <v>45317.629479166666</v>
      </c>
      <c r="E830" s="3">
        <f>Raw_data!E830</f>
        <v>45317.708645833336</v>
      </c>
      <c r="F830" s="4">
        <f t="shared" si="72"/>
        <v>7.9166666670062114E-2</v>
      </c>
      <c r="G830" s="6">
        <f>Raw_data!F830</f>
        <v>948</v>
      </c>
      <c r="H830" s="6">
        <f>Raw_data!G830</f>
        <v>40</v>
      </c>
      <c r="I830" t="str">
        <f>Raw_data!H830</f>
        <v>Cash on Delivery</v>
      </c>
      <c r="J830" s="7" t="str">
        <f>IF(Raw_data!I830=0.1,"10%",Raw_data!I830)</f>
        <v>15% New User</v>
      </c>
      <c r="K830" s="6">
        <f>Raw_data!J830</f>
        <v>123</v>
      </c>
      <c r="L830" s="6">
        <f>Raw_data!K830</f>
        <v>32</v>
      </c>
      <c r="M830" s="6">
        <f>Raw_data!L830</f>
        <v>50</v>
      </c>
      <c r="N830" s="6">
        <f t="shared" si="73"/>
        <v>793</v>
      </c>
      <c r="O830" s="6">
        <f t="shared" si="74"/>
        <v>105</v>
      </c>
      <c r="P830" s="6">
        <f t="shared" si="75"/>
        <v>988</v>
      </c>
      <c r="Q830">
        <f t="shared" si="76"/>
        <v>1</v>
      </c>
      <c r="R830">
        <f t="shared" si="77"/>
        <v>1</v>
      </c>
    </row>
    <row r="831" spans="1:18" x14ac:dyDescent="0.25">
      <c r="A831">
        <f>Raw_data!A831</f>
        <v>830</v>
      </c>
      <c r="B831" t="str">
        <f>Raw_data!B831</f>
        <v>C9567</v>
      </c>
      <c r="C831" t="str">
        <f>Raw_data!C831</f>
        <v>R2993</v>
      </c>
      <c r="D831" s="3">
        <f>Raw_data!D831</f>
        <v>45327.874479166669</v>
      </c>
      <c r="E831" s="3">
        <f>Raw_data!E831</f>
        <v>45327.956423611111</v>
      </c>
      <c r="F831" s="4">
        <f t="shared" si="72"/>
        <v>8.1944444442342501E-2</v>
      </c>
      <c r="G831" s="6">
        <f>Raw_data!F831</f>
        <v>595</v>
      </c>
      <c r="H831" s="6">
        <f>Raw_data!G831</f>
        <v>0</v>
      </c>
      <c r="I831" t="str">
        <f>Raw_data!H831</f>
        <v>Cash on Delivery</v>
      </c>
      <c r="J831" s="7" t="str">
        <f>IF(Raw_data!I831=0.1,"10%",Raw_data!I831)</f>
        <v>10%</v>
      </c>
      <c r="K831" s="6">
        <f>Raw_data!J831</f>
        <v>147</v>
      </c>
      <c r="L831" s="6">
        <f>Raw_data!K831</f>
        <v>48</v>
      </c>
      <c r="M831" s="6">
        <f>Raw_data!L831</f>
        <v>0</v>
      </c>
      <c r="N831" s="6">
        <f t="shared" si="73"/>
        <v>400</v>
      </c>
      <c r="O831" s="6">
        <f t="shared" si="74"/>
        <v>195</v>
      </c>
      <c r="P831" s="6">
        <f t="shared" si="75"/>
        <v>595</v>
      </c>
      <c r="Q831">
        <f t="shared" si="76"/>
        <v>1</v>
      </c>
      <c r="R831">
        <f t="shared" si="77"/>
        <v>2</v>
      </c>
    </row>
    <row r="832" spans="1:18" x14ac:dyDescent="0.25">
      <c r="A832">
        <f>Raw_data!A832</f>
        <v>831</v>
      </c>
      <c r="B832" t="str">
        <f>Raw_data!B832</f>
        <v>C4530</v>
      </c>
      <c r="C832" t="str">
        <f>Raw_data!C832</f>
        <v>R2105</v>
      </c>
      <c r="D832" s="3">
        <f>Raw_data!D832</f>
        <v>45309.239502314813</v>
      </c>
      <c r="E832" s="3">
        <f>Raw_data!E832</f>
        <v>45309.301307870373</v>
      </c>
      <c r="F832" s="4">
        <f t="shared" si="72"/>
        <v>6.1805555560567882E-2</v>
      </c>
      <c r="G832" s="6">
        <f>Raw_data!F832</f>
        <v>689</v>
      </c>
      <c r="H832" s="6">
        <f>Raw_data!G832</f>
        <v>40</v>
      </c>
      <c r="I832" t="str">
        <f>Raw_data!H832</f>
        <v>Credit Card</v>
      </c>
      <c r="J832" s="7" t="str">
        <f>IF(Raw_data!I832=0.1,"10%",Raw_data!I832)</f>
        <v>5% on App</v>
      </c>
      <c r="K832" s="6">
        <f>Raw_data!J832</f>
        <v>159</v>
      </c>
      <c r="L832" s="6">
        <f>Raw_data!K832</f>
        <v>39</v>
      </c>
      <c r="M832" s="6">
        <f>Raw_data!L832</f>
        <v>0</v>
      </c>
      <c r="N832" s="6">
        <f t="shared" si="73"/>
        <v>491</v>
      </c>
      <c r="O832" s="6">
        <f t="shared" si="74"/>
        <v>198</v>
      </c>
      <c r="P832" s="6">
        <f t="shared" si="75"/>
        <v>729</v>
      </c>
      <c r="Q832">
        <f t="shared" si="76"/>
        <v>1</v>
      </c>
      <c r="R832">
        <f t="shared" si="77"/>
        <v>1</v>
      </c>
    </row>
    <row r="833" spans="1:18" x14ac:dyDescent="0.25">
      <c r="A833">
        <f>Raw_data!A833</f>
        <v>832</v>
      </c>
      <c r="B833" t="str">
        <f>Raw_data!B833</f>
        <v>C6256</v>
      </c>
      <c r="C833" t="str">
        <f>Raw_data!C833</f>
        <v>R2886</v>
      </c>
      <c r="D833" s="3">
        <f>Raw_data!D833</f>
        <v>45311.463437500002</v>
      </c>
      <c r="E833" s="3">
        <f>Raw_data!E833</f>
        <v>45311.523159722223</v>
      </c>
      <c r="F833" s="4">
        <f t="shared" si="72"/>
        <v>5.9722222220443655E-2</v>
      </c>
      <c r="G833" s="6">
        <f>Raw_data!F833</f>
        <v>528</v>
      </c>
      <c r="H833" s="6">
        <f>Raw_data!G833</f>
        <v>20</v>
      </c>
      <c r="I833" t="str">
        <f>Raw_data!H833</f>
        <v>Digital Wallet</v>
      </c>
      <c r="J833" s="7" t="str">
        <f>IF(Raw_data!I833=0.1,"10%",Raw_data!I833)</f>
        <v>None</v>
      </c>
      <c r="K833" s="6">
        <f>Raw_data!J833</f>
        <v>164</v>
      </c>
      <c r="L833" s="6">
        <f>Raw_data!K833</f>
        <v>32</v>
      </c>
      <c r="M833" s="6">
        <f>Raw_data!L833</f>
        <v>0</v>
      </c>
      <c r="N833" s="6">
        <f t="shared" si="73"/>
        <v>332</v>
      </c>
      <c r="O833" s="6">
        <f t="shared" si="74"/>
        <v>196</v>
      </c>
      <c r="P833" s="6">
        <f t="shared" si="75"/>
        <v>548</v>
      </c>
      <c r="Q833">
        <f t="shared" si="76"/>
        <v>1</v>
      </c>
      <c r="R833">
        <f t="shared" si="77"/>
        <v>2</v>
      </c>
    </row>
    <row r="834" spans="1:18" x14ac:dyDescent="0.25">
      <c r="A834">
        <f>Raw_data!A834</f>
        <v>833</v>
      </c>
      <c r="B834" t="str">
        <f>Raw_data!B834</f>
        <v>C3635</v>
      </c>
      <c r="C834" t="str">
        <f>Raw_data!C834</f>
        <v>R2427</v>
      </c>
      <c r="D834" s="3">
        <f>Raw_data!D834</f>
        <v>45304.356585648151</v>
      </c>
      <c r="E834" s="3">
        <f>Raw_data!E834</f>
        <v>45304.392696759256</v>
      </c>
      <c r="F834" s="4">
        <f t="shared" si="72"/>
        <v>3.6111111105128657E-2</v>
      </c>
      <c r="G834" s="6">
        <f>Raw_data!F834</f>
        <v>873</v>
      </c>
      <c r="H834" s="6">
        <f>Raw_data!G834</f>
        <v>40</v>
      </c>
      <c r="I834" t="str">
        <f>Raw_data!H834</f>
        <v>Cash on Delivery</v>
      </c>
      <c r="J834" s="7" t="str">
        <f>IF(Raw_data!I834=0.1,"10%",Raw_data!I834)</f>
        <v>50 off Promo</v>
      </c>
      <c r="K834" s="6">
        <f>Raw_data!J834</f>
        <v>91</v>
      </c>
      <c r="L834" s="6">
        <f>Raw_data!K834</f>
        <v>36</v>
      </c>
      <c r="M834" s="6">
        <f>Raw_data!L834</f>
        <v>0</v>
      </c>
      <c r="N834" s="6">
        <f t="shared" si="73"/>
        <v>746</v>
      </c>
      <c r="O834" s="6">
        <f t="shared" si="74"/>
        <v>127</v>
      </c>
      <c r="P834" s="6">
        <f t="shared" si="75"/>
        <v>913</v>
      </c>
      <c r="Q834">
        <f t="shared" si="76"/>
        <v>1</v>
      </c>
      <c r="R834">
        <f t="shared" si="77"/>
        <v>1</v>
      </c>
    </row>
    <row r="835" spans="1:18" x14ac:dyDescent="0.25">
      <c r="A835">
        <f>Raw_data!A835</f>
        <v>834</v>
      </c>
      <c r="B835" t="str">
        <f>Raw_data!B835</f>
        <v>C9162</v>
      </c>
      <c r="C835" t="str">
        <f>Raw_data!C835</f>
        <v>R2304</v>
      </c>
      <c r="D835" s="3">
        <f>Raw_data!D835</f>
        <v>45297.976956018516</v>
      </c>
      <c r="E835" s="3">
        <f>Raw_data!E835</f>
        <v>45298.012372685182</v>
      </c>
      <c r="F835" s="4">
        <f t="shared" ref="F835:F898" si="78">E835-D835</f>
        <v>3.5416666665696539E-2</v>
      </c>
      <c r="G835" s="6">
        <f>Raw_data!F835</f>
        <v>262</v>
      </c>
      <c r="H835" s="6">
        <f>Raw_data!G835</f>
        <v>50</v>
      </c>
      <c r="I835" t="str">
        <f>Raw_data!H835</f>
        <v>Cash on Delivery</v>
      </c>
      <c r="J835" s="7" t="str">
        <f>IF(Raw_data!I835=0.1,"10%",Raw_data!I835)</f>
        <v>None</v>
      </c>
      <c r="K835" s="6">
        <f>Raw_data!J835</f>
        <v>117</v>
      </c>
      <c r="L835" s="6">
        <f>Raw_data!K835</f>
        <v>19</v>
      </c>
      <c r="M835" s="6">
        <f>Raw_data!L835</f>
        <v>0</v>
      </c>
      <c r="N835" s="6">
        <f t="shared" ref="N835:N898" si="79">G835-K835-L835</f>
        <v>126</v>
      </c>
      <c r="O835" s="6">
        <f t="shared" ref="O835:O898" si="80">K835+L835-M835</f>
        <v>136</v>
      </c>
      <c r="P835" s="6">
        <f t="shared" ref="P835:P898" si="81">G835+H835</f>
        <v>312</v>
      </c>
      <c r="Q835">
        <f t="shared" ref="Q835:Q898" si="82">COUNTIF(B$2:B$1001,B835)</f>
        <v>1</v>
      </c>
      <c r="R835">
        <f t="shared" ref="R835:R898" si="83">COUNTIF(C$2:C$1001,C835)</f>
        <v>1</v>
      </c>
    </row>
    <row r="836" spans="1:18" x14ac:dyDescent="0.25">
      <c r="A836">
        <f>Raw_data!A836</f>
        <v>835</v>
      </c>
      <c r="B836" t="str">
        <f>Raw_data!B836</f>
        <v>C3560</v>
      </c>
      <c r="C836" t="str">
        <f>Raw_data!C836</f>
        <v>R2871</v>
      </c>
      <c r="D836" s="3">
        <f>Raw_data!D836</f>
        <v>45299.710243055553</v>
      </c>
      <c r="E836" s="3">
        <f>Raw_data!E836</f>
        <v>45299.777604166666</v>
      </c>
      <c r="F836" s="4">
        <f t="shared" si="78"/>
        <v>6.7361111112404615E-2</v>
      </c>
      <c r="G836" s="6">
        <f>Raw_data!F836</f>
        <v>465</v>
      </c>
      <c r="H836" s="6">
        <f>Raw_data!G836</f>
        <v>50</v>
      </c>
      <c r="I836" t="str">
        <f>Raw_data!H836</f>
        <v>Credit Card</v>
      </c>
      <c r="J836" s="7" t="str">
        <f>IF(Raw_data!I836=0.1,"10%",Raw_data!I836)</f>
        <v>10%</v>
      </c>
      <c r="K836" s="6">
        <f>Raw_data!J836</f>
        <v>119</v>
      </c>
      <c r="L836" s="6">
        <f>Raw_data!K836</f>
        <v>34</v>
      </c>
      <c r="M836" s="6">
        <f>Raw_data!L836</f>
        <v>0</v>
      </c>
      <c r="N836" s="6">
        <f t="shared" si="79"/>
        <v>312</v>
      </c>
      <c r="O836" s="6">
        <f t="shared" si="80"/>
        <v>153</v>
      </c>
      <c r="P836" s="6">
        <f t="shared" si="81"/>
        <v>515</v>
      </c>
      <c r="Q836">
        <f t="shared" si="82"/>
        <v>1</v>
      </c>
      <c r="R836">
        <f t="shared" si="83"/>
        <v>1</v>
      </c>
    </row>
    <row r="837" spans="1:18" x14ac:dyDescent="0.25">
      <c r="A837">
        <f>Raw_data!A837</f>
        <v>836</v>
      </c>
      <c r="B837" t="str">
        <f>Raw_data!B837</f>
        <v>C6415</v>
      </c>
      <c r="C837" t="str">
        <f>Raw_data!C837</f>
        <v>R2970</v>
      </c>
      <c r="D837" s="3">
        <f>Raw_data!D837</f>
        <v>45324.272719907407</v>
      </c>
      <c r="E837" s="3">
        <f>Raw_data!E837</f>
        <v>45324.316469907404</v>
      </c>
      <c r="F837" s="4">
        <f t="shared" si="78"/>
        <v>4.3749999997089617E-2</v>
      </c>
      <c r="G837" s="6">
        <f>Raw_data!F837</f>
        <v>1649</v>
      </c>
      <c r="H837" s="6">
        <f>Raw_data!G837</f>
        <v>20</v>
      </c>
      <c r="I837" t="str">
        <f>Raw_data!H837</f>
        <v>Credit Card</v>
      </c>
      <c r="J837" s="7" t="str">
        <f>IF(Raw_data!I837=0.1,"10%",Raw_data!I837)</f>
        <v>10%</v>
      </c>
      <c r="K837" s="6">
        <f>Raw_data!J837</f>
        <v>127</v>
      </c>
      <c r="L837" s="6">
        <f>Raw_data!K837</f>
        <v>22</v>
      </c>
      <c r="M837" s="6">
        <f>Raw_data!L837</f>
        <v>50</v>
      </c>
      <c r="N837" s="6">
        <f t="shared" si="79"/>
        <v>1500</v>
      </c>
      <c r="O837" s="6">
        <f t="shared" si="80"/>
        <v>99</v>
      </c>
      <c r="P837" s="6">
        <f t="shared" si="81"/>
        <v>1669</v>
      </c>
      <c r="Q837">
        <f t="shared" si="82"/>
        <v>1</v>
      </c>
      <c r="R837">
        <f t="shared" si="83"/>
        <v>2</v>
      </c>
    </row>
    <row r="838" spans="1:18" x14ac:dyDescent="0.25">
      <c r="A838">
        <f>Raw_data!A838</f>
        <v>837</v>
      </c>
      <c r="B838" t="str">
        <f>Raw_data!B838</f>
        <v>C4391</v>
      </c>
      <c r="C838" t="str">
        <f>Raw_data!C838</f>
        <v>R2316</v>
      </c>
      <c r="D838" s="3">
        <f>Raw_data!D838</f>
        <v>45322.651296296295</v>
      </c>
      <c r="E838" s="3">
        <f>Raw_data!E838</f>
        <v>45322.720046296294</v>
      </c>
      <c r="F838" s="4">
        <f t="shared" si="78"/>
        <v>6.8749999998544808E-2</v>
      </c>
      <c r="G838" s="6">
        <f>Raw_data!F838</f>
        <v>1362</v>
      </c>
      <c r="H838" s="6">
        <f>Raw_data!G838</f>
        <v>30</v>
      </c>
      <c r="I838" t="str">
        <f>Raw_data!H838</f>
        <v>Digital Wallet</v>
      </c>
      <c r="J838" s="7" t="str">
        <f>IF(Raw_data!I838=0.1,"10%",Raw_data!I838)</f>
        <v>None</v>
      </c>
      <c r="K838" s="6">
        <f>Raw_data!J838</f>
        <v>139</v>
      </c>
      <c r="L838" s="6">
        <f>Raw_data!K838</f>
        <v>25</v>
      </c>
      <c r="M838" s="6">
        <f>Raw_data!L838</f>
        <v>0</v>
      </c>
      <c r="N838" s="6">
        <f t="shared" si="79"/>
        <v>1198</v>
      </c>
      <c r="O838" s="6">
        <f t="shared" si="80"/>
        <v>164</v>
      </c>
      <c r="P838" s="6">
        <f t="shared" si="81"/>
        <v>1392</v>
      </c>
      <c r="Q838">
        <f t="shared" si="82"/>
        <v>1</v>
      </c>
      <c r="R838">
        <f t="shared" si="83"/>
        <v>1</v>
      </c>
    </row>
    <row r="839" spans="1:18" x14ac:dyDescent="0.25">
      <c r="A839">
        <f>Raw_data!A839</f>
        <v>838</v>
      </c>
      <c r="B839" t="str">
        <f>Raw_data!B839</f>
        <v>C6951</v>
      </c>
      <c r="C839" t="str">
        <f>Raw_data!C839</f>
        <v>R2962</v>
      </c>
      <c r="D839" s="3">
        <f>Raw_data!D839</f>
        <v>45306.387557870374</v>
      </c>
      <c r="E839" s="3">
        <f>Raw_data!E839</f>
        <v>45306.427141203705</v>
      </c>
      <c r="F839" s="4">
        <f t="shared" si="78"/>
        <v>3.9583333331393078E-2</v>
      </c>
      <c r="G839" s="6">
        <f>Raw_data!F839</f>
        <v>171</v>
      </c>
      <c r="H839" s="6">
        <f>Raw_data!G839</f>
        <v>50</v>
      </c>
      <c r="I839" t="str">
        <f>Raw_data!H839</f>
        <v>Credit Card</v>
      </c>
      <c r="J839" s="7" t="str">
        <f>IF(Raw_data!I839=0.1,"10%",Raw_data!I839)</f>
        <v>10%</v>
      </c>
      <c r="K839" s="6">
        <f>Raw_data!J839</f>
        <v>160</v>
      </c>
      <c r="L839" s="6">
        <f>Raw_data!K839</f>
        <v>50</v>
      </c>
      <c r="M839" s="6">
        <f>Raw_data!L839</f>
        <v>0</v>
      </c>
      <c r="N839" s="6">
        <f t="shared" si="79"/>
        <v>-39</v>
      </c>
      <c r="O839" s="6">
        <f t="shared" si="80"/>
        <v>210</v>
      </c>
      <c r="P839" s="6">
        <f t="shared" si="81"/>
        <v>221</v>
      </c>
      <c r="Q839">
        <f t="shared" si="82"/>
        <v>1</v>
      </c>
      <c r="R839">
        <f t="shared" si="83"/>
        <v>1</v>
      </c>
    </row>
    <row r="840" spans="1:18" x14ac:dyDescent="0.25">
      <c r="A840">
        <f>Raw_data!A840</f>
        <v>839</v>
      </c>
      <c r="B840" t="str">
        <f>Raw_data!B840</f>
        <v>C6468</v>
      </c>
      <c r="C840" t="str">
        <f>Raw_data!C840</f>
        <v>R2634</v>
      </c>
      <c r="D840" s="3">
        <f>Raw_data!D840</f>
        <v>45308.509780092594</v>
      </c>
      <c r="E840" s="3">
        <f>Raw_data!E840</f>
        <v>45308.557002314818</v>
      </c>
      <c r="F840" s="4">
        <f t="shared" si="78"/>
        <v>4.7222222223354038E-2</v>
      </c>
      <c r="G840" s="6">
        <f>Raw_data!F840</f>
        <v>1568</v>
      </c>
      <c r="H840" s="6">
        <f>Raw_data!G840</f>
        <v>0</v>
      </c>
      <c r="I840" t="str">
        <f>Raw_data!H840</f>
        <v>Cash on Delivery</v>
      </c>
      <c r="J840" s="7" t="str">
        <f>IF(Raw_data!I840=0.1,"10%",Raw_data!I840)</f>
        <v>5% on App</v>
      </c>
      <c r="K840" s="6">
        <f>Raw_data!J840</f>
        <v>161</v>
      </c>
      <c r="L840" s="6">
        <f>Raw_data!K840</f>
        <v>43</v>
      </c>
      <c r="M840" s="6">
        <f>Raw_data!L840</f>
        <v>0</v>
      </c>
      <c r="N840" s="6">
        <f t="shared" si="79"/>
        <v>1364</v>
      </c>
      <c r="O840" s="6">
        <f t="shared" si="80"/>
        <v>204</v>
      </c>
      <c r="P840" s="6">
        <f t="shared" si="81"/>
        <v>1568</v>
      </c>
      <c r="Q840">
        <f t="shared" si="82"/>
        <v>1</v>
      </c>
      <c r="R840">
        <f t="shared" si="83"/>
        <v>2</v>
      </c>
    </row>
    <row r="841" spans="1:18" x14ac:dyDescent="0.25">
      <c r="A841">
        <f>Raw_data!A841</f>
        <v>840</v>
      </c>
      <c r="B841" t="str">
        <f>Raw_data!B841</f>
        <v>C9007</v>
      </c>
      <c r="C841" t="str">
        <f>Raw_data!C841</f>
        <v>R2901</v>
      </c>
      <c r="D841" s="3">
        <f>Raw_data!D841</f>
        <v>45317.951018518521</v>
      </c>
      <c r="E841" s="3">
        <f>Raw_data!E841</f>
        <v>45318.000324074077</v>
      </c>
      <c r="F841" s="4">
        <f t="shared" si="78"/>
        <v>4.9305555556202307E-2</v>
      </c>
      <c r="G841" s="6">
        <f>Raw_data!F841</f>
        <v>754</v>
      </c>
      <c r="H841" s="6">
        <f>Raw_data!G841</f>
        <v>20</v>
      </c>
      <c r="I841" t="str">
        <f>Raw_data!H841</f>
        <v>Cash on Delivery</v>
      </c>
      <c r="J841" s="7" t="str">
        <f>IF(Raw_data!I841=0.1,"10%",Raw_data!I841)</f>
        <v>10%</v>
      </c>
      <c r="K841" s="6">
        <f>Raw_data!J841</f>
        <v>152</v>
      </c>
      <c r="L841" s="6">
        <f>Raw_data!K841</f>
        <v>46</v>
      </c>
      <c r="M841" s="6">
        <f>Raw_data!L841</f>
        <v>0</v>
      </c>
      <c r="N841" s="6">
        <f t="shared" si="79"/>
        <v>556</v>
      </c>
      <c r="O841" s="6">
        <f t="shared" si="80"/>
        <v>198</v>
      </c>
      <c r="P841" s="6">
        <f t="shared" si="81"/>
        <v>774</v>
      </c>
      <c r="Q841">
        <f t="shared" si="82"/>
        <v>1</v>
      </c>
      <c r="R841">
        <f t="shared" si="83"/>
        <v>1</v>
      </c>
    </row>
    <row r="842" spans="1:18" x14ac:dyDescent="0.25">
      <c r="A842">
        <f>Raw_data!A842</f>
        <v>841</v>
      </c>
      <c r="B842" t="str">
        <f>Raw_data!B842</f>
        <v>C7413</v>
      </c>
      <c r="C842" t="str">
        <f>Raw_data!C842</f>
        <v>R2008</v>
      </c>
      <c r="D842" s="3">
        <f>Raw_data!D842</f>
        <v>45295.264085648145</v>
      </c>
      <c r="E842" s="3">
        <f>Raw_data!E842</f>
        <v>45295.300196759257</v>
      </c>
      <c r="F842" s="4">
        <f t="shared" si="78"/>
        <v>3.6111111112404615E-2</v>
      </c>
      <c r="G842" s="6">
        <f>Raw_data!F842</f>
        <v>1945</v>
      </c>
      <c r="H842" s="6">
        <f>Raw_data!G842</f>
        <v>40</v>
      </c>
      <c r="I842" t="str">
        <f>Raw_data!H842</f>
        <v>Cash on Delivery</v>
      </c>
      <c r="J842" s="7" t="str">
        <f>IF(Raw_data!I842=0.1,"10%",Raw_data!I842)</f>
        <v>50 off Promo</v>
      </c>
      <c r="K842" s="6">
        <f>Raw_data!J842</f>
        <v>194</v>
      </c>
      <c r="L842" s="6">
        <f>Raw_data!K842</f>
        <v>31</v>
      </c>
      <c r="M842" s="6">
        <f>Raw_data!L842</f>
        <v>100</v>
      </c>
      <c r="N842" s="6">
        <f t="shared" si="79"/>
        <v>1720</v>
      </c>
      <c r="O842" s="6">
        <f t="shared" si="80"/>
        <v>125</v>
      </c>
      <c r="P842" s="6">
        <f t="shared" si="81"/>
        <v>1985</v>
      </c>
      <c r="Q842">
        <f t="shared" si="82"/>
        <v>1</v>
      </c>
      <c r="R842">
        <f t="shared" si="83"/>
        <v>1</v>
      </c>
    </row>
    <row r="843" spans="1:18" x14ac:dyDescent="0.25">
      <c r="A843">
        <f>Raw_data!A843</f>
        <v>842</v>
      </c>
      <c r="B843" t="str">
        <f>Raw_data!B843</f>
        <v>C7941</v>
      </c>
      <c r="C843" t="str">
        <f>Raw_data!C843</f>
        <v>R2773</v>
      </c>
      <c r="D843" s="3">
        <f>Raw_data!D843</f>
        <v>45329.444351851853</v>
      </c>
      <c r="E843" s="3">
        <f>Raw_data!E843</f>
        <v>45329.513101851851</v>
      </c>
      <c r="F843" s="4">
        <f t="shared" si="78"/>
        <v>6.8749999998544808E-2</v>
      </c>
      <c r="G843" s="6">
        <f>Raw_data!F843</f>
        <v>1632</v>
      </c>
      <c r="H843" s="6">
        <f>Raw_data!G843</f>
        <v>40</v>
      </c>
      <c r="I843" t="str">
        <f>Raw_data!H843</f>
        <v>Cash on Delivery</v>
      </c>
      <c r="J843" s="7" t="str">
        <f>IF(Raw_data!I843=0.1,"10%",Raw_data!I843)</f>
        <v>5% on App</v>
      </c>
      <c r="K843" s="6">
        <f>Raw_data!J843</f>
        <v>68</v>
      </c>
      <c r="L843" s="6">
        <f>Raw_data!K843</f>
        <v>26</v>
      </c>
      <c r="M843" s="6">
        <f>Raw_data!L843</f>
        <v>150</v>
      </c>
      <c r="N843" s="6">
        <f t="shared" si="79"/>
        <v>1538</v>
      </c>
      <c r="O843" s="6">
        <f t="shared" si="80"/>
        <v>-56</v>
      </c>
      <c r="P843" s="6">
        <f t="shared" si="81"/>
        <v>1672</v>
      </c>
      <c r="Q843">
        <f t="shared" si="82"/>
        <v>2</v>
      </c>
      <c r="R843">
        <f t="shared" si="83"/>
        <v>4</v>
      </c>
    </row>
    <row r="844" spans="1:18" x14ac:dyDescent="0.25">
      <c r="A844">
        <f>Raw_data!A844</f>
        <v>843</v>
      </c>
      <c r="B844" t="str">
        <f>Raw_data!B844</f>
        <v>C5820</v>
      </c>
      <c r="C844" t="str">
        <f>Raw_data!C844</f>
        <v>R2072</v>
      </c>
      <c r="D844" s="3">
        <f>Raw_data!D844</f>
        <v>45324.035775462966</v>
      </c>
      <c r="E844" s="3">
        <f>Raw_data!E844</f>
        <v>45324.11146990741</v>
      </c>
      <c r="F844" s="4">
        <f t="shared" si="78"/>
        <v>7.5694444443797693E-2</v>
      </c>
      <c r="G844" s="6">
        <f>Raw_data!F844</f>
        <v>1918</v>
      </c>
      <c r="H844" s="6">
        <f>Raw_data!G844</f>
        <v>0</v>
      </c>
      <c r="I844" t="str">
        <f>Raw_data!H844</f>
        <v>Digital Wallet</v>
      </c>
      <c r="J844" s="7" t="str">
        <f>IF(Raw_data!I844=0.1,"10%",Raw_data!I844)</f>
        <v>15% New User</v>
      </c>
      <c r="K844" s="6">
        <f>Raw_data!J844</f>
        <v>119</v>
      </c>
      <c r="L844" s="6">
        <f>Raw_data!K844</f>
        <v>32</v>
      </c>
      <c r="M844" s="6">
        <f>Raw_data!L844</f>
        <v>150</v>
      </c>
      <c r="N844" s="6">
        <f t="shared" si="79"/>
        <v>1767</v>
      </c>
      <c r="O844" s="6">
        <f t="shared" si="80"/>
        <v>1</v>
      </c>
      <c r="P844" s="6">
        <f t="shared" si="81"/>
        <v>1918</v>
      </c>
      <c r="Q844">
        <f t="shared" si="82"/>
        <v>1</v>
      </c>
      <c r="R844">
        <f t="shared" si="83"/>
        <v>2</v>
      </c>
    </row>
    <row r="845" spans="1:18" x14ac:dyDescent="0.25">
      <c r="A845">
        <f>Raw_data!A845</f>
        <v>844</v>
      </c>
      <c r="B845" t="str">
        <f>Raw_data!B845</f>
        <v>C3898</v>
      </c>
      <c r="C845" t="str">
        <f>Raw_data!C845</f>
        <v>R2358</v>
      </c>
      <c r="D845" s="3">
        <f>Raw_data!D845</f>
        <v>45329.766782407409</v>
      </c>
      <c r="E845" s="3">
        <f>Raw_data!E845</f>
        <v>45329.788310185184</v>
      </c>
      <c r="F845" s="4">
        <f t="shared" si="78"/>
        <v>2.1527777775190771E-2</v>
      </c>
      <c r="G845" s="6">
        <f>Raw_data!F845</f>
        <v>368</v>
      </c>
      <c r="H845" s="6">
        <f>Raw_data!G845</f>
        <v>50</v>
      </c>
      <c r="I845" t="str">
        <f>Raw_data!H845</f>
        <v>Digital Wallet</v>
      </c>
      <c r="J845" s="7" t="str">
        <f>IF(Raw_data!I845=0.1,"10%",Raw_data!I845)</f>
        <v>10%</v>
      </c>
      <c r="K845" s="6">
        <f>Raw_data!J845</f>
        <v>112</v>
      </c>
      <c r="L845" s="6">
        <f>Raw_data!K845</f>
        <v>45</v>
      </c>
      <c r="M845" s="6">
        <f>Raw_data!L845</f>
        <v>0</v>
      </c>
      <c r="N845" s="6">
        <f t="shared" si="79"/>
        <v>211</v>
      </c>
      <c r="O845" s="6">
        <f t="shared" si="80"/>
        <v>157</v>
      </c>
      <c r="P845" s="6">
        <f t="shared" si="81"/>
        <v>418</v>
      </c>
      <c r="Q845">
        <f t="shared" si="82"/>
        <v>1</v>
      </c>
      <c r="R845">
        <f t="shared" si="83"/>
        <v>3</v>
      </c>
    </row>
    <row r="846" spans="1:18" x14ac:dyDescent="0.25">
      <c r="A846">
        <f>Raw_data!A846</f>
        <v>845</v>
      </c>
      <c r="B846" t="str">
        <f>Raw_data!B846</f>
        <v>C8546</v>
      </c>
      <c r="C846" t="str">
        <f>Raw_data!C846</f>
        <v>R2222</v>
      </c>
      <c r="D846" s="3">
        <f>Raw_data!D846</f>
        <v>45312.146840277775</v>
      </c>
      <c r="E846" s="3">
        <f>Raw_data!E846</f>
        <v>45312.183645833335</v>
      </c>
      <c r="F846" s="4">
        <f t="shared" si="78"/>
        <v>3.680555555911269E-2</v>
      </c>
      <c r="G846" s="6">
        <f>Raw_data!F846</f>
        <v>1876</v>
      </c>
      <c r="H846" s="6">
        <f>Raw_data!G846</f>
        <v>20</v>
      </c>
      <c r="I846" t="str">
        <f>Raw_data!H846</f>
        <v>Credit Card</v>
      </c>
      <c r="J846" s="7" t="str">
        <f>IF(Raw_data!I846=0.1,"10%",Raw_data!I846)</f>
        <v>10%</v>
      </c>
      <c r="K846" s="6">
        <f>Raw_data!J846</f>
        <v>124</v>
      </c>
      <c r="L846" s="6">
        <f>Raw_data!K846</f>
        <v>18</v>
      </c>
      <c r="M846" s="6">
        <f>Raw_data!L846</f>
        <v>0</v>
      </c>
      <c r="N846" s="6">
        <f t="shared" si="79"/>
        <v>1734</v>
      </c>
      <c r="O846" s="6">
        <f t="shared" si="80"/>
        <v>142</v>
      </c>
      <c r="P846" s="6">
        <f t="shared" si="81"/>
        <v>1896</v>
      </c>
      <c r="Q846">
        <f t="shared" si="82"/>
        <v>1</v>
      </c>
      <c r="R846">
        <f t="shared" si="83"/>
        <v>3</v>
      </c>
    </row>
    <row r="847" spans="1:18" x14ac:dyDescent="0.25">
      <c r="A847">
        <f>Raw_data!A847</f>
        <v>846</v>
      </c>
      <c r="B847" t="str">
        <f>Raw_data!B847</f>
        <v>C1077</v>
      </c>
      <c r="C847" t="str">
        <f>Raw_data!C847</f>
        <v>R2415</v>
      </c>
      <c r="D847" s="3">
        <f>Raw_data!D847</f>
        <v>45314.396874999999</v>
      </c>
      <c r="E847" s="3">
        <f>Raw_data!E847</f>
        <v>45314.428819444445</v>
      </c>
      <c r="F847" s="4">
        <f t="shared" si="78"/>
        <v>3.1944444446708076E-2</v>
      </c>
      <c r="G847" s="6">
        <f>Raw_data!F847</f>
        <v>514</v>
      </c>
      <c r="H847" s="6">
        <f>Raw_data!G847</f>
        <v>0</v>
      </c>
      <c r="I847" t="str">
        <f>Raw_data!H847</f>
        <v>Credit Card</v>
      </c>
      <c r="J847" s="7" t="str">
        <f>IF(Raw_data!I847=0.1,"10%",Raw_data!I847)</f>
        <v>50 off Promo</v>
      </c>
      <c r="K847" s="6">
        <f>Raw_data!J847</f>
        <v>153</v>
      </c>
      <c r="L847" s="6">
        <f>Raw_data!K847</f>
        <v>11</v>
      </c>
      <c r="M847" s="6">
        <f>Raw_data!L847</f>
        <v>0</v>
      </c>
      <c r="N847" s="6">
        <f t="shared" si="79"/>
        <v>350</v>
      </c>
      <c r="O847" s="6">
        <f t="shared" si="80"/>
        <v>164</v>
      </c>
      <c r="P847" s="6">
        <f t="shared" si="81"/>
        <v>514</v>
      </c>
      <c r="Q847">
        <f t="shared" si="82"/>
        <v>1</v>
      </c>
      <c r="R847">
        <f t="shared" si="83"/>
        <v>2</v>
      </c>
    </row>
    <row r="848" spans="1:18" x14ac:dyDescent="0.25">
      <c r="A848">
        <f>Raw_data!A848</f>
        <v>847</v>
      </c>
      <c r="B848" t="str">
        <f>Raw_data!B848</f>
        <v>C8577</v>
      </c>
      <c r="C848" t="str">
        <f>Raw_data!C848</f>
        <v>R2552</v>
      </c>
      <c r="D848" s="3">
        <f>Raw_data!D848</f>
        <v>45300.624791666669</v>
      </c>
      <c r="E848" s="3">
        <f>Raw_data!E848</f>
        <v>45300.690069444441</v>
      </c>
      <c r="F848" s="4">
        <f t="shared" si="78"/>
        <v>6.5277777772280388E-2</v>
      </c>
      <c r="G848" s="6">
        <f>Raw_data!F848</f>
        <v>1368</v>
      </c>
      <c r="H848" s="6">
        <f>Raw_data!G848</f>
        <v>50</v>
      </c>
      <c r="I848" t="str">
        <f>Raw_data!H848</f>
        <v>Credit Card</v>
      </c>
      <c r="J848" s="7" t="str">
        <f>IF(Raw_data!I848=0.1,"10%",Raw_data!I848)</f>
        <v>50 off Promo</v>
      </c>
      <c r="K848" s="6">
        <f>Raw_data!J848</f>
        <v>124</v>
      </c>
      <c r="L848" s="6">
        <f>Raw_data!K848</f>
        <v>41</v>
      </c>
      <c r="M848" s="6">
        <f>Raw_data!L848</f>
        <v>0</v>
      </c>
      <c r="N848" s="6">
        <f t="shared" si="79"/>
        <v>1203</v>
      </c>
      <c r="O848" s="6">
        <f t="shared" si="80"/>
        <v>165</v>
      </c>
      <c r="P848" s="6">
        <f t="shared" si="81"/>
        <v>1418</v>
      </c>
      <c r="Q848">
        <f t="shared" si="82"/>
        <v>1</v>
      </c>
      <c r="R848">
        <f t="shared" si="83"/>
        <v>3</v>
      </c>
    </row>
    <row r="849" spans="1:18" x14ac:dyDescent="0.25">
      <c r="A849">
        <f>Raw_data!A849</f>
        <v>848</v>
      </c>
      <c r="B849" t="str">
        <f>Raw_data!B849</f>
        <v>C5227</v>
      </c>
      <c r="C849" t="str">
        <f>Raw_data!C849</f>
        <v>R2369</v>
      </c>
      <c r="D849" s="3">
        <f>Raw_data!D849</f>
        <v>45321.452650462961</v>
      </c>
      <c r="E849" s="3">
        <f>Raw_data!E849</f>
        <v>45321.52140046296</v>
      </c>
      <c r="F849" s="4">
        <f t="shared" si="78"/>
        <v>6.8749999998544808E-2</v>
      </c>
      <c r="G849" s="6">
        <f>Raw_data!F849</f>
        <v>1115</v>
      </c>
      <c r="H849" s="6">
        <f>Raw_data!G849</f>
        <v>20</v>
      </c>
      <c r="I849" t="str">
        <f>Raw_data!H849</f>
        <v>Digital Wallet</v>
      </c>
      <c r="J849" s="7" t="str">
        <f>IF(Raw_data!I849=0.1,"10%",Raw_data!I849)</f>
        <v>None</v>
      </c>
      <c r="K849" s="6">
        <f>Raw_data!J849</f>
        <v>177</v>
      </c>
      <c r="L849" s="6">
        <f>Raw_data!K849</f>
        <v>31</v>
      </c>
      <c r="M849" s="6">
        <f>Raw_data!L849</f>
        <v>0</v>
      </c>
      <c r="N849" s="6">
        <f t="shared" si="79"/>
        <v>907</v>
      </c>
      <c r="O849" s="6">
        <f t="shared" si="80"/>
        <v>208</v>
      </c>
      <c r="P849" s="6">
        <f t="shared" si="81"/>
        <v>1135</v>
      </c>
      <c r="Q849">
        <f t="shared" si="82"/>
        <v>1</v>
      </c>
      <c r="R849">
        <f t="shared" si="83"/>
        <v>1</v>
      </c>
    </row>
    <row r="850" spans="1:18" x14ac:dyDescent="0.25">
      <c r="A850">
        <f>Raw_data!A850</f>
        <v>849</v>
      </c>
      <c r="B850" t="str">
        <f>Raw_data!B850</f>
        <v>C1600</v>
      </c>
      <c r="C850" t="str">
        <f>Raw_data!C850</f>
        <v>R2715</v>
      </c>
      <c r="D850" s="3">
        <f>Raw_data!D850</f>
        <v>45325.514710648145</v>
      </c>
      <c r="E850" s="3">
        <f>Raw_data!E850</f>
        <v>45325.582766203705</v>
      </c>
      <c r="F850" s="4">
        <f t="shared" si="78"/>
        <v>6.805555555911269E-2</v>
      </c>
      <c r="G850" s="6">
        <f>Raw_data!F850</f>
        <v>774</v>
      </c>
      <c r="H850" s="6">
        <f>Raw_data!G850</f>
        <v>40</v>
      </c>
      <c r="I850" t="str">
        <f>Raw_data!H850</f>
        <v>Cash on Delivery</v>
      </c>
      <c r="J850" s="7" t="str">
        <f>IF(Raw_data!I850=0.1,"10%",Raw_data!I850)</f>
        <v>None</v>
      </c>
      <c r="K850" s="6">
        <f>Raw_data!J850</f>
        <v>105</v>
      </c>
      <c r="L850" s="6">
        <f>Raw_data!K850</f>
        <v>22</v>
      </c>
      <c r="M850" s="6">
        <f>Raw_data!L850</f>
        <v>0</v>
      </c>
      <c r="N850" s="6">
        <f t="shared" si="79"/>
        <v>647</v>
      </c>
      <c r="O850" s="6">
        <f t="shared" si="80"/>
        <v>127</v>
      </c>
      <c r="P850" s="6">
        <f t="shared" si="81"/>
        <v>814</v>
      </c>
      <c r="Q850">
        <f t="shared" si="82"/>
        <v>1</v>
      </c>
      <c r="R850">
        <f t="shared" si="83"/>
        <v>2</v>
      </c>
    </row>
    <row r="851" spans="1:18" x14ac:dyDescent="0.25">
      <c r="A851">
        <f>Raw_data!A851</f>
        <v>850</v>
      </c>
      <c r="B851" t="str">
        <f>Raw_data!B851</f>
        <v>C2065</v>
      </c>
      <c r="C851" t="str">
        <f>Raw_data!C851</f>
        <v>R2263</v>
      </c>
      <c r="D851" s="3">
        <f>Raw_data!D851</f>
        <v>45296.82613425926</v>
      </c>
      <c r="E851" s="3">
        <f>Raw_data!E851</f>
        <v>45296.887939814813</v>
      </c>
      <c r="F851" s="4">
        <f t="shared" si="78"/>
        <v>6.1805555553291924E-2</v>
      </c>
      <c r="G851" s="6">
        <f>Raw_data!F851</f>
        <v>1183</v>
      </c>
      <c r="H851" s="6">
        <f>Raw_data!G851</f>
        <v>20</v>
      </c>
      <c r="I851" t="str">
        <f>Raw_data!H851</f>
        <v>Credit Card</v>
      </c>
      <c r="J851" s="7" t="str">
        <f>IF(Raw_data!I851=0.1,"10%",Raw_data!I851)</f>
        <v>None</v>
      </c>
      <c r="K851" s="6">
        <f>Raw_data!J851</f>
        <v>71</v>
      </c>
      <c r="L851" s="6">
        <f>Raw_data!K851</f>
        <v>17</v>
      </c>
      <c r="M851" s="6">
        <f>Raw_data!L851</f>
        <v>0</v>
      </c>
      <c r="N851" s="6">
        <f t="shared" si="79"/>
        <v>1095</v>
      </c>
      <c r="O851" s="6">
        <f t="shared" si="80"/>
        <v>88</v>
      </c>
      <c r="P851" s="6">
        <f t="shared" si="81"/>
        <v>1203</v>
      </c>
      <c r="Q851">
        <f t="shared" si="82"/>
        <v>1</v>
      </c>
      <c r="R851">
        <f t="shared" si="83"/>
        <v>2</v>
      </c>
    </row>
    <row r="852" spans="1:18" x14ac:dyDescent="0.25">
      <c r="A852">
        <f>Raw_data!A852</f>
        <v>851</v>
      </c>
      <c r="B852" t="str">
        <f>Raw_data!B852</f>
        <v>C3136</v>
      </c>
      <c r="C852" t="str">
        <f>Raw_data!C852</f>
        <v>R2839</v>
      </c>
      <c r="D852" s="3">
        <f>Raw_data!D852</f>
        <v>45303.959675925929</v>
      </c>
      <c r="E852" s="3">
        <f>Raw_data!E852</f>
        <v>45304.014537037037</v>
      </c>
      <c r="F852" s="4">
        <f t="shared" si="78"/>
        <v>5.486111110803904E-2</v>
      </c>
      <c r="G852" s="6">
        <f>Raw_data!F852</f>
        <v>105</v>
      </c>
      <c r="H852" s="6">
        <f>Raw_data!G852</f>
        <v>30</v>
      </c>
      <c r="I852" t="str">
        <f>Raw_data!H852</f>
        <v>Cash on Delivery</v>
      </c>
      <c r="J852" s="7" t="str">
        <f>IF(Raw_data!I852=0.1,"10%",Raw_data!I852)</f>
        <v>50 off Promo</v>
      </c>
      <c r="K852" s="6">
        <f>Raw_data!J852</f>
        <v>138</v>
      </c>
      <c r="L852" s="6">
        <f>Raw_data!K852</f>
        <v>10</v>
      </c>
      <c r="M852" s="6">
        <f>Raw_data!L852</f>
        <v>0</v>
      </c>
      <c r="N852" s="6">
        <f t="shared" si="79"/>
        <v>-43</v>
      </c>
      <c r="O852" s="6">
        <f t="shared" si="80"/>
        <v>148</v>
      </c>
      <c r="P852" s="6">
        <f t="shared" si="81"/>
        <v>135</v>
      </c>
      <c r="Q852">
        <f t="shared" si="82"/>
        <v>1</v>
      </c>
      <c r="R852">
        <f t="shared" si="83"/>
        <v>2</v>
      </c>
    </row>
    <row r="853" spans="1:18" x14ac:dyDescent="0.25">
      <c r="A853">
        <f>Raw_data!A853</f>
        <v>852</v>
      </c>
      <c r="B853" t="str">
        <f>Raw_data!B853</f>
        <v>C7943</v>
      </c>
      <c r="C853" t="str">
        <f>Raw_data!C853</f>
        <v>R2689</v>
      </c>
      <c r="D853" s="3">
        <f>Raw_data!D853</f>
        <v>45326.331030092595</v>
      </c>
      <c r="E853" s="3">
        <f>Raw_data!E853</f>
        <v>45326.359502314815</v>
      </c>
      <c r="F853" s="4">
        <f t="shared" si="78"/>
        <v>2.8472222220443655E-2</v>
      </c>
      <c r="G853" s="6">
        <f>Raw_data!F853</f>
        <v>1832</v>
      </c>
      <c r="H853" s="6">
        <f>Raw_data!G853</f>
        <v>20</v>
      </c>
      <c r="I853" t="str">
        <f>Raw_data!H853</f>
        <v>Credit Card</v>
      </c>
      <c r="J853" s="7" t="str">
        <f>IF(Raw_data!I853=0.1,"10%",Raw_data!I853)</f>
        <v>None</v>
      </c>
      <c r="K853" s="6">
        <f>Raw_data!J853</f>
        <v>68</v>
      </c>
      <c r="L853" s="6">
        <f>Raw_data!K853</f>
        <v>26</v>
      </c>
      <c r="M853" s="6">
        <f>Raw_data!L853</f>
        <v>0</v>
      </c>
      <c r="N853" s="6">
        <f t="shared" si="79"/>
        <v>1738</v>
      </c>
      <c r="O853" s="6">
        <f t="shared" si="80"/>
        <v>94</v>
      </c>
      <c r="P853" s="6">
        <f t="shared" si="81"/>
        <v>1852</v>
      </c>
      <c r="Q853">
        <f t="shared" si="82"/>
        <v>1</v>
      </c>
      <c r="R853">
        <f t="shared" si="83"/>
        <v>2</v>
      </c>
    </row>
    <row r="854" spans="1:18" x14ac:dyDescent="0.25">
      <c r="A854">
        <f>Raw_data!A854</f>
        <v>853</v>
      </c>
      <c r="B854" t="str">
        <f>Raw_data!B854</f>
        <v>C8804</v>
      </c>
      <c r="C854" t="str">
        <f>Raw_data!C854</f>
        <v>R2859</v>
      </c>
      <c r="D854" s="3">
        <f>Raw_data!D854</f>
        <v>45299.231145833335</v>
      </c>
      <c r="E854" s="3">
        <f>Raw_data!E854</f>
        <v>45299.28392361111</v>
      </c>
      <c r="F854" s="4">
        <f t="shared" si="78"/>
        <v>5.2777777775190771E-2</v>
      </c>
      <c r="G854" s="6">
        <f>Raw_data!F854</f>
        <v>1081</v>
      </c>
      <c r="H854" s="6">
        <f>Raw_data!G854</f>
        <v>30</v>
      </c>
      <c r="I854" t="str">
        <f>Raw_data!H854</f>
        <v>Credit Card</v>
      </c>
      <c r="J854" s="7" t="str">
        <f>IF(Raw_data!I854=0.1,"10%",Raw_data!I854)</f>
        <v>None</v>
      </c>
      <c r="K854" s="6">
        <f>Raw_data!J854</f>
        <v>75</v>
      </c>
      <c r="L854" s="6">
        <f>Raw_data!K854</f>
        <v>21</v>
      </c>
      <c r="M854" s="6">
        <f>Raw_data!L854</f>
        <v>0</v>
      </c>
      <c r="N854" s="6">
        <f t="shared" si="79"/>
        <v>985</v>
      </c>
      <c r="O854" s="6">
        <f t="shared" si="80"/>
        <v>96</v>
      </c>
      <c r="P854" s="6">
        <f t="shared" si="81"/>
        <v>1111</v>
      </c>
      <c r="Q854">
        <f t="shared" si="82"/>
        <v>1</v>
      </c>
      <c r="R854">
        <f t="shared" si="83"/>
        <v>1</v>
      </c>
    </row>
    <row r="855" spans="1:18" x14ac:dyDescent="0.25">
      <c r="A855">
        <f>Raw_data!A855</f>
        <v>854</v>
      </c>
      <c r="B855" t="str">
        <f>Raw_data!B855</f>
        <v>C7565</v>
      </c>
      <c r="C855" t="str">
        <f>Raw_data!C855</f>
        <v>R2317</v>
      </c>
      <c r="D855" s="3">
        <f>Raw_data!D855</f>
        <v>45322.336087962962</v>
      </c>
      <c r="E855" s="3">
        <f>Raw_data!E855</f>
        <v>45322.402754629627</v>
      </c>
      <c r="F855" s="4">
        <f t="shared" si="78"/>
        <v>6.6666666665696539E-2</v>
      </c>
      <c r="G855" s="6">
        <f>Raw_data!F855</f>
        <v>669</v>
      </c>
      <c r="H855" s="6">
        <f>Raw_data!G855</f>
        <v>20</v>
      </c>
      <c r="I855" t="str">
        <f>Raw_data!H855</f>
        <v>Credit Card</v>
      </c>
      <c r="J855" s="7" t="str">
        <f>IF(Raw_data!I855=0.1,"10%",Raw_data!I855)</f>
        <v>15% New User</v>
      </c>
      <c r="K855" s="6">
        <f>Raw_data!J855</f>
        <v>72</v>
      </c>
      <c r="L855" s="6">
        <f>Raw_data!K855</f>
        <v>13</v>
      </c>
      <c r="M855" s="6">
        <f>Raw_data!L855</f>
        <v>0</v>
      </c>
      <c r="N855" s="6">
        <f t="shared" si="79"/>
        <v>584</v>
      </c>
      <c r="O855" s="6">
        <f t="shared" si="80"/>
        <v>85</v>
      </c>
      <c r="P855" s="6">
        <f t="shared" si="81"/>
        <v>689</v>
      </c>
      <c r="Q855">
        <f t="shared" si="82"/>
        <v>1</v>
      </c>
      <c r="R855">
        <f t="shared" si="83"/>
        <v>6</v>
      </c>
    </row>
    <row r="856" spans="1:18" x14ac:dyDescent="0.25">
      <c r="A856">
        <f>Raw_data!A856</f>
        <v>855</v>
      </c>
      <c r="B856" t="str">
        <f>Raw_data!B856</f>
        <v>C6984</v>
      </c>
      <c r="C856" t="str">
        <f>Raw_data!C856</f>
        <v>R2083</v>
      </c>
      <c r="D856" s="3">
        <f>Raw_data!D856</f>
        <v>45310.315509259257</v>
      </c>
      <c r="E856" s="3">
        <f>Raw_data!E856</f>
        <v>45310.380787037036</v>
      </c>
      <c r="F856" s="4">
        <f t="shared" si="78"/>
        <v>6.5277777779556345E-2</v>
      </c>
      <c r="G856" s="6">
        <f>Raw_data!F856</f>
        <v>1940</v>
      </c>
      <c r="H856" s="6">
        <f>Raw_data!G856</f>
        <v>30</v>
      </c>
      <c r="I856" t="str">
        <f>Raw_data!H856</f>
        <v>Credit Card</v>
      </c>
      <c r="J856" s="7" t="str">
        <f>IF(Raw_data!I856=0.1,"10%",Raw_data!I856)</f>
        <v>None</v>
      </c>
      <c r="K856" s="6">
        <f>Raw_data!J856</f>
        <v>96</v>
      </c>
      <c r="L856" s="6">
        <f>Raw_data!K856</f>
        <v>22</v>
      </c>
      <c r="M856" s="6">
        <f>Raw_data!L856</f>
        <v>50</v>
      </c>
      <c r="N856" s="6">
        <f t="shared" si="79"/>
        <v>1822</v>
      </c>
      <c r="O856" s="6">
        <f t="shared" si="80"/>
        <v>68</v>
      </c>
      <c r="P856" s="6">
        <f t="shared" si="81"/>
        <v>1970</v>
      </c>
      <c r="Q856">
        <f t="shared" si="82"/>
        <v>1</v>
      </c>
      <c r="R856">
        <f t="shared" si="83"/>
        <v>5</v>
      </c>
    </row>
    <row r="857" spans="1:18" x14ac:dyDescent="0.25">
      <c r="A857">
        <f>Raw_data!A857</f>
        <v>856</v>
      </c>
      <c r="B857" t="str">
        <f>Raw_data!B857</f>
        <v>C6142</v>
      </c>
      <c r="C857" t="str">
        <f>Raw_data!C857</f>
        <v>R2317</v>
      </c>
      <c r="D857" s="3">
        <f>Raw_data!D857</f>
        <v>45311.449108796296</v>
      </c>
      <c r="E857" s="3">
        <f>Raw_data!E857</f>
        <v>45311.487997685188</v>
      </c>
      <c r="F857" s="4">
        <f t="shared" si="78"/>
        <v>3.888888889196096E-2</v>
      </c>
      <c r="G857" s="6">
        <f>Raw_data!F857</f>
        <v>506</v>
      </c>
      <c r="H857" s="6">
        <f>Raw_data!G857</f>
        <v>40</v>
      </c>
      <c r="I857" t="str">
        <f>Raw_data!H857</f>
        <v>Credit Card</v>
      </c>
      <c r="J857" s="7" t="str">
        <f>IF(Raw_data!I857=0.1,"10%",Raw_data!I857)</f>
        <v>10%</v>
      </c>
      <c r="K857" s="6">
        <f>Raw_data!J857</f>
        <v>62</v>
      </c>
      <c r="L857" s="6">
        <f>Raw_data!K857</f>
        <v>40</v>
      </c>
      <c r="M857" s="6">
        <f>Raw_data!L857</f>
        <v>0</v>
      </c>
      <c r="N857" s="6">
        <f t="shared" si="79"/>
        <v>404</v>
      </c>
      <c r="O857" s="6">
        <f t="shared" si="80"/>
        <v>102</v>
      </c>
      <c r="P857" s="6">
        <f t="shared" si="81"/>
        <v>546</v>
      </c>
      <c r="Q857">
        <f t="shared" si="82"/>
        <v>1</v>
      </c>
      <c r="R857">
        <f t="shared" si="83"/>
        <v>6</v>
      </c>
    </row>
    <row r="858" spans="1:18" x14ac:dyDescent="0.25">
      <c r="A858">
        <f>Raw_data!A858</f>
        <v>857</v>
      </c>
      <c r="B858" t="str">
        <f>Raw_data!B858</f>
        <v>C5670</v>
      </c>
      <c r="C858" t="str">
        <f>Raw_data!C858</f>
        <v>R2110</v>
      </c>
      <c r="D858" s="3">
        <f>Raw_data!D858</f>
        <v>45298.280104166668</v>
      </c>
      <c r="E858" s="3">
        <f>Raw_data!E858</f>
        <v>45298.33357638889</v>
      </c>
      <c r="F858" s="4">
        <f t="shared" si="78"/>
        <v>5.3472222221898846E-2</v>
      </c>
      <c r="G858" s="6">
        <f>Raw_data!F858</f>
        <v>1340</v>
      </c>
      <c r="H858" s="6">
        <f>Raw_data!G858</f>
        <v>50</v>
      </c>
      <c r="I858" t="str">
        <f>Raw_data!H858</f>
        <v>Cash on Delivery</v>
      </c>
      <c r="J858" s="7" t="str">
        <f>IF(Raw_data!I858=0.1,"10%",Raw_data!I858)</f>
        <v>50 off Promo</v>
      </c>
      <c r="K858" s="6">
        <f>Raw_data!J858</f>
        <v>115</v>
      </c>
      <c r="L858" s="6">
        <f>Raw_data!K858</f>
        <v>50</v>
      </c>
      <c r="M858" s="6">
        <f>Raw_data!L858</f>
        <v>0</v>
      </c>
      <c r="N858" s="6">
        <f t="shared" si="79"/>
        <v>1175</v>
      </c>
      <c r="O858" s="6">
        <f t="shared" si="80"/>
        <v>165</v>
      </c>
      <c r="P858" s="6">
        <f t="shared" si="81"/>
        <v>1390</v>
      </c>
      <c r="Q858">
        <f t="shared" si="82"/>
        <v>1</v>
      </c>
      <c r="R858">
        <f t="shared" si="83"/>
        <v>1</v>
      </c>
    </row>
    <row r="859" spans="1:18" x14ac:dyDescent="0.25">
      <c r="A859">
        <f>Raw_data!A859</f>
        <v>858</v>
      </c>
      <c r="B859" t="str">
        <f>Raw_data!B859</f>
        <v>C3190</v>
      </c>
      <c r="C859" t="str">
        <f>Raw_data!C859</f>
        <v>R2250</v>
      </c>
      <c r="D859" s="3">
        <f>Raw_data!D859</f>
        <v>45314.548414351855</v>
      </c>
      <c r="E859" s="3">
        <f>Raw_data!E859</f>
        <v>45314.629664351851</v>
      </c>
      <c r="F859" s="4">
        <f t="shared" si="78"/>
        <v>8.1249999995634425E-2</v>
      </c>
      <c r="G859" s="6">
        <f>Raw_data!F859</f>
        <v>125</v>
      </c>
      <c r="H859" s="6">
        <f>Raw_data!G859</f>
        <v>30</v>
      </c>
      <c r="I859" t="str">
        <f>Raw_data!H859</f>
        <v>Credit Card</v>
      </c>
      <c r="J859" s="7" t="str">
        <f>IF(Raw_data!I859=0.1,"10%",Raw_data!I859)</f>
        <v>5% on App</v>
      </c>
      <c r="K859" s="6">
        <f>Raw_data!J859</f>
        <v>193</v>
      </c>
      <c r="L859" s="6">
        <f>Raw_data!K859</f>
        <v>16</v>
      </c>
      <c r="M859" s="6">
        <f>Raw_data!L859</f>
        <v>0</v>
      </c>
      <c r="N859" s="6">
        <f t="shared" si="79"/>
        <v>-84</v>
      </c>
      <c r="O859" s="6">
        <f t="shared" si="80"/>
        <v>209</v>
      </c>
      <c r="P859" s="6">
        <f t="shared" si="81"/>
        <v>155</v>
      </c>
      <c r="Q859">
        <f t="shared" si="82"/>
        <v>1</v>
      </c>
      <c r="R859">
        <f t="shared" si="83"/>
        <v>3</v>
      </c>
    </row>
    <row r="860" spans="1:18" x14ac:dyDescent="0.25">
      <c r="A860">
        <f>Raw_data!A860</f>
        <v>859</v>
      </c>
      <c r="B860" t="str">
        <f>Raw_data!B860</f>
        <v>C3712</v>
      </c>
      <c r="C860" t="str">
        <f>Raw_data!C860</f>
        <v>R2382</v>
      </c>
      <c r="D860" s="3">
        <f>Raw_data!D860</f>
        <v>45312.491724537038</v>
      </c>
      <c r="E860" s="3">
        <f>Raw_data!E860</f>
        <v>45312.554918981485</v>
      </c>
      <c r="F860" s="4">
        <f t="shared" si="78"/>
        <v>6.3194444446708076E-2</v>
      </c>
      <c r="G860" s="6">
        <f>Raw_data!F860</f>
        <v>1938</v>
      </c>
      <c r="H860" s="6">
        <f>Raw_data!G860</f>
        <v>30</v>
      </c>
      <c r="I860" t="str">
        <f>Raw_data!H860</f>
        <v>Cash on Delivery</v>
      </c>
      <c r="J860" s="7" t="str">
        <f>IF(Raw_data!I860=0.1,"10%",Raw_data!I860)</f>
        <v>15% New User</v>
      </c>
      <c r="K860" s="6">
        <f>Raw_data!J860</f>
        <v>122</v>
      </c>
      <c r="L860" s="6">
        <f>Raw_data!K860</f>
        <v>32</v>
      </c>
      <c r="M860" s="6">
        <f>Raw_data!L860</f>
        <v>0</v>
      </c>
      <c r="N860" s="6">
        <f t="shared" si="79"/>
        <v>1784</v>
      </c>
      <c r="O860" s="6">
        <f t="shared" si="80"/>
        <v>154</v>
      </c>
      <c r="P860" s="6">
        <f t="shared" si="81"/>
        <v>1968</v>
      </c>
      <c r="Q860">
        <f t="shared" si="82"/>
        <v>1</v>
      </c>
      <c r="R860">
        <f t="shared" si="83"/>
        <v>1</v>
      </c>
    </row>
    <row r="861" spans="1:18" x14ac:dyDescent="0.25">
      <c r="A861">
        <f>Raw_data!A861</f>
        <v>860</v>
      </c>
      <c r="B861" t="str">
        <f>Raw_data!B861</f>
        <v>C3192</v>
      </c>
      <c r="C861" t="str">
        <f>Raw_data!C861</f>
        <v>R2006</v>
      </c>
      <c r="D861" s="3">
        <f>Raw_data!D861</f>
        <v>45305.466319444444</v>
      </c>
      <c r="E861" s="3">
        <f>Raw_data!E861</f>
        <v>45305.517013888886</v>
      </c>
      <c r="F861" s="4">
        <f t="shared" si="78"/>
        <v>5.0694444442342501E-2</v>
      </c>
      <c r="G861" s="6">
        <f>Raw_data!F861</f>
        <v>1128</v>
      </c>
      <c r="H861" s="6">
        <f>Raw_data!G861</f>
        <v>40</v>
      </c>
      <c r="I861" t="str">
        <f>Raw_data!H861</f>
        <v>Digital Wallet</v>
      </c>
      <c r="J861" s="7" t="str">
        <f>IF(Raw_data!I861=0.1,"10%",Raw_data!I861)</f>
        <v>50 off Promo</v>
      </c>
      <c r="K861" s="6">
        <f>Raw_data!J861</f>
        <v>126</v>
      </c>
      <c r="L861" s="6">
        <f>Raw_data!K861</f>
        <v>33</v>
      </c>
      <c r="M861" s="6">
        <f>Raw_data!L861</f>
        <v>0</v>
      </c>
      <c r="N861" s="6">
        <f t="shared" si="79"/>
        <v>969</v>
      </c>
      <c r="O861" s="6">
        <f t="shared" si="80"/>
        <v>159</v>
      </c>
      <c r="P861" s="6">
        <f t="shared" si="81"/>
        <v>1168</v>
      </c>
      <c r="Q861">
        <f t="shared" si="82"/>
        <v>1</v>
      </c>
      <c r="R861">
        <f t="shared" si="83"/>
        <v>4</v>
      </c>
    </row>
    <row r="862" spans="1:18" x14ac:dyDescent="0.25">
      <c r="A862">
        <f>Raw_data!A862</f>
        <v>861</v>
      </c>
      <c r="B862" t="str">
        <f>Raw_data!B862</f>
        <v>C2248</v>
      </c>
      <c r="C862" t="str">
        <f>Raw_data!C862</f>
        <v>R2458</v>
      </c>
      <c r="D862" s="3">
        <f>Raw_data!D862</f>
        <v>45298.342511574076</v>
      </c>
      <c r="E862" s="3">
        <f>Raw_data!E862</f>
        <v>45298.375844907408</v>
      </c>
      <c r="F862" s="4">
        <f t="shared" si="78"/>
        <v>3.3333333332848269E-2</v>
      </c>
      <c r="G862" s="6">
        <f>Raw_data!F862</f>
        <v>1085</v>
      </c>
      <c r="H862" s="6">
        <f>Raw_data!G862</f>
        <v>30</v>
      </c>
      <c r="I862" t="str">
        <f>Raw_data!H862</f>
        <v>Credit Card</v>
      </c>
      <c r="J862" s="7" t="str">
        <f>IF(Raw_data!I862=0.1,"10%",Raw_data!I862)</f>
        <v>50 off Promo</v>
      </c>
      <c r="K862" s="6">
        <f>Raw_data!J862</f>
        <v>80</v>
      </c>
      <c r="L862" s="6">
        <f>Raw_data!K862</f>
        <v>14</v>
      </c>
      <c r="M862" s="6">
        <f>Raw_data!L862</f>
        <v>0</v>
      </c>
      <c r="N862" s="6">
        <f t="shared" si="79"/>
        <v>991</v>
      </c>
      <c r="O862" s="6">
        <f t="shared" si="80"/>
        <v>94</v>
      </c>
      <c r="P862" s="6">
        <f t="shared" si="81"/>
        <v>1115</v>
      </c>
      <c r="Q862">
        <f t="shared" si="82"/>
        <v>1</v>
      </c>
      <c r="R862">
        <f t="shared" si="83"/>
        <v>3</v>
      </c>
    </row>
    <row r="863" spans="1:18" x14ac:dyDescent="0.25">
      <c r="A863">
        <f>Raw_data!A863</f>
        <v>862</v>
      </c>
      <c r="B863" t="str">
        <f>Raw_data!B863</f>
        <v>C5033</v>
      </c>
      <c r="C863" t="str">
        <f>Raw_data!C863</f>
        <v>R2083</v>
      </c>
      <c r="D863" s="3">
        <f>Raw_data!D863</f>
        <v>45317.475046296298</v>
      </c>
      <c r="E863" s="3">
        <f>Raw_data!E863</f>
        <v>45317.536157407405</v>
      </c>
      <c r="F863" s="4">
        <f t="shared" si="78"/>
        <v>6.1111111106583849E-2</v>
      </c>
      <c r="G863" s="6">
        <f>Raw_data!F863</f>
        <v>1655</v>
      </c>
      <c r="H863" s="6">
        <f>Raw_data!G863</f>
        <v>0</v>
      </c>
      <c r="I863" t="str">
        <f>Raw_data!H863</f>
        <v>Cash on Delivery</v>
      </c>
      <c r="J863" s="7" t="str">
        <f>IF(Raw_data!I863=0.1,"10%",Raw_data!I863)</f>
        <v>10%</v>
      </c>
      <c r="K863" s="6">
        <f>Raw_data!J863</f>
        <v>134</v>
      </c>
      <c r="L863" s="6">
        <f>Raw_data!K863</f>
        <v>14</v>
      </c>
      <c r="M863" s="6">
        <f>Raw_data!L863</f>
        <v>0</v>
      </c>
      <c r="N863" s="6">
        <f t="shared" si="79"/>
        <v>1507</v>
      </c>
      <c r="O863" s="6">
        <f t="shared" si="80"/>
        <v>148</v>
      </c>
      <c r="P863" s="6">
        <f t="shared" si="81"/>
        <v>1655</v>
      </c>
      <c r="Q863">
        <f t="shared" si="82"/>
        <v>1</v>
      </c>
      <c r="R863">
        <f t="shared" si="83"/>
        <v>5</v>
      </c>
    </row>
    <row r="864" spans="1:18" x14ac:dyDescent="0.25">
      <c r="A864">
        <f>Raw_data!A864</f>
        <v>863</v>
      </c>
      <c r="B864" t="str">
        <f>Raw_data!B864</f>
        <v>C2997</v>
      </c>
      <c r="C864" t="str">
        <f>Raw_data!C864</f>
        <v>R2207</v>
      </c>
      <c r="D864" s="3">
        <f>Raw_data!D864</f>
        <v>45307.193784722222</v>
      </c>
      <c r="E864" s="3">
        <f>Raw_data!E864</f>
        <v>45307.21947916667</v>
      </c>
      <c r="F864" s="4">
        <f t="shared" si="78"/>
        <v>2.5694444448163267E-2</v>
      </c>
      <c r="G864" s="6">
        <f>Raw_data!F864</f>
        <v>489</v>
      </c>
      <c r="H864" s="6">
        <f>Raw_data!G864</f>
        <v>40</v>
      </c>
      <c r="I864" t="str">
        <f>Raw_data!H864</f>
        <v>Digital Wallet</v>
      </c>
      <c r="J864" s="7" t="str">
        <f>IF(Raw_data!I864=0.1,"10%",Raw_data!I864)</f>
        <v>None</v>
      </c>
      <c r="K864" s="6">
        <f>Raw_data!J864</f>
        <v>108</v>
      </c>
      <c r="L864" s="6">
        <f>Raw_data!K864</f>
        <v>26</v>
      </c>
      <c r="M864" s="6">
        <f>Raw_data!L864</f>
        <v>0</v>
      </c>
      <c r="N864" s="6">
        <f t="shared" si="79"/>
        <v>355</v>
      </c>
      <c r="O864" s="6">
        <f t="shared" si="80"/>
        <v>134</v>
      </c>
      <c r="P864" s="6">
        <f t="shared" si="81"/>
        <v>529</v>
      </c>
      <c r="Q864">
        <f t="shared" si="82"/>
        <v>1</v>
      </c>
      <c r="R864">
        <f t="shared" si="83"/>
        <v>2</v>
      </c>
    </row>
    <row r="865" spans="1:18" x14ac:dyDescent="0.25">
      <c r="A865">
        <f>Raw_data!A865</f>
        <v>864</v>
      </c>
      <c r="B865" t="str">
        <f>Raw_data!B865</f>
        <v>C4687</v>
      </c>
      <c r="C865" t="str">
        <f>Raw_data!C865</f>
        <v>R2899</v>
      </c>
      <c r="D865" s="3">
        <f>Raw_data!D865</f>
        <v>45323.725624999999</v>
      </c>
      <c r="E865" s="3">
        <f>Raw_data!E865</f>
        <v>45323.783958333333</v>
      </c>
      <c r="F865" s="4">
        <f t="shared" si="78"/>
        <v>5.8333333334303461E-2</v>
      </c>
      <c r="G865" s="6">
        <f>Raw_data!F865</f>
        <v>809</v>
      </c>
      <c r="H865" s="6">
        <f>Raw_data!G865</f>
        <v>0</v>
      </c>
      <c r="I865" t="str">
        <f>Raw_data!H865</f>
        <v>Digital Wallet</v>
      </c>
      <c r="J865" s="7" t="str">
        <f>IF(Raw_data!I865=0.1,"10%",Raw_data!I865)</f>
        <v>10%</v>
      </c>
      <c r="K865" s="6">
        <f>Raw_data!J865</f>
        <v>90</v>
      </c>
      <c r="L865" s="6">
        <f>Raw_data!K865</f>
        <v>39</v>
      </c>
      <c r="M865" s="6">
        <f>Raw_data!L865</f>
        <v>50</v>
      </c>
      <c r="N865" s="6">
        <f t="shared" si="79"/>
        <v>680</v>
      </c>
      <c r="O865" s="6">
        <f t="shared" si="80"/>
        <v>79</v>
      </c>
      <c r="P865" s="6">
        <f t="shared" si="81"/>
        <v>809</v>
      </c>
      <c r="Q865">
        <f t="shared" si="82"/>
        <v>1</v>
      </c>
      <c r="R865">
        <f t="shared" si="83"/>
        <v>1</v>
      </c>
    </row>
    <row r="866" spans="1:18" x14ac:dyDescent="0.25">
      <c r="A866">
        <f>Raw_data!A866</f>
        <v>865</v>
      </c>
      <c r="B866" t="str">
        <f>Raw_data!B866</f>
        <v>C5018</v>
      </c>
      <c r="C866" t="str">
        <f>Raw_data!C866</f>
        <v>R2389</v>
      </c>
      <c r="D866" s="3">
        <f>Raw_data!D866</f>
        <v>45306.345416666663</v>
      </c>
      <c r="E866" s="3">
        <f>Raw_data!E866</f>
        <v>45306.398194444446</v>
      </c>
      <c r="F866" s="4">
        <f t="shared" si="78"/>
        <v>5.2777777782466728E-2</v>
      </c>
      <c r="G866" s="6">
        <f>Raw_data!F866</f>
        <v>670</v>
      </c>
      <c r="H866" s="6">
        <f>Raw_data!G866</f>
        <v>40</v>
      </c>
      <c r="I866" t="str">
        <f>Raw_data!H866</f>
        <v>Digital Wallet</v>
      </c>
      <c r="J866" s="7" t="str">
        <f>IF(Raw_data!I866=0.1,"10%",Raw_data!I866)</f>
        <v>None</v>
      </c>
      <c r="K866" s="6">
        <f>Raw_data!J866</f>
        <v>161</v>
      </c>
      <c r="L866" s="6">
        <f>Raw_data!K866</f>
        <v>18</v>
      </c>
      <c r="M866" s="6">
        <f>Raw_data!L866</f>
        <v>150</v>
      </c>
      <c r="N866" s="6">
        <f t="shared" si="79"/>
        <v>491</v>
      </c>
      <c r="O866" s="6">
        <f t="shared" si="80"/>
        <v>29</v>
      </c>
      <c r="P866" s="6">
        <f t="shared" si="81"/>
        <v>710</v>
      </c>
      <c r="Q866">
        <f t="shared" si="82"/>
        <v>1</v>
      </c>
      <c r="R866">
        <f t="shared" si="83"/>
        <v>1</v>
      </c>
    </row>
    <row r="867" spans="1:18" x14ac:dyDescent="0.25">
      <c r="A867">
        <f>Raw_data!A867</f>
        <v>866</v>
      </c>
      <c r="B867" t="str">
        <f>Raw_data!B867</f>
        <v>C2970</v>
      </c>
      <c r="C867" t="str">
        <f>Raw_data!C867</f>
        <v>R2313</v>
      </c>
      <c r="D867" s="3">
        <f>Raw_data!D867</f>
        <v>45329.335659722223</v>
      </c>
      <c r="E867" s="3">
        <f>Raw_data!E867</f>
        <v>45329.357187499998</v>
      </c>
      <c r="F867" s="4">
        <f t="shared" si="78"/>
        <v>2.1527777775190771E-2</v>
      </c>
      <c r="G867" s="6">
        <f>Raw_data!F867</f>
        <v>1571</v>
      </c>
      <c r="H867" s="6">
        <f>Raw_data!G867</f>
        <v>30</v>
      </c>
      <c r="I867" t="str">
        <f>Raw_data!H867</f>
        <v>Cash on Delivery</v>
      </c>
      <c r="J867" s="7" t="str">
        <f>IF(Raw_data!I867=0.1,"10%",Raw_data!I867)</f>
        <v>None</v>
      </c>
      <c r="K867" s="6">
        <f>Raw_data!J867</f>
        <v>145</v>
      </c>
      <c r="L867" s="6">
        <f>Raw_data!K867</f>
        <v>15</v>
      </c>
      <c r="M867" s="6">
        <f>Raw_data!L867</f>
        <v>0</v>
      </c>
      <c r="N867" s="6">
        <f t="shared" si="79"/>
        <v>1411</v>
      </c>
      <c r="O867" s="6">
        <f t="shared" si="80"/>
        <v>160</v>
      </c>
      <c r="P867" s="6">
        <f t="shared" si="81"/>
        <v>1601</v>
      </c>
      <c r="Q867">
        <f t="shared" si="82"/>
        <v>1</v>
      </c>
      <c r="R867">
        <f t="shared" si="83"/>
        <v>1</v>
      </c>
    </row>
    <row r="868" spans="1:18" x14ac:dyDescent="0.25">
      <c r="A868">
        <f>Raw_data!A868</f>
        <v>867</v>
      </c>
      <c r="B868" t="str">
        <f>Raw_data!B868</f>
        <v>C9389</v>
      </c>
      <c r="C868" t="str">
        <f>Raw_data!C868</f>
        <v>R2021</v>
      </c>
      <c r="D868" s="3">
        <f>Raw_data!D868</f>
        <v>45314.305613425924</v>
      </c>
      <c r="E868" s="3">
        <f>Raw_data!E868</f>
        <v>45314.352835648147</v>
      </c>
      <c r="F868" s="4">
        <f t="shared" si="78"/>
        <v>4.7222222223354038E-2</v>
      </c>
      <c r="G868" s="6">
        <f>Raw_data!F868</f>
        <v>853</v>
      </c>
      <c r="H868" s="6">
        <f>Raw_data!G868</f>
        <v>0</v>
      </c>
      <c r="I868" t="str">
        <f>Raw_data!H868</f>
        <v>Credit Card</v>
      </c>
      <c r="J868" s="7" t="str">
        <f>IF(Raw_data!I868=0.1,"10%",Raw_data!I868)</f>
        <v>50 off Promo</v>
      </c>
      <c r="K868" s="6">
        <f>Raw_data!J868</f>
        <v>171</v>
      </c>
      <c r="L868" s="6">
        <f>Raw_data!K868</f>
        <v>34</v>
      </c>
      <c r="M868" s="6">
        <f>Raw_data!L868</f>
        <v>0</v>
      </c>
      <c r="N868" s="6">
        <f t="shared" si="79"/>
        <v>648</v>
      </c>
      <c r="O868" s="6">
        <f t="shared" si="80"/>
        <v>205</v>
      </c>
      <c r="P868" s="6">
        <f t="shared" si="81"/>
        <v>853</v>
      </c>
      <c r="Q868">
        <f t="shared" si="82"/>
        <v>1</v>
      </c>
      <c r="R868">
        <f t="shared" si="83"/>
        <v>3</v>
      </c>
    </row>
    <row r="869" spans="1:18" x14ac:dyDescent="0.25">
      <c r="A869">
        <f>Raw_data!A869</f>
        <v>868</v>
      </c>
      <c r="B869" t="str">
        <f>Raw_data!B869</f>
        <v>C6765</v>
      </c>
      <c r="C869" t="str">
        <f>Raw_data!C869</f>
        <v>R2409</v>
      </c>
      <c r="D869" s="3">
        <f>Raw_data!D869</f>
        <v>45293.205960648149</v>
      </c>
      <c r="E869" s="3">
        <f>Raw_data!E869</f>
        <v>45293.257349537038</v>
      </c>
      <c r="F869" s="4">
        <f t="shared" si="78"/>
        <v>5.1388888889050577E-2</v>
      </c>
      <c r="G869" s="6">
        <f>Raw_data!F869</f>
        <v>245</v>
      </c>
      <c r="H869" s="6">
        <f>Raw_data!G869</f>
        <v>30</v>
      </c>
      <c r="I869" t="str">
        <f>Raw_data!H869</f>
        <v>Credit Card</v>
      </c>
      <c r="J869" s="7" t="str">
        <f>IF(Raw_data!I869=0.1,"10%",Raw_data!I869)</f>
        <v>None</v>
      </c>
      <c r="K869" s="6">
        <f>Raw_data!J869</f>
        <v>154</v>
      </c>
      <c r="L869" s="6">
        <f>Raw_data!K869</f>
        <v>28</v>
      </c>
      <c r="M869" s="6">
        <f>Raw_data!L869</f>
        <v>0</v>
      </c>
      <c r="N869" s="6">
        <f t="shared" si="79"/>
        <v>63</v>
      </c>
      <c r="O869" s="6">
        <f t="shared" si="80"/>
        <v>182</v>
      </c>
      <c r="P869" s="6">
        <f t="shared" si="81"/>
        <v>275</v>
      </c>
      <c r="Q869">
        <f t="shared" si="82"/>
        <v>1</v>
      </c>
      <c r="R869">
        <f t="shared" si="83"/>
        <v>1</v>
      </c>
    </row>
    <row r="870" spans="1:18" x14ac:dyDescent="0.25">
      <c r="A870">
        <f>Raw_data!A870</f>
        <v>869</v>
      </c>
      <c r="B870" t="str">
        <f>Raw_data!B870</f>
        <v>C2202</v>
      </c>
      <c r="C870" t="str">
        <f>Raw_data!C870</f>
        <v>R2894</v>
      </c>
      <c r="D870" s="3">
        <f>Raw_data!D870</f>
        <v>45324.571053240739</v>
      </c>
      <c r="E870" s="3">
        <f>Raw_data!E870</f>
        <v>45324.61341435185</v>
      </c>
      <c r="F870" s="4">
        <f t="shared" si="78"/>
        <v>4.2361111110949423E-2</v>
      </c>
      <c r="G870" s="6">
        <f>Raw_data!F870</f>
        <v>1511</v>
      </c>
      <c r="H870" s="6">
        <f>Raw_data!G870</f>
        <v>40</v>
      </c>
      <c r="I870" t="str">
        <f>Raw_data!H870</f>
        <v>Cash on Delivery</v>
      </c>
      <c r="J870" s="7" t="str">
        <f>IF(Raw_data!I870=0.1,"10%",Raw_data!I870)</f>
        <v>15% New User</v>
      </c>
      <c r="K870" s="6">
        <f>Raw_data!J870</f>
        <v>123</v>
      </c>
      <c r="L870" s="6">
        <f>Raw_data!K870</f>
        <v>25</v>
      </c>
      <c r="M870" s="6">
        <f>Raw_data!L870</f>
        <v>150</v>
      </c>
      <c r="N870" s="6">
        <f t="shared" si="79"/>
        <v>1363</v>
      </c>
      <c r="O870" s="6">
        <f t="shared" si="80"/>
        <v>-2</v>
      </c>
      <c r="P870" s="6">
        <f t="shared" si="81"/>
        <v>1551</v>
      </c>
      <c r="Q870">
        <f t="shared" si="82"/>
        <v>1</v>
      </c>
      <c r="R870">
        <f t="shared" si="83"/>
        <v>1</v>
      </c>
    </row>
    <row r="871" spans="1:18" x14ac:dyDescent="0.25">
      <c r="A871">
        <f>Raw_data!A871</f>
        <v>870</v>
      </c>
      <c r="B871" t="str">
        <f>Raw_data!B871</f>
        <v>C9135</v>
      </c>
      <c r="C871" t="str">
        <f>Raw_data!C871</f>
        <v>R2514</v>
      </c>
      <c r="D871" s="3">
        <f>Raw_data!D871</f>
        <v>45304.528055555558</v>
      </c>
      <c r="E871" s="3">
        <f>Raw_data!E871</f>
        <v>45304.593333333331</v>
      </c>
      <c r="F871" s="4">
        <f t="shared" si="78"/>
        <v>6.5277777772280388E-2</v>
      </c>
      <c r="G871" s="6">
        <f>Raw_data!F871</f>
        <v>884</v>
      </c>
      <c r="H871" s="6">
        <f>Raw_data!G871</f>
        <v>30</v>
      </c>
      <c r="I871" t="str">
        <f>Raw_data!H871</f>
        <v>Credit Card</v>
      </c>
      <c r="J871" s="7" t="str">
        <f>IF(Raw_data!I871=0.1,"10%",Raw_data!I871)</f>
        <v>15% New User</v>
      </c>
      <c r="K871" s="6">
        <f>Raw_data!J871</f>
        <v>181</v>
      </c>
      <c r="L871" s="6">
        <f>Raw_data!K871</f>
        <v>30</v>
      </c>
      <c r="M871" s="6">
        <f>Raw_data!L871</f>
        <v>0</v>
      </c>
      <c r="N871" s="6">
        <f t="shared" si="79"/>
        <v>673</v>
      </c>
      <c r="O871" s="6">
        <f t="shared" si="80"/>
        <v>211</v>
      </c>
      <c r="P871" s="6">
        <f t="shared" si="81"/>
        <v>914</v>
      </c>
      <c r="Q871">
        <f t="shared" si="82"/>
        <v>1</v>
      </c>
      <c r="R871">
        <f t="shared" si="83"/>
        <v>1</v>
      </c>
    </row>
    <row r="872" spans="1:18" x14ac:dyDescent="0.25">
      <c r="A872">
        <f>Raw_data!A872</f>
        <v>871</v>
      </c>
      <c r="B872" t="str">
        <f>Raw_data!B872</f>
        <v>C6567</v>
      </c>
      <c r="C872" t="str">
        <f>Raw_data!C872</f>
        <v>R2126</v>
      </c>
      <c r="D872" s="3">
        <f>Raw_data!D872</f>
        <v>45302.797256944446</v>
      </c>
      <c r="E872" s="3">
        <f>Raw_data!E872</f>
        <v>45302.843784722223</v>
      </c>
      <c r="F872" s="4">
        <f t="shared" si="78"/>
        <v>4.6527777776645962E-2</v>
      </c>
      <c r="G872" s="6">
        <f>Raw_data!F872</f>
        <v>1372</v>
      </c>
      <c r="H872" s="6">
        <f>Raw_data!G872</f>
        <v>0</v>
      </c>
      <c r="I872" t="str">
        <f>Raw_data!H872</f>
        <v>Cash on Delivery</v>
      </c>
      <c r="J872" s="7" t="str">
        <f>IF(Raw_data!I872=0.1,"10%",Raw_data!I872)</f>
        <v>15% New User</v>
      </c>
      <c r="K872" s="6">
        <f>Raw_data!J872</f>
        <v>148</v>
      </c>
      <c r="L872" s="6">
        <f>Raw_data!K872</f>
        <v>11</v>
      </c>
      <c r="M872" s="6">
        <f>Raw_data!L872</f>
        <v>0</v>
      </c>
      <c r="N872" s="6">
        <f t="shared" si="79"/>
        <v>1213</v>
      </c>
      <c r="O872" s="6">
        <f t="shared" si="80"/>
        <v>159</v>
      </c>
      <c r="P872" s="6">
        <f t="shared" si="81"/>
        <v>1372</v>
      </c>
      <c r="Q872">
        <f t="shared" si="82"/>
        <v>1</v>
      </c>
      <c r="R872">
        <f t="shared" si="83"/>
        <v>1</v>
      </c>
    </row>
    <row r="873" spans="1:18" x14ac:dyDescent="0.25">
      <c r="A873">
        <f>Raw_data!A873</f>
        <v>872</v>
      </c>
      <c r="B873" t="str">
        <f>Raw_data!B873</f>
        <v>C8667</v>
      </c>
      <c r="C873" t="str">
        <f>Raw_data!C873</f>
        <v>R2808</v>
      </c>
      <c r="D873" s="3">
        <f>Raw_data!D873</f>
        <v>45307.491736111115</v>
      </c>
      <c r="E873" s="3">
        <f>Raw_data!E873</f>
        <v>45307.565347222226</v>
      </c>
      <c r="F873" s="4">
        <f t="shared" si="78"/>
        <v>7.3611111110949423E-2</v>
      </c>
      <c r="G873" s="6">
        <f>Raw_data!F873</f>
        <v>625</v>
      </c>
      <c r="H873" s="6">
        <f>Raw_data!G873</f>
        <v>0</v>
      </c>
      <c r="I873" t="str">
        <f>Raw_data!H873</f>
        <v>Credit Card</v>
      </c>
      <c r="J873" s="7" t="str">
        <f>IF(Raw_data!I873=0.1,"10%",Raw_data!I873)</f>
        <v>50 off Promo</v>
      </c>
      <c r="K873" s="6">
        <f>Raw_data!J873</f>
        <v>175</v>
      </c>
      <c r="L873" s="6">
        <f>Raw_data!K873</f>
        <v>19</v>
      </c>
      <c r="M873" s="6">
        <f>Raw_data!L873</f>
        <v>0</v>
      </c>
      <c r="N873" s="6">
        <f t="shared" si="79"/>
        <v>431</v>
      </c>
      <c r="O873" s="6">
        <f t="shared" si="80"/>
        <v>194</v>
      </c>
      <c r="P873" s="6">
        <f t="shared" si="81"/>
        <v>625</v>
      </c>
      <c r="Q873">
        <f t="shared" si="82"/>
        <v>1</v>
      </c>
      <c r="R873">
        <f t="shared" si="83"/>
        <v>1</v>
      </c>
    </row>
    <row r="874" spans="1:18" x14ac:dyDescent="0.25">
      <c r="A874">
        <f>Raw_data!A874</f>
        <v>873</v>
      </c>
      <c r="B874" t="str">
        <f>Raw_data!B874</f>
        <v>C6742</v>
      </c>
      <c r="C874" t="str">
        <f>Raw_data!C874</f>
        <v>R2699</v>
      </c>
      <c r="D874" s="3">
        <f>Raw_data!D874</f>
        <v>45303.882291666669</v>
      </c>
      <c r="E874" s="3">
        <f>Raw_data!E874</f>
        <v>45303.910069444442</v>
      </c>
      <c r="F874" s="4">
        <f t="shared" si="78"/>
        <v>2.7777777773735579E-2</v>
      </c>
      <c r="G874" s="6">
        <f>Raw_data!F874</f>
        <v>1585</v>
      </c>
      <c r="H874" s="6">
        <f>Raw_data!G874</f>
        <v>30</v>
      </c>
      <c r="I874" t="str">
        <f>Raw_data!H874</f>
        <v>Digital Wallet</v>
      </c>
      <c r="J874" s="7" t="str">
        <f>IF(Raw_data!I874=0.1,"10%",Raw_data!I874)</f>
        <v>10%</v>
      </c>
      <c r="K874" s="6">
        <f>Raw_data!J874</f>
        <v>187</v>
      </c>
      <c r="L874" s="6">
        <f>Raw_data!K874</f>
        <v>25</v>
      </c>
      <c r="M874" s="6">
        <f>Raw_data!L874</f>
        <v>0</v>
      </c>
      <c r="N874" s="6">
        <f t="shared" si="79"/>
        <v>1373</v>
      </c>
      <c r="O874" s="6">
        <f t="shared" si="80"/>
        <v>212</v>
      </c>
      <c r="P874" s="6">
        <f t="shared" si="81"/>
        <v>1615</v>
      </c>
      <c r="Q874">
        <f t="shared" si="82"/>
        <v>1</v>
      </c>
      <c r="R874">
        <f t="shared" si="83"/>
        <v>4</v>
      </c>
    </row>
    <row r="875" spans="1:18" x14ac:dyDescent="0.25">
      <c r="A875">
        <f>Raw_data!A875</f>
        <v>874</v>
      </c>
      <c r="B875" t="str">
        <f>Raw_data!B875</f>
        <v>C6788</v>
      </c>
      <c r="C875" t="str">
        <f>Raw_data!C875</f>
        <v>R2873</v>
      </c>
      <c r="D875" s="3">
        <f>Raw_data!D875</f>
        <v>45317.06077546296</v>
      </c>
      <c r="E875" s="3">
        <f>Raw_data!E875</f>
        <v>45317.087858796294</v>
      </c>
      <c r="F875" s="4">
        <f t="shared" si="78"/>
        <v>2.7083333334303461E-2</v>
      </c>
      <c r="G875" s="6">
        <f>Raw_data!F875</f>
        <v>112</v>
      </c>
      <c r="H875" s="6">
        <f>Raw_data!G875</f>
        <v>20</v>
      </c>
      <c r="I875" t="str">
        <f>Raw_data!H875</f>
        <v>Credit Card</v>
      </c>
      <c r="J875" s="7" t="str">
        <f>IF(Raw_data!I875=0.1,"10%",Raw_data!I875)</f>
        <v>5% on App</v>
      </c>
      <c r="K875" s="6">
        <f>Raw_data!J875</f>
        <v>124</v>
      </c>
      <c r="L875" s="6">
        <f>Raw_data!K875</f>
        <v>46</v>
      </c>
      <c r="M875" s="6">
        <f>Raw_data!L875</f>
        <v>100</v>
      </c>
      <c r="N875" s="6">
        <f t="shared" si="79"/>
        <v>-58</v>
      </c>
      <c r="O875" s="6">
        <f t="shared" si="80"/>
        <v>70</v>
      </c>
      <c r="P875" s="6">
        <f t="shared" si="81"/>
        <v>132</v>
      </c>
      <c r="Q875">
        <f t="shared" si="82"/>
        <v>1</v>
      </c>
      <c r="R875">
        <f t="shared" si="83"/>
        <v>2</v>
      </c>
    </row>
    <row r="876" spans="1:18" x14ac:dyDescent="0.25">
      <c r="A876">
        <f>Raw_data!A876</f>
        <v>875</v>
      </c>
      <c r="B876" t="str">
        <f>Raw_data!B876</f>
        <v>C6408</v>
      </c>
      <c r="C876" t="str">
        <f>Raw_data!C876</f>
        <v>R2013</v>
      </c>
      <c r="D876" s="3">
        <f>Raw_data!D876</f>
        <v>45309.104768518519</v>
      </c>
      <c r="E876" s="3">
        <f>Raw_data!E876</f>
        <v>45309.165879629632</v>
      </c>
      <c r="F876" s="4">
        <f t="shared" si="78"/>
        <v>6.1111111113859806E-2</v>
      </c>
      <c r="G876" s="6">
        <f>Raw_data!F876</f>
        <v>1002</v>
      </c>
      <c r="H876" s="6">
        <f>Raw_data!G876</f>
        <v>40</v>
      </c>
      <c r="I876" t="str">
        <f>Raw_data!H876</f>
        <v>Cash on Delivery</v>
      </c>
      <c r="J876" s="7" t="str">
        <f>IF(Raw_data!I876=0.1,"10%",Raw_data!I876)</f>
        <v>None</v>
      </c>
      <c r="K876" s="6">
        <f>Raw_data!J876</f>
        <v>63</v>
      </c>
      <c r="L876" s="6">
        <f>Raw_data!K876</f>
        <v>24</v>
      </c>
      <c r="M876" s="6">
        <f>Raw_data!L876</f>
        <v>0</v>
      </c>
      <c r="N876" s="6">
        <f t="shared" si="79"/>
        <v>915</v>
      </c>
      <c r="O876" s="6">
        <f t="shared" si="80"/>
        <v>87</v>
      </c>
      <c r="P876" s="6">
        <f t="shared" si="81"/>
        <v>1042</v>
      </c>
      <c r="Q876">
        <f t="shared" si="82"/>
        <v>1</v>
      </c>
      <c r="R876">
        <f t="shared" si="83"/>
        <v>2</v>
      </c>
    </row>
    <row r="877" spans="1:18" x14ac:dyDescent="0.25">
      <c r="A877">
        <f>Raw_data!A877</f>
        <v>876</v>
      </c>
      <c r="B877" t="str">
        <f>Raw_data!B877</f>
        <v>C9669</v>
      </c>
      <c r="C877" t="str">
        <f>Raw_data!C877</f>
        <v>R2970</v>
      </c>
      <c r="D877" s="3">
        <f>Raw_data!D877</f>
        <v>45327.988298611112</v>
      </c>
      <c r="E877" s="3">
        <f>Raw_data!E877</f>
        <v>45328.070937500001</v>
      </c>
      <c r="F877" s="4">
        <f t="shared" si="78"/>
        <v>8.2638888889050577E-2</v>
      </c>
      <c r="G877" s="6">
        <f>Raw_data!F877</f>
        <v>483</v>
      </c>
      <c r="H877" s="6">
        <f>Raw_data!G877</f>
        <v>40</v>
      </c>
      <c r="I877" t="str">
        <f>Raw_data!H877</f>
        <v>Cash on Delivery</v>
      </c>
      <c r="J877" s="7" t="str">
        <f>IF(Raw_data!I877=0.1,"10%",Raw_data!I877)</f>
        <v>5% on App</v>
      </c>
      <c r="K877" s="6">
        <f>Raw_data!J877</f>
        <v>87</v>
      </c>
      <c r="L877" s="6">
        <f>Raw_data!K877</f>
        <v>22</v>
      </c>
      <c r="M877" s="6">
        <f>Raw_data!L877</f>
        <v>100</v>
      </c>
      <c r="N877" s="6">
        <f t="shared" si="79"/>
        <v>374</v>
      </c>
      <c r="O877" s="6">
        <f t="shared" si="80"/>
        <v>9</v>
      </c>
      <c r="P877" s="6">
        <f t="shared" si="81"/>
        <v>523</v>
      </c>
      <c r="Q877">
        <f t="shared" si="82"/>
        <v>1</v>
      </c>
      <c r="R877">
        <f t="shared" si="83"/>
        <v>2</v>
      </c>
    </row>
    <row r="878" spans="1:18" x14ac:dyDescent="0.25">
      <c r="A878">
        <f>Raw_data!A878</f>
        <v>877</v>
      </c>
      <c r="B878" t="str">
        <f>Raw_data!B878</f>
        <v>C1922</v>
      </c>
      <c r="C878" t="str">
        <f>Raw_data!C878</f>
        <v>R2977</v>
      </c>
      <c r="D878" s="3">
        <f>Raw_data!D878</f>
        <v>45329.208912037036</v>
      </c>
      <c r="E878" s="3">
        <f>Raw_data!E878</f>
        <v>45329.267245370371</v>
      </c>
      <c r="F878" s="4">
        <f t="shared" si="78"/>
        <v>5.8333333334303461E-2</v>
      </c>
      <c r="G878" s="6">
        <f>Raw_data!F878</f>
        <v>655</v>
      </c>
      <c r="H878" s="6">
        <f>Raw_data!G878</f>
        <v>30</v>
      </c>
      <c r="I878" t="str">
        <f>Raw_data!H878</f>
        <v>Digital Wallet</v>
      </c>
      <c r="J878" s="7" t="str">
        <f>IF(Raw_data!I878=0.1,"10%",Raw_data!I878)</f>
        <v>10%</v>
      </c>
      <c r="K878" s="6">
        <f>Raw_data!J878</f>
        <v>189</v>
      </c>
      <c r="L878" s="6">
        <f>Raw_data!K878</f>
        <v>22</v>
      </c>
      <c r="M878" s="6">
        <f>Raw_data!L878</f>
        <v>0</v>
      </c>
      <c r="N878" s="6">
        <f t="shared" si="79"/>
        <v>444</v>
      </c>
      <c r="O878" s="6">
        <f t="shared" si="80"/>
        <v>211</v>
      </c>
      <c r="P878" s="6">
        <f t="shared" si="81"/>
        <v>685</v>
      </c>
      <c r="Q878">
        <f t="shared" si="82"/>
        <v>1</v>
      </c>
      <c r="R878">
        <f t="shared" si="83"/>
        <v>2</v>
      </c>
    </row>
    <row r="879" spans="1:18" x14ac:dyDescent="0.25">
      <c r="A879">
        <f>Raw_data!A879</f>
        <v>878</v>
      </c>
      <c r="B879" t="str">
        <f>Raw_data!B879</f>
        <v>C1419</v>
      </c>
      <c r="C879" t="str">
        <f>Raw_data!C879</f>
        <v>R2011</v>
      </c>
      <c r="D879" s="3">
        <f>Raw_data!D879</f>
        <v>45311.907673611109</v>
      </c>
      <c r="E879" s="3">
        <f>Raw_data!E879</f>
        <v>45311.941701388889</v>
      </c>
      <c r="F879" s="4">
        <f t="shared" si="78"/>
        <v>3.4027777779556345E-2</v>
      </c>
      <c r="G879" s="6">
        <f>Raw_data!F879</f>
        <v>986</v>
      </c>
      <c r="H879" s="6">
        <f>Raw_data!G879</f>
        <v>20</v>
      </c>
      <c r="I879" t="str">
        <f>Raw_data!H879</f>
        <v>Cash on Delivery</v>
      </c>
      <c r="J879" s="7" t="str">
        <f>IF(Raw_data!I879=0.1,"10%",Raw_data!I879)</f>
        <v>10%</v>
      </c>
      <c r="K879" s="6">
        <f>Raw_data!J879</f>
        <v>94</v>
      </c>
      <c r="L879" s="6">
        <f>Raw_data!K879</f>
        <v>41</v>
      </c>
      <c r="M879" s="6">
        <f>Raw_data!L879</f>
        <v>0</v>
      </c>
      <c r="N879" s="6">
        <f t="shared" si="79"/>
        <v>851</v>
      </c>
      <c r="O879" s="6">
        <f t="shared" si="80"/>
        <v>135</v>
      </c>
      <c r="P879" s="6">
        <f t="shared" si="81"/>
        <v>1006</v>
      </c>
      <c r="Q879">
        <f t="shared" si="82"/>
        <v>1</v>
      </c>
      <c r="R879">
        <f t="shared" si="83"/>
        <v>2</v>
      </c>
    </row>
    <row r="880" spans="1:18" x14ac:dyDescent="0.25">
      <c r="A880">
        <f>Raw_data!A880</f>
        <v>879</v>
      </c>
      <c r="B880" t="str">
        <f>Raw_data!B880</f>
        <v>C3204</v>
      </c>
      <c r="C880" t="str">
        <f>Raw_data!C880</f>
        <v>R2086</v>
      </c>
      <c r="D880" s="3">
        <f>Raw_data!D880</f>
        <v>45322.906342592592</v>
      </c>
      <c r="E880" s="3">
        <f>Raw_data!E880</f>
        <v>45322.982731481483</v>
      </c>
      <c r="F880" s="4">
        <f t="shared" si="78"/>
        <v>7.6388888890505768E-2</v>
      </c>
      <c r="G880" s="6">
        <f>Raw_data!F880</f>
        <v>1522</v>
      </c>
      <c r="H880" s="6">
        <f>Raw_data!G880</f>
        <v>0</v>
      </c>
      <c r="I880" t="str">
        <f>Raw_data!H880</f>
        <v>Credit Card</v>
      </c>
      <c r="J880" s="7" t="str">
        <f>IF(Raw_data!I880=0.1,"10%",Raw_data!I880)</f>
        <v>50 off Promo</v>
      </c>
      <c r="K880" s="6">
        <f>Raw_data!J880</f>
        <v>194</v>
      </c>
      <c r="L880" s="6">
        <f>Raw_data!K880</f>
        <v>17</v>
      </c>
      <c r="M880" s="6">
        <f>Raw_data!L880</f>
        <v>0</v>
      </c>
      <c r="N880" s="6">
        <f t="shared" si="79"/>
        <v>1311</v>
      </c>
      <c r="O880" s="6">
        <f t="shared" si="80"/>
        <v>211</v>
      </c>
      <c r="P880" s="6">
        <f t="shared" si="81"/>
        <v>1522</v>
      </c>
      <c r="Q880">
        <f t="shared" si="82"/>
        <v>1</v>
      </c>
      <c r="R880">
        <f t="shared" si="83"/>
        <v>2</v>
      </c>
    </row>
    <row r="881" spans="1:18" x14ac:dyDescent="0.25">
      <c r="A881">
        <f>Raw_data!A881</f>
        <v>880</v>
      </c>
      <c r="B881" t="str">
        <f>Raw_data!B881</f>
        <v>C2120</v>
      </c>
      <c r="C881" t="str">
        <f>Raw_data!C881</f>
        <v>R2523</v>
      </c>
      <c r="D881" s="3">
        <f>Raw_data!D881</f>
        <v>45297.628182870372</v>
      </c>
      <c r="E881" s="3">
        <f>Raw_data!E881</f>
        <v>45297.660127314812</v>
      </c>
      <c r="F881" s="4">
        <f t="shared" si="78"/>
        <v>3.1944444439432118E-2</v>
      </c>
      <c r="G881" s="6">
        <f>Raw_data!F881</f>
        <v>118</v>
      </c>
      <c r="H881" s="6">
        <f>Raw_data!G881</f>
        <v>50</v>
      </c>
      <c r="I881" t="str">
        <f>Raw_data!H881</f>
        <v>Credit Card</v>
      </c>
      <c r="J881" s="7" t="str">
        <f>IF(Raw_data!I881=0.1,"10%",Raw_data!I881)</f>
        <v>15% New User</v>
      </c>
      <c r="K881" s="6">
        <f>Raw_data!J881</f>
        <v>124</v>
      </c>
      <c r="L881" s="6">
        <f>Raw_data!K881</f>
        <v>27</v>
      </c>
      <c r="M881" s="6">
        <f>Raw_data!L881</f>
        <v>0</v>
      </c>
      <c r="N881" s="6">
        <f t="shared" si="79"/>
        <v>-33</v>
      </c>
      <c r="O881" s="6">
        <f t="shared" si="80"/>
        <v>151</v>
      </c>
      <c r="P881" s="6">
        <f t="shared" si="81"/>
        <v>168</v>
      </c>
      <c r="Q881">
        <f t="shared" si="82"/>
        <v>1</v>
      </c>
      <c r="R881">
        <f t="shared" si="83"/>
        <v>5</v>
      </c>
    </row>
    <row r="882" spans="1:18" x14ac:dyDescent="0.25">
      <c r="A882">
        <f>Raw_data!A882</f>
        <v>881</v>
      </c>
      <c r="B882" t="str">
        <f>Raw_data!B882</f>
        <v>C1950</v>
      </c>
      <c r="C882" t="str">
        <f>Raw_data!C882</f>
        <v>R2908</v>
      </c>
      <c r="D882" s="3">
        <f>Raw_data!D882</f>
        <v>45295.459155092591</v>
      </c>
      <c r="E882" s="3">
        <f>Raw_data!E882</f>
        <v>45295.526516203703</v>
      </c>
      <c r="F882" s="4">
        <f t="shared" si="78"/>
        <v>6.7361111112404615E-2</v>
      </c>
      <c r="G882" s="6">
        <f>Raw_data!F882</f>
        <v>674</v>
      </c>
      <c r="H882" s="6">
        <f>Raw_data!G882</f>
        <v>50</v>
      </c>
      <c r="I882" t="str">
        <f>Raw_data!H882</f>
        <v>Digital Wallet</v>
      </c>
      <c r="J882" s="7" t="str">
        <f>IF(Raw_data!I882=0.1,"10%",Raw_data!I882)</f>
        <v>15% New User</v>
      </c>
      <c r="K882" s="6">
        <f>Raw_data!J882</f>
        <v>78</v>
      </c>
      <c r="L882" s="6">
        <f>Raw_data!K882</f>
        <v>45</v>
      </c>
      <c r="M882" s="6">
        <f>Raw_data!L882</f>
        <v>0</v>
      </c>
      <c r="N882" s="6">
        <f t="shared" si="79"/>
        <v>551</v>
      </c>
      <c r="O882" s="6">
        <f t="shared" si="80"/>
        <v>123</v>
      </c>
      <c r="P882" s="6">
        <f t="shared" si="81"/>
        <v>724</v>
      </c>
      <c r="Q882">
        <f t="shared" si="82"/>
        <v>1</v>
      </c>
      <c r="R882">
        <f t="shared" si="83"/>
        <v>1</v>
      </c>
    </row>
    <row r="883" spans="1:18" x14ac:dyDescent="0.25">
      <c r="A883">
        <f>Raw_data!A883</f>
        <v>882</v>
      </c>
      <c r="B883" t="str">
        <f>Raw_data!B883</f>
        <v>C3336</v>
      </c>
      <c r="C883" t="str">
        <f>Raw_data!C883</f>
        <v>R2536</v>
      </c>
      <c r="D883" s="3">
        <f>Raw_data!D883</f>
        <v>45305.398784722223</v>
      </c>
      <c r="E883" s="3">
        <f>Raw_data!E883</f>
        <v>45305.422395833331</v>
      </c>
      <c r="F883" s="4">
        <f t="shared" si="78"/>
        <v>2.361111110803904E-2</v>
      </c>
      <c r="G883" s="6">
        <f>Raw_data!F883</f>
        <v>1614</v>
      </c>
      <c r="H883" s="6">
        <f>Raw_data!G883</f>
        <v>30</v>
      </c>
      <c r="I883" t="str">
        <f>Raw_data!H883</f>
        <v>Cash on Delivery</v>
      </c>
      <c r="J883" s="7" t="str">
        <f>IF(Raw_data!I883=0.1,"10%",Raw_data!I883)</f>
        <v>10%</v>
      </c>
      <c r="K883" s="6">
        <f>Raw_data!J883</f>
        <v>67</v>
      </c>
      <c r="L883" s="6">
        <f>Raw_data!K883</f>
        <v>35</v>
      </c>
      <c r="M883" s="6">
        <f>Raw_data!L883</f>
        <v>0</v>
      </c>
      <c r="N883" s="6">
        <f t="shared" si="79"/>
        <v>1512</v>
      </c>
      <c r="O883" s="6">
        <f t="shared" si="80"/>
        <v>102</v>
      </c>
      <c r="P883" s="6">
        <f t="shared" si="81"/>
        <v>1644</v>
      </c>
      <c r="Q883">
        <f t="shared" si="82"/>
        <v>1</v>
      </c>
      <c r="R883">
        <f t="shared" si="83"/>
        <v>3</v>
      </c>
    </row>
    <row r="884" spans="1:18" x14ac:dyDescent="0.25">
      <c r="A884">
        <f>Raw_data!A884</f>
        <v>883</v>
      </c>
      <c r="B884" t="str">
        <f>Raw_data!B884</f>
        <v>C6373</v>
      </c>
      <c r="C884" t="str">
        <f>Raw_data!C884</f>
        <v>R2300</v>
      </c>
      <c r="D884" s="3">
        <f>Raw_data!D884</f>
        <v>45326.135196759256</v>
      </c>
      <c r="E884" s="3">
        <f>Raw_data!E884</f>
        <v>45326.197002314817</v>
      </c>
      <c r="F884" s="4">
        <f t="shared" si="78"/>
        <v>6.1805555560567882E-2</v>
      </c>
      <c r="G884" s="6">
        <f>Raw_data!F884</f>
        <v>850</v>
      </c>
      <c r="H884" s="6">
        <f>Raw_data!G884</f>
        <v>20</v>
      </c>
      <c r="I884" t="str">
        <f>Raw_data!H884</f>
        <v>Digital Wallet</v>
      </c>
      <c r="J884" s="7" t="str">
        <f>IF(Raw_data!I884=0.1,"10%",Raw_data!I884)</f>
        <v>50 off Promo</v>
      </c>
      <c r="K884" s="6">
        <f>Raw_data!J884</f>
        <v>69</v>
      </c>
      <c r="L884" s="6">
        <f>Raw_data!K884</f>
        <v>19</v>
      </c>
      <c r="M884" s="6">
        <f>Raw_data!L884</f>
        <v>0</v>
      </c>
      <c r="N884" s="6">
        <f t="shared" si="79"/>
        <v>762</v>
      </c>
      <c r="O884" s="6">
        <f t="shared" si="80"/>
        <v>88</v>
      </c>
      <c r="P884" s="6">
        <f t="shared" si="81"/>
        <v>870</v>
      </c>
      <c r="Q884">
        <f t="shared" si="82"/>
        <v>1</v>
      </c>
      <c r="R884">
        <f t="shared" si="83"/>
        <v>3</v>
      </c>
    </row>
    <row r="885" spans="1:18" x14ac:dyDescent="0.25">
      <c r="A885">
        <f>Raw_data!A885</f>
        <v>884</v>
      </c>
      <c r="B885" t="str">
        <f>Raw_data!B885</f>
        <v>C3243</v>
      </c>
      <c r="C885" t="str">
        <f>Raw_data!C885</f>
        <v>R2242</v>
      </c>
      <c r="D885" s="3">
        <f>Raw_data!D885</f>
        <v>45328.594409722224</v>
      </c>
      <c r="E885" s="3">
        <f>Raw_data!E885</f>
        <v>45328.630520833336</v>
      </c>
      <c r="F885" s="4">
        <f t="shared" si="78"/>
        <v>3.6111111112404615E-2</v>
      </c>
      <c r="G885" s="6">
        <f>Raw_data!F885</f>
        <v>1103</v>
      </c>
      <c r="H885" s="6">
        <f>Raw_data!G885</f>
        <v>20</v>
      </c>
      <c r="I885" t="str">
        <f>Raw_data!H885</f>
        <v>Credit Card</v>
      </c>
      <c r="J885" s="7" t="str">
        <f>IF(Raw_data!I885=0.1,"10%",Raw_data!I885)</f>
        <v>50 off Promo</v>
      </c>
      <c r="K885" s="6">
        <f>Raw_data!J885</f>
        <v>63</v>
      </c>
      <c r="L885" s="6">
        <f>Raw_data!K885</f>
        <v>40</v>
      </c>
      <c r="M885" s="6">
        <f>Raw_data!L885</f>
        <v>0</v>
      </c>
      <c r="N885" s="6">
        <f t="shared" si="79"/>
        <v>1000</v>
      </c>
      <c r="O885" s="6">
        <f t="shared" si="80"/>
        <v>103</v>
      </c>
      <c r="P885" s="6">
        <f t="shared" si="81"/>
        <v>1123</v>
      </c>
      <c r="Q885">
        <f t="shared" si="82"/>
        <v>1</v>
      </c>
      <c r="R885">
        <f t="shared" si="83"/>
        <v>2</v>
      </c>
    </row>
    <row r="886" spans="1:18" x14ac:dyDescent="0.25">
      <c r="A886">
        <f>Raw_data!A886</f>
        <v>885</v>
      </c>
      <c r="B886" t="str">
        <f>Raw_data!B886</f>
        <v>C3645</v>
      </c>
      <c r="C886" t="str">
        <f>Raw_data!C886</f>
        <v>R2121</v>
      </c>
      <c r="D886" s="3">
        <f>Raw_data!D886</f>
        <v>45306.987604166665</v>
      </c>
      <c r="E886" s="3">
        <f>Raw_data!E886</f>
        <v>45307.039687500001</v>
      </c>
      <c r="F886" s="4">
        <f t="shared" si="78"/>
        <v>5.2083333335758653E-2</v>
      </c>
      <c r="G886" s="6">
        <f>Raw_data!F886</f>
        <v>518</v>
      </c>
      <c r="H886" s="6">
        <f>Raw_data!G886</f>
        <v>40</v>
      </c>
      <c r="I886" t="str">
        <f>Raw_data!H886</f>
        <v>Digital Wallet</v>
      </c>
      <c r="J886" s="7" t="str">
        <f>IF(Raw_data!I886=0.1,"10%",Raw_data!I886)</f>
        <v>None</v>
      </c>
      <c r="K886" s="6">
        <f>Raw_data!J886</f>
        <v>103</v>
      </c>
      <c r="L886" s="6">
        <f>Raw_data!K886</f>
        <v>42</v>
      </c>
      <c r="M886" s="6">
        <f>Raw_data!L886</f>
        <v>0</v>
      </c>
      <c r="N886" s="6">
        <f t="shared" si="79"/>
        <v>373</v>
      </c>
      <c r="O886" s="6">
        <f t="shared" si="80"/>
        <v>145</v>
      </c>
      <c r="P886" s="6">
        <f t="shared" si="81"/>
        <v>558</v>
      </c>
      <c r="Q886">
        <f t="shared" si="82"/>
        <v>1</v>
      </c>
      <c r="R886">
        <f t="shared" si="83"/>
        <v>2</v>
      </c>
    </row>
    <row r="887" spans="1:18" x14ac:dyDescent="0.25">
      <c r="A887">
        <f>Raw_data!A887</f>
        <v>886</v>
      </c>
      <c r="B887" t="str">
        <f>Raw_data!B887</f>
        <v>C5612</v>
      </c>
      <c r="C887" t="str">
        <f>Raw_data!C887</f>
        <v>R2146</v>
      </c>
      <c r="D887" s="3">
        <f>Raw_data!D887</f>
        <v>45320.988356481481</v>
      </c>
      <c r="E887" s="3">
        <f>Raw_data!E887</f>
        <v>45321.044606481482</v>
      </c>
      <c r="F887" s="4">
        <f t="shared" si="78"/>
        <v>5.6250000001455192E-2</v>
      </c>
      <c r="G887" s="6">
        <f>Raw_data!F887</f>
        <v>1460</v>
      </c>
      <c r="H887" s="6">
        <f>Raw_data!G887</f>
        <v>0</v>
      </c>
      <c r="I887" t="str">
        <f>Raw_data!H887</f>
        <v>Cash on Delivery</v>
      </c>
      <c r="J887" s="7" t="str">
        <f>IF(Raw_data!I887=0.1,"10%",Raw_data!I887)</f>
        <v>15% New User</v>
      </c>
      <c r="K887" s="6">
        <f>Raw_data!J887</f>
        <v>80</v>
      </c>
      <c r="L887" s="6">
        <f>Raw_data!K887</f>
        <v>38</v>
      </c>
      <c r="M887" s="6">
        <f>Raw_data!L887</f>
        <v>150</v>
      </c>
      <c r="N887" s="6">
        <f t="shared" si="79"/>
        <v>1342</v>
      </c>
      <c r="O887" s="6">
        <f t="shared" si="80"/>
        <v>-32</v>
      </c>
      <c r="P887" s="6">
        <f t="shared" si="81"/>
        <v>1460</v>
      </c>
      <c r="Q887">
        <f t="shared" si="82"/>
        <v>1</v>
      </c>
      <c r="R887">
        <f t="shared" si="83"/>
        <v>3</v>
      </c>
    </row>
    <row r="888" spans="1:18" x14ac:dyDescent="0.25">
      <c r="A888">
        <f>Raw_data!A888</f>
        <v>887</v>
      </c>
      <c r="B888" t="str">
        <f>Raw_data!B888</f>
        <v>C2865</v>
      </c>
      <c r="C888" t="str">
        <f>Raw_data!C888</f>
        <v>R2566</v>
      </c>
      <c r="D888" s="3">
        <f>Raw_data!D888</f>
        <v>45306.389976851853</v>
      </c>
      <c r="E888" s="3">
        <f>Raw_data!E888</f>
        <v>45306.417060185187</v>
      </c>
      <c r="F888" s="4">
        <f t="shared" si="78"/>
        <v>2.7083333334303461E-2</v>
      </c>
      <c r="G888" s="6">
        <f>Raw_data!F888</f>
        <v>518</v>
      </c>
      <c r="H888" s="6">
        <f>Raw_data!G888</f>
        <v>20</v>
      </c>
      <c r="I888" t="str">
        <f>Raw_data!H888</f>
        <v>Digital Wallet</v>
      </c>
      <c r="J888" s="7" t="str">
        <f>IF(Raw_data!I888=0.1,"10%",Raw_data!I888)</f>
        <v>10%</v>
      </c>
      <c r="K888" s="6">
        <f>Raw_data!J888</f>
        <v>107</v>
      </c>
      <c r="L888" s="6">
        <f>Raw_data!K888</f>
        <v>14</v>
      </c>
      <c r="M888" s="6">
        <f>Raw_data!L888</f>
        <v>0</v>
      </c>
      <c r="N888" s="6">
        <f t="shared" si="79"/>
        <v>397</v>
      </c>
      <c r="O888" s="6">
        <f t="shared" si="80"/>
        <v>121</v>
      </c>
      <c r="P888" s="6">
        <f t="shared" si="81"/>
        <v>538</v>
      </c>
      <c r="Q888">
        <f t="shared" si="82"/>
        <v>1</v>
      </c>
      <c r="R888">
        <f t="shared" si="83"/>
        <v>1</v>
      </c>
    </row>
    <row r="889" spans="1:18" x14ac:dyDescent="0.25">
      <c r="A889">
        <f>Raw_data!A889</f>
        <v>888</v>
      </c>
      <c r="B889" t="str">
        <f>Raw_data!B889</f>
        <v>C7028</v>
      </c>
      <c r="C889" t="str">
        <f>Raw_data!C889</f>
        <v>R2749</v>
      </c>
      <c r="D889" s="3">
        <f>Raw_data!D889</f>
        <v>45315.456979166665</v>
      </c>
      <c r="E889" s="3">
        <f>Raw_data!E889</f>
        <v>45315.509062500001</v>
      </c>
      <c r="F889" s="4">
        <f t="shared" si="78"/>
        <v>5.2083333335758653E-2</v>
      </c>
      <c r="G889" s="6">
        <f>Raw_data!F889</f>
        <v>1735</v>
      </c>
      <c r="H889" s="6">
        <f>Raw_data!G889</f>
        <v>50</v>
      </c>
      <c r="I889" t="str">
        <f>Raw_data!H889</f>
        <v>Cash on Delivery</v>
      </c>
      <c r="J889" s="7" t="str">
        <f>IF(Raw_data!I889=0.1,"10%",Raw_data!I889)</f>
        <v>5% on App</v>
      </c>
      <c r="K889" s="6">
        <f>Raw_data!J889</f>
        <v>153</v>
      </c>
      <c r="L889" s="6">
        <f>Raw_data!K889</f>
        <v>22</v>
      </c>
      <c r="M889" s="6">
        <f>Raw_data!L889</f>
        <v>0</v>
      </c>
      <c r="N889" s="6">
        <f t="shared" si="79"/>
        <v>1560</v>
      </c>
      <c r="O889" s="6">
        <f t="shared" si="80"/>
        <v>175</v>
      </c>
      <c r="P889" s="6">
        <f t="shared" si="81"/>
        <v>1785</v>
      </c>
      <c r="Q889">
        <f t="shared" si="82"/>
        <v>1</v>
      </c>
      <c r="R889">
        <f t="shared" si="83"/>
        <v>1</v>
      </c>
    </row>
    <row r="890" spans="1:18" x14ac:dyDescent="0.25">
      <c r="A890">
        <f>Raw_data!A890</f>
        <v>889</v>
      </c>
      <c r="B890" t="str">
        <f>Raw_data!B890</f>
        <v>C8326</v>
      </c>
      <c r="C890" t="str">
        <f>Raw_data!C890</f>
        <v>R2355</v>
      </c>
      <c r="D890" s="3">
        <f>Raw_data!D890</f>
        <v>45302.379814814813</v>
      </c>
      <c r="E890" s="3">
        <f>Raw_data!E890</f>
        <v>45302.419398148151</v>
      </c>
      <c r="F890" s="4">
        <f t="shared" si="78"/>
        <v>3.9583333338669036E-2</v>
      </c>
      <c r="G890" s="6">
        <f>Raw_data!F890</f>
        <v>1798</v>
      </c>
      <c r="H890" s="6">
        <f>Raw_data!G890</f>
        <v>0</v>
      </c>
      <c r="I890" t="str">
        <f>Raw_data!H890</f>
        <v>Cash on Delivery</v>
      </c>
      <c r="J890" s="7" t="str">
        <f>IF(Raw_data!I890=0.1,"10%",Raw_data!I890)</f>
        <v>15% New User</v>
      </c>
      <c r="K890" s="6">
        <f>Raw_data!J890</f>
        <v>177</v>
      </c>
      <c r="L890" s="6">
        <f>Raw_data!K890</f>
        <v>10</v>
      </c>
      <c r="M890" s="6">
        <f>Raw_data!L890</f>
        <v>0</v>
      </c>
      <c r="N890" s="6">
        <f t="shared" si="79"/>
        <v>1611</v>
      </c>
      <c r="O890" s="6">
        <f t="shared" si="80"/>
        <v>187</v>
      </c>
      <c r="P890" s="6">
        <f t="shared" si="81"/>
        <v>1798</v>
      </c>
      <c r="Q890">
        <f t="shared" si="82"/>
        <v>1</v>
      </c>
      <c r="R890">
        <f t="shared" si="83"/>
        <v>4</v>
      </c>
    </row>
    <row r="891" spans="1:18" x14ac:dyDescent="0.25">
      <c r="A891">
        <f>Raw_data!A891</f>
        <v>890</v>
      </c>
      <c r="B891" t="str">
        <f>Raw_data!B891</f>
        <v>C7371</v>
      </c>
      <c r="C891" t="str">
        <f>Raw_data!C891</f>
        <v>R2684</v>
      </c>
      <c r="D891" s="3">
        <f>Raw_data!D891</f>
        <v>45329.206643518519</v>
      </c>
      <c r="E891" s="3">
        <f>Raw_data!E891</f>
        <v>45329.256643518522</v>
      </c>
      <c r="F891" s="4">
        <f t="shared" si="78"/>
        <v>5.0000000002910383E-2</v>
      </c>
      <c r="G891" s="6">
        <f>Raw_data!F891</f>
        <v>221</v>
      </c>
      <c r="H891" s="6">
        <f>Raw_data!G891</f>
        <v>0</v>
      </c>
      <c r="I891" t="str">
        <f>Raw_data!H891</f>
        <v>Credit Card</v>
      </c>
      <c r="J891" s="7" t="str">
        <f>IF(Raw_data!I891=0.1,"10%",Raw_data!I891)</f>
        <v>None</v>
      </c>
      <c r="K891" s="6">
        <f>Raw_data!J891</f>
        <v>74</v>
      </c>
      <c r="L891" s="6">
        <f>Raw_data!K891</f>
        <v>32</v>
      </c>
      <c r="M891" s="6">
        <f>Raw_data!L891</f>
        <v>0</v>
      </c>
      <c r="N891" s="6">
        <f t="shared" si="79"/>
        <v>115</v>
      </c>
      <c r="O891" s="6">
        <f t="shared" si="80"/>
        <v>106</v>
      </c>
      <c r="P891" s="6">
        <f t="shared" si="81"/>
        <v>221</v>
      </c>
      <c r="Q891">
        <f t="shared" si="82"/>
        <v>2</v>
      </c>
      <c r="R891">
        <f t="shared" si="83"/>
        <v>2</v>
      </c>
    </row>
    <row r="892" spans="1:18" x14ac:dyDescent="0.25">
      <c r="A892">
        <f>Raw_data!A892</f>
        <v>891</v>
      </c>
      <c r="B892" t="str">
        <f>Raw_data!B892</f>
        <v>C7359</v>
      </c>
      <c r="C892" t="str">
        <f>Raw_data!C892</f>
        <v>R2903</v>
      </c>
      <c r="D892" s="3">
        <f>Raw_data!D892</f>
        <v>45319.949097222219</v>
      </c>
      <c r="E892" s="3">
        <f>Raw_data!E892</f>
        <v>45319.987291666665</v>
      </c>
      <c r="F892" s="4">
        <f t="shared" si="78"/>
        <v>3.8194444445252884E-2</v>
      </c>
      <c r="G892" s="6">
        <f>Raw_data!F892</f>
        <v>531</v>
      </c>
      <c r="H892" s="6">
        <f>Raw_data!G892</f>
        <v>30</v>
      </c>
      <c r="I892" t="str">
        <f>Raw_data!H892</f>
        <v>Credit Card</v>
      </c>
      <c r="J892" s="7" t="str">
        <f>IF(Raw_data!I892=0.1,"10%",Raw_data!I892)</f>
        <v>50 off Promo</v>
      </c>
      <c r="K892" s="6">
        <f>Raw_data!J892</f>
        <v>68</v>
      </c>
      <c r="L892" s="6">
        <f>Raw_data!K892</f>
        <v>49</v>
      </c>
      <c r="M892" s="6">
        <f>Raw_data!L892</f>
        <v>0</v>
      </c>
      <c r="N892" s="6">
        <f t="shared" si="79"/>
        <v>414</v>
      </c>
      <c r="O892" s="6">
        <f t="shared" si="80"/>
        <v>117</v>
      </c>
      <c r="P892" s="6">
        <f t="shared" si="81"/>
        <v>561</v>
      </c>
      <c r="Q892">
        <f t="shared" si="82"/>
        <v>1</v>
      </c>
      <c r="R892">
        <f t="shared" si="83"/>
        <v>1</v>
      </c>
    </row>
    <row r="893" spans="1:18" x14ac:dyDescent="0.25">
      <c r="A893">
        <f>Raw_data!A893</f>
        <v>892</v>
      </c>
      <c r="B893" t="str">
        <f>Raw_data!B893</f>
        <v>C8863</v>
      </c>
      <c r="C893" t="str">
        <f>Raw_data!C893</f>
        <v>R2732</v>
      </c>
      <c r="D893" s="3">
        <f>Raw_data!D893</f>
        <v>45297.12767361111</v>
      </c>
      <c r="E893" s="3">
        <f>Raw_data!E893</f>
        <v>45297.186006944445</v>
      </c>
      <c r="F893" s="4">
        <f t="shared" si="78"/>
        <v>5.8333333334303461E-2</v>
      </c>
      <c r="G893" s="6">
        <f>Raw_data!F893</f>
        <v>143</v>
      </c>
      <c r="H893" s="6">
        <f>Raw_data!G893</f>
        <v>20</v>
      </c>
      <c r="I893" t="str">
        <f>Raw_data!H893</f>
        <v>Credit Card</v>
      </c>
      <c r="J893" s="7" t="str">
        <f>IF(Raw_data!I893=0.1,"10%",Raw_data!I893)</f>
        <v>10%</v>
      </c>
      <c r="K893" s="6">
        <f>Raw_data!J893</f>
        <v>185</v>
      </c>
      <c r="L893" s="6">
        <f>Raw_data!K893</f>
        <v>12</v>
      </c>
      <c r="M893" s="6">
        <f>Raw_data!L893</f>
        <v>150</v>
      </c>
      <c r="N893" s="6">
        <f t="shared" si="79"/>
        <v>-54</v>
      </c>
      <c r="O893" s="6">
        <f t="shared" si="80"/>
        <v>47</v>
      </c>
      <c r="P893" s="6">
        <f t="shared" si="81"/>
        <v>163</v>
      </c>
      <c r="Q893">
        <f t="shared" si="82"/>
        <v>1</v>
      </c>
      <c r="R893">
        <f t="shared" si="83"/>
        <v>1</v>
      </c>
    </row>
    <row r="894" spans="1:18" x14ac:dyDescent="0.25">
      <c r="A894">
        <f>Raw_data!A894</f>
        <v>893</v>
      </c>
      <c r="B894" t="str">
        <f>Raw_data!B894</f>
        <v>C4228</v>
      </c>
      <c r="C894" t="str">
        <f>Raw_data!C894</f>
        <v>R2630</v>
      </c>
      <c r="D894" s="3">
        <f>Raw_data!D894</f>
        <v>45304.623472222222</v>
      </c>
      <c r="E894" s="3">
        <f>Raw_data!E894</f>
        <v>45304.676944444444</v>
      </c>
      <c r="F894" s="4">
        <f t="shared" si="78"/>
        <v>5.3472222221898846E-2</v>
      </c>
      <c r="G894" s="6">
        <f>Raw_data!F894</f>
        <v>1995</v>
      </c>
      <c r="H894" s="6">
        <f>Raw_data!G894</f>
        <v>30</v>
      </c>
      <c r="I894" t="str">
        <f>Raw_data!H894</f>
        <v>Cash on Delivery</v>
      </c>
      <c r="J894" s="7" t="str">
        <f>IF(Raw_data!I894=0.1,"10%",Raw_data!I894)</f>
        <v>15% New User</v>
      </c>
      <c r="K894" s="6">
        <f>Raw_data!J894</f>
        <v>52</v>
      </c>
      <c r="L894" s="6">
        <f>Raw_data!K894</f>
        <v>12</v>
      </c>
      <c r="M894" s="6">
        <f>Raw_data!L894</f>
        <v>100</v>
      </c>
      <c r="N894" s="6">
        <f t="shared" si="79"/>
        <v>1931</v>
      </c>
      <c r="O894" s="6">
        <f t="shared" si="80"/>
        <v>-36</v>
      </c>
      <c r="P894" s="6">
        <f t="shared" si="81"/>
        <v>2025</v>
      </c>
      <c r="Q894">
        <f t="shared" si="82"/>
        <v>1</v>
      </c>
      <c r="R894">
        <f t="shared" si="83"/>
        <v>1</v>
      </c>
    </row>
    <row r="895" spans="1:18" x14ac:dyDescent="0.25">
      <c r="A895">
        <f>Raw_data!A895</f>
        <v>894</v>
      </c>
      <c r="B895" t="str">
        <f>Raw_data!B895</f>
        <v>C4719</v>
      </c>
      <c r="C895" t="str">
        <f>Raw_data!C895</f>
        <v>R2308</v>
      </c>
      <c r="D895" s="3">
        <f>Raw_data!D895</f>
        <v>45327.656631944446</v>
      </c>
      <c r="E895" s="3">
        <f>Raw_data!E895</f>
        <v>45327.696909722225</v>
      </c>
      <c r="F895" s="4">
        <f t="shared" si="78"/>
        <v>4.0277777778101154E-2</v>
      </c>
      <c r="G895" s="6">
        <f>Raw_data!F895</f>
        <v>1440</v>
      </c>
      <c r="H895" s="6">
        <f>Raw_data!G895</f>
        <v>20</v>
      </c>
      <c r="I895" t="str">
        <f>Raw_data!H895</f>
        <v>Digital Wallet</v>
      </c>
      <c r="J895" s="7" t="str">
        <f>IF(Raw_data!I895=0.1,"10%",Raw_data!I895)</f>
        <v>5% on App</v>
      </c>
      <c r="K895" s="6">
        <f>Raw_data!J895</f>
        <v>135</v>
      </c>
      <c r="L895" s="6">
        <f>Raw_data!K895</f>
        <v>16</v>
      </c>
      <c r="M895" s="6">
        <f>Raw_data!L895</f>
        <v>0</v>
      </c>
      <c r="N895" s="6">
        <f t="shared" si="79"/>
        <v>1289</v>
      </c>
      <c r="O895" s="6">
        <f t="shared" si="80"/>
        <v>151</v>
      </c>
      <c r="P895" s="6">
        <f t="shared" si="81"/>
        <v>1460</v>
      </c>
      <c r="Q895">
        <f t="shared" si="82"/>
        <v>2</v>
      </c>
      <c r="R895">
        <f t="shared" si="83"/>
        <v>2</v>
      </c>
    </row>
    <row r="896" spans="1:18" x14ac:dyDescent="0.25">
      <c r="A896">
        <f>Raw_data!A896</f>
        <v>895</v>
      </c>
      <c r="B896" t="str">
        <f>Raw_data!B896</f>
        <v>C3371</v>
      </c>
      <c r="C896" t="str">
        <f>Raw_data!C896</f>
        <v>R2694</v>
      </c>
      <c r="D896" s="3">
        <f>Raw_data!D896</f>
        <v>45318.042141203703</v>
      </c>
      <c r="E896" s="3">
        <f>Raw_data!E896</f>
        <v>45318.081030092595</v>
      </c>
      <c r="F896" s="4">
        <f t="shared" si="78"/>
        <v>3.888888889196096E-2</v>
      </c>
      <c r="G896" s="6">
        <f>Raw_data!F896</f>
        <v>480</v>
      </c>
      <c r="H896" s="6">
        <f>Raw_data!G896</f>
        <v>40</v>
      </c>
      <c r="I896" t="str">
        <f>Raw_data!H896</f>
        <v>Cash on Delivery</v>
      </c>
      <c r="J896" s="7" t="str">
        <f>IF(Raw_data!I896=0.1,"10%",Raw_data!I896)</f>
        <v>None</v>
      </c>
      <c r="K896" s="6">
        <f>Raw_data!J896</f>
        <v>194</v>
      </c>
      <c r="L896" s="6">
        <f>Raw_data!K896</f>
        <v>45</v>
      </c>
      <c r="M896" s="6">
        <f>Raw_data!L896</f>
        <v>0</v>
      </c>
      <c r="N896" s="6">
        <f t="shared" si="79"/>
        <v>241</v>
      </c>
      <c r="O896" s="6">
        <f t="shared" si="80"/>
        <v>239</v>
      </c>
      <c r="P896" s="6">
        <f t="shared" si="81"/>
        <v>520</v>
      </c>
      <c r="Q896">
        <f t="shared" si="82"/>
        <v>1</v>
      </c>
      <c r="R896">
        <f t="shared" si="83"/>
        <v>1</v>
      </c>
    </row>
    <row r="897" spans="1:18" x14ac:dyDescent="0.25">
      <c r="A897">
        <f>Raw_data!A897</f>
        <v>896</v>
      </c>
      <c r="B897" t="str">
        <f>Raw_data!B897</f>
        <v>C3891</v>
      </c>
      <c r="C897" t="str">
        <f>Raw_data!C897</f>
        <v>R2287</v>
      </c>
      <c r="D897" s="3">
        <f>Raw_data!D897</f>
        <v>45324.295983796299</v>
      </c>
      <c r="E897" s="3">
        <f>Raw_data!E897</f>
        <v>45324.328622685185</v>
      </c>
      <c r="F897" s="4">
        <f t="shared" si="78"/>
        <v>3.2638888886140194E-2</v>
      </c>
      <c r="G897" s="6">
        <f>Raw_data!F897</f>
        <v>244</v>
      </c>
      <c r="H897" s="6">
        <f>Raw_data!G897</f>
        <v>30</v>
      </c>
      <c r="I897" t="str">
        <f>Raw_data!H897</f>
        <v>Credit Card</v>
      </c>
      <c r="J897" s="7" t="str">
        <f>IF(Raw_data!I897=0.1,"10%",Raw_data!I897)</f>
        <v>None</v>
      </c>
      <c r="K897" s="6">
        <f>Raw_data!J897</f>
        <v>191</v>
      </c>
      <c r="L897" s="6">
        <f>Raw_data!K897</f>
        <v>44</v>
      </c>
      <c r="M897" s="6">
        <f>Raw_data!L897</f>
        <v>150</v>
      </c>
      <c r="N897" s="6">
        <f t="shared" si="79"/>
        <v>9</v>
      </c>
      <c r="O897" s="6">
        <f t="shared" si="80"/>
        <v>85</v>
      </c>
      <c r="P897" s="6">
        <f t="shared" si="81"/>
        <v>274</v>
      </c>
      <c r="Q897">
        <f t="shared" si="82"/>
        <v>1</v>
      </c>
      <c r="R897">
        <f t="shared" si="83"/>
        <v>3</v>
      </c>
    </row>
    <row r="898" spans="1:18" x14ac:dyDescent="0.25">
      <c r="A898">
        <f>Raw_data!A898</f>
        <v>897</v>
      </c>
      <c r="B898" t="str">
        <f>Raw_data!B898</f>
        <v>C4756</v>
      </c>
      <c r="C898" t="str">
        <f>Raw_data!C898</f>
        <v>R2306</v>
      </c>
      <c r="D898" s="3">
        <f>Raw_data!D898</f>
        <v>45318.298125000001</v>
      </c>
      <c r="E898" s="3">
        <f>Raw_data!E898</f>
        <v>45318.359930555554</v>
      </c>
      <c r="F898" s="4">
        <f t="shared" si="78"/>
        <v>6.1805555553291924E-2</v>
      </c>
      <c r="G898" s="6">
        <f>Raw_data!F898</f>
        <v>1450</v>
      </c>
      <c r="H898" s="6">
        <f>Raw_data!G898</f>
        <v>30</v>
      </c>
      <c r="I898" t="str">
        <f>Raw_data!H898</f>
        <v>Credit Card</v>
      </c>
      <c r="J898" s="7" t="str">
        <f>IF(Raw_data!I898=0.1,"10%",Raw_data!I898)</f>
        <v>15% New User</v>
      </c>
      <c r="K898" s="6">
        <f>Raw_data!J898</f>
        <v>58</v>
      </c>
      <c r="L898" s="6">
        <f>Raw_data!K898</f>
        <v>24</v>
      </c>
      <c r="M898" s="6">
        <f>Raw_data!L898</f>
        <v>50</v>
      </c>
      <c r="N898" s="6">
        <f t="shared" si="79"/>
        <v>1368</v>
      </c>
      <c r="O898" s="6">
        <f t="shared" si="80"/>
        <v>32</v>
      </c>
      <c r="P898" s="6">
        <f t="shared" si="81"/>
        <v>1480</v>
      </c>
      <c r="Q898">
        <f t="shared" si="82"/>
        <v>1</v>
      </c>
      <c r="R898">
        <f t="shared" si="83"/>
        <v>1</v>
      </c>
    </row>
    <row r="899" spans="1:18" x14ac:dyDescent="0.25">
      <c r="A899">
        <f>Raw_data!A899</f>
        <v>898</v>
      </c>
      <c r="B899" t="str">
        <f>Raw_data!B899</f>
        <v>C5225</v>
      </c>
      <c r="C899" t="str">
        <f>Raw_data!C899</f>
        <v>R2811</v>
      </c>
      <c r="D899" s="3">
        <f>Raw_data!D899</f>
        <v>45325.181469907409</v>
      </c>
      <c r="E899" s="3">
        <f>Raw_data!E899</f>
        <v>45325.252997685187</v>
      </c>
      <c r="F899" s="4">
        <f t="shared" ref="F899:F962" si="84">E899-D899</f>
        <v>7.1527777778101154E-2</v>
      </c>
      <c r="G899" s="6">
        <f>Raw_data!F899</f>
        <v>462</v>
      </c>
      <c r="H899" s="6">
        <f>Raw_data!G899</f>
        <v>50</v>
      </c>
      <c r="I899" t="str">
        <f>Raw_data!H899</f>
        <v>Digital Wallet</v>
      </c>
      <c r="J899" s="7" t="str">
        <f>IF(Raw_data!I899=0.1,"10%",Raw_data!I899)</f>
        <v>5% on App</v>
      </c>
      <c r="K899" s="6">
        <f>Raw_data!J899</f>
        <v>143</v>
      </c>
      <c r="L899" s="6">
        <f>Raw_data!K899</f>
        <v>49</v>
      </c>
      <c r="M899" s="6">
        <f>Raw_data!L899</f>
        <v>0</v>
      </c>
      <c r="N899" s="6">
        <f t="shared" ref="N899:N962" si="85">G899-K899-L899</f>
        <v>270</v>
      </c>
      <c r="O899" s="6">
        <f t="shared" ref="O899:O962" si="86">K899+L899-M899</f>
        <v>192</v>
      </c>
      <c r="P899" s="6">
        <f t="shared" ref="P899:P962" si="87">G899+H899</f>
        <v>512</v>
      </c>
      <c r="Q899">
        <f t="shared" ref="Q899:Q962" si="88">COUNTIF(B$2:B$1001,B899)</f>
        <v>1</v>
      </c>
      <c r="R899">
        <f t="shared" ref="R899:R962" si="89">COUNTIF(C$2:C$1001,C899)</f>
        <v>1</v>
      </c>
    </row>
    <row r="900" spans="1:18" x14ac:dyDescent="0.25">
      <c r="A900">
        <f>Raw_data!A900</f>
        <v>899</v>
      </c>
      <c r="B900" t="str">
        <f>Raw_data!B900</f>
        <v>C1094</v>
      </c>
      <c r="C900" t="str">
        <f>Raw_data!C900</f>
        <v>R2593</v>
      </c>
      <c r="D900" s="3">
        <f>Raw_data!D900</f>
        <v>45329.077581018515</v>
      </c>
      <c r="E900" s="3">
        <f>Raw_data!E900</f>
        <v>45329.145636574074</v>
      </c>
      <c r="F900" s="4">
        <f t="shared" si="84"/>
        <v>6.805555555911269E-2</v>
      </c>
      <c r="G900" s="6">
        <f>Raw_data!F900</f>
        <v>1173</v>
      </c>
      <c r="H900" s="6">
        <f>Raw_data!G900</f>
        <v>30</v>
      </c>
      <c r="I900" t="str">
        <f>Raw_data!H900</f>
        <v>Credit Card</v>
      </c>
      <c r="J900" s="7" t="str">
        <f>IF(Raw_data!I900=0.1,"10%",Raw_data!I900)</f>
        <v>None</v>
      </c>
      <c r="K900" s="6">
        <f>Raw_data!J900</f>
        <v>198</v>
      </c>
      <c r="L900" s="6">
        <f>Raw_data!K900</f>
        <v>12</v>
      </c>
      <c r="M900" s="6">
        <f>Raw_data!L900</f>
        <v>0</v>
      </c>
      <c r="N900" s="6">
        <f t="shared" si="85"/>
        <v>963</v>
      </c>
      <c r="O900" s="6">
        <f t="shared" si="86"/>
        <v>210</v>
      </c>
      <c r="P900" s="6">
        <f t="shared" si="87"/>
        <v>1203</v>
      </c>
      <c r="Q900">
        <f t="shared" si="88"/>
        <v>1</v>
      </c>
      <c r="R900">
        <f t="shared" si="89"/>
        <v>2</v>
      </c>
    </row>
    <row r="901" spans="1:18" x14ac:dyDescent="0.25">
      <c r="A901">
        <f>Raw_data!A901</f>
        <v>900</v>
      </c>
      <c r="B901" t="str">
        <f>Raw_data!B901</f>
        <v>C3674</v>
      </c>
      <c r="C901" t="str">
        <f>Raw_data!C901</f>
        <v>R2965</v>
      </c>
      <c r="D901" s="3">
        <f>Raw_data!D901</f>
        <v>45312.665694444448</v>
      </c>
      <c r="E901" s="3">
        <f>Raw_data!E901</f>
        <v>45312.737222222226</v>
      </c>
      <c r="F901" s="4">
        <f t="shared" si="84"/>
        <v>7.1527777778101154E-2</v>
      </c>
      <c r="G901" s="6">
        <f>Raw_data!F901</f>
        <v>1188</v>
      </c>
      <c r="H901" s="6">
        <f>Raw_data!G901</f>
        <v>20</v>
      </c>
      <c r="I901" t="str">
        <f>Raw_data!H901</f>
        <v>Credit Card</v>
      </c>
      <c r="J901" s="7" t="str">
        <f>IF(Raw_data!I901=0.1,"10%",Raw_data!I901)</f>
        <v>10%</v>
      </c>
      <c r="K901" s="6">
        <f>Raw_data!J901</f>
        <v>188</v>
      </c>
      <c r="L901" s="6">
        <f>Raw_data!K901</f>
        <v>38</v>
      </c>
      <c r="M901" s="6">
        <f>Raw_data!L901</f>
        <v>0</v>
      </c>
      <c r="N901" s="6">
        <f t="shared" si="85"/>
        <v>962</v>
      </c>
      <c r="O901" s="6">
        <f t="shared" si="86"/>
        <v>226</v>
      </c>
      <c r="P901" s="6">
        <f t="shared" si="87"/>
        <v>1208</v>
      </c>
      <c r="Q901">
        <f t="shared" si="88"/>
        <v>1</v>
      </c>
      <c r="R901">
        <f t="shared" si="89"/>
        <v>1</v>
      </c>
    </row>
    <row r="902" spans="1:18" x14ac:dyDescent="0.25">
      <c r="A902">
        <f>Raw_data!A902</f>
        <v>901</v>
      </c>
      <c r="B902" t="str">
        <f>Raw_data!B902</f>
        <v>C7898</v>
      </c>
      <c r="C902" t="str">
        <f>Raw_data!C902</f>
        <v>R2913</v>
      </c>
      <c r="D902" s="3">
        <f>Raw_data!D902</f>
        <v>45307.233668981484</v>
      </c>
      <c r="E902" s="3">
        <f>Raw_data!E902</f>
        <v>45307.268391203703</v>
      </c>
      <c r="F902" s="4">
        <f t="shared" si="84"/>
        <v>3.4722222218988463E-2</v>
      </c>
      <c r="G902" s="6">
        <f>Raw_data!F902</f>
        <v>454</v>
      </c>
      <c r="H902" s="6">
        <f>Raw_data!G902</f>
        <v>50</v>
      </c>
      <c r="I902" t="str">
        <f>Raw_data!H902</f>
        <v>Credit Card</v>
      </c>
      <c r="J902" s="7" t="str">
        <f>IF(Raw_data!I902=0.1,"10%",Raw_data!I902)</f>
        <v>None</v>
      </c>
      <c r="K902" s="6">
        <f>Raw_data!J902</f>
        <v>69</v>
      </c>
      <c r="L902" s="6">
        <f>Raw_data!K902</f>
        <v>39</v>
      </c>
      <c r="M902" s="6">
        <f>Raw_data!L902</f>
        <v>100</v>
      </c>
      <c r="N902" s="6">
        <f t="shared" si="85"/>
        <v>346</v>
      </c>
      <c r="O902" s="6">
        <f t="shared" si="86"/>
        <v>8</v>
      </c>
      <c r="P902" s="6">
        <f t="shared" si="87"/>
        <v>504</v>
      </c>
      <c r="Q902">
        <f t="shared" si="88"/>
        <v>1</v>
      </c>
      <c r="R902">
        <f t="shared" si="89"/>
        <v>2</v>
      </c>
    </row>
    <row r="903" spans="1:18" x14ac:dyDescent="0.25">
      <c r="A903">
        <f>Raw_data!A903</f>
        <v>902</v>
      </c>
      <c r="B903" t="str">
        <f>Raw_data!B903</f>
        <v>C1793</v>
      </c>
      <c r="C903" t="str">
        <f>Raw_data!C903</f>
        <v>R2722</v>
      </c>
      <c r="D903" s="3">
        <f>Raw_data!D903</f>
        <v>45295.368032407408</v>
      </c>
      <c r="E903" s="3">
        <f>Raw_data!E903</f>
        <v>45295.40483796296</v>
      </c>
      <c r="F903" s="4">
        <f t="shared" si="84"/>
        <v>3.6805555551836733E-2</v>
      </c>
      <c r="G903" s="6">
        <f>Raw_data!F903</f>
        <v>899</v>
      </c>
      <c r="H903" s="6">
        <f>Raw_data!G903</f>
        <v>30</v>
      </c>
      <c r="I903" t="str">
        <f>Raw_data!H903</f>
        <v>Digital Wallet</v>
      </c>
      <c r="J903" s="7" t="str">
        <f>IF(Raw_data!I903=0.1,"10%",Raw_data!I903)</f>
        <v>5% on App</v>
      </c>
      <c r="K903" s="6">
        <f>Raw_data!J903</f>
        <v>84</v>
      </c>
      <c r="L903" s="6">
        <f>Raw_data!K903</f>
        <v>48</v>
      </c>
      <c r="M903" s="6">
        <f>Raw_data!L903</f>
        <v>0</v>
      </c>
      <c r="N903" s="6">
        <f t="shared" si="85"/>
        <v>767</v>
      </c>
      <c r="O903" s="6">
        <f t="shared" si="86"/>
        <v>132</v>
      </c>
      <c r="P903" s="6">
        <f t="shared" si="87"/>
        <v>929</v>
      </c>
      <c r="Q903">
        <f t="shared" si="88"/>
        <v>1</v>
      </c>
      <c r="R903">
        <f t="shared" si="89"/>
        <v>1</v>
      </c>
    </row>
    <row r="904" spans="1:18" x14ac:dyDescent="0.25">
      <c r="A904">
        <f>Raw_data!A904</f>
        <v>903</v>
      </c>
      <c r="B904" t="str">
        <f>Raw_data!B904</f>
        <v>C3116</v>
      </c>
      <c r="C904" t="str">
        <f>Raw_data!C904</f>
        <v>R2661</v>
      </c>
      <c r="D904" s="3">
        <f>Raw_data!D904</f>
        <v>45299.657592592594</v>
      </c>
      <c r="E904" s="3">
        <f>Raw_data!E904</f>
        <v>45299.679814814815</v>
      </c>
      <c r="F904" s="4">
        <f t="shared" si="84"/>
        <v>2.2222222221898846E-2</v>
      </c>
      <c r="G904" s="6">
        <f>Raw_data!F904</f>
        <v>1287</v>
      </c>
      <c r="H904" s="6">
        <f>Raw_data!G904</f>
        <v>30</v>
      </c>
      <c r="I904" t="str">
        <f>Raw_data!H904</f>
        <v>Cash on Delivery</v>
      </c>
      <c r="J904" s="7" t="str">
        <f>IF(Raw_data!I904=0.1,"10%",Raw_data!I904)</f>
        <v>50 off Promo</v>
      </c>
      <c r="K904" s="6">
        <f>Raw_data!J904</f>
        <v>102</v>
      </c>
      <c r="L904" s="6">
        <f>Raw_data!K904</f>
        <v>27</v>
      </c>
      <c r="M904" s="6">
        <f>Raw_data!L904</f>
        <v>150</v>
      </c>
      <c r="N904" s="6">
        <f t="shared" si="85"/>
        <v>1158</v>
      </c>
      <c r="O904" s="6">
        <f t="shared" si="86"/>
        <v>-21</v>
      </c>
      <c r="P904" s="6">
        <f t="shared" si="87"/>
        <v>1317</v>
      </c>
      <c r="Q904">
        <f t="shared" si="88"/>
        <v>1</v>
      </c>
      <c r="R904">
        <f t="shared" si="89"/>
        <v>1</v>
      </c>
    </row>
    <row r="905" spans="1:18" x14ac:dyDescent="0.25">
      <c r="A905">
        <f>Raw_data!A905</f>
        <v>904</v>
      </c>
      <c r="B905" t="str">
        <f>Raw_data!B905</f>
        <v>C6779</v>
      </c>
      <c r="C905" t="str">
        <f>Raw_data!C905</f>
        <v>R2548</v>
      </c>
      <c r="D905" s="3">
        <f>Raw_data!D905</f>
        <v>45313.15766203704</v>
      </c>
      <c r="E905" s="3">
        <f>Raw_data!E905</f>
        <v>45313.220856481479</v>
      </c>
      <c r="F905" s="4">
        <f t="shared" si="84"/>
        <v>6.3194444439432118E-2</v>
      </c>
      <c r="G905" s="6">
        <f>Raw_data!F905</f>
        <v>1264</v>
      </c>
      <c r="H905" s="6">
        <f>Raw_data!G905</f>
        <v>40</v>
      </c>
      <c r="I905" t="str">
        <f>Raw_data!H905</f>
        <v>Credit Card</v>
      </c>
      <c r="J905" s="7" t="str">
        <f>IF(Raw_data!I905=0.1,"10%",Raw_data!I905)</f>
        <v>50 off Promo</v>
      </c>
      <c r="K905" s="6">
        <f>Raw_data!J905</f>
        <v>159</v>
      </c>
      <c r="L905" s="6">
        <f>Raw_data!K905</f>
        <v>20</v>
      </c>
      <c r="M905" s="6">
        <f>Raw_data!L905</f>
        <v>100</v>
      </c>
      <c r="N905" s="6">
        <f t="shared" si="85"/>
        <v>1085</v>
      </c>
      <c r="O905" s="6">
        <f t="shared" si="86"/>
        <v>79</v>
      </c>
      <c r="P905" s="6">
        <f t="shared" si="87"/>
        <v>1304</v>
      </c>
      <c r="Q905">
        <f t="shared" si="88"/>
        <v>1</v>
      </c>
      <c r="R905">
        <f t="shared" si="89"/>
        <v>1</v>
      </c>
    </row>
    <row r="906" spans="1:18" x14ac:dyDescent="0.25">
      <c r="A906">
        <f>Raw_data!A906</f>
        <v>905</v>
      </c>
      <c r="B906" t="str">
        <f>Raw_data!B906</f>
        <v>C7166</v>
      </c>
      <c r="C906" t="str">
        <f>Raw_data!C906</f>
        <v>R2351</v>
      </c>
      <c r="D906" s="3">
        <f>Raw_data!D906</f>
        <v>45317.155185185184</v>
      </c>
      <c r="E906" s="3">
        <f>Raw_data!E906</f>
        <v>45317.176712962966</v>
      </c>
      <c r="F906" s="4">
        <f t="shared" si="84"/>
        <v>2.1527777782466728E-2</v>
      </c>
      <c r="G906" s="6">
        <f>Raw_data!F906</f>
        <v>925</v>
      </c>
      <c r="H906" s="6">
        <f>Raw_data!G906</f>
        <v>30</v>
      </c>
      <c r="I906" t="str">
        <f>Raw_data!H906</f>
        <v>Digital Wallet</v>
      </c>
      <c r="J906" s="7" t="str">
        <f>IF(Raw_data!I906=0.1,"10%",Raw_data!I906)</f>
        <v>15% New User</v>
      </c>
      <c r="K906" s="6">
        <f>Raw_data!J906</f>
        <v>185</v>
      </c>
      <c r="L906" s="6">
        <f>Raw_data!K906</f>
        <v>47</v>
      </c>
      <c r="M906" s="6">
        <f>Raw_data!L906</f>
        <v>0</v>
      </c>
      <c r="N906" s="6">
        <f t="shared" si="85"/>
        <v>693</v>
      </c>
      <c r="O906" s="6">
        <f t="shared" si="86"/>
        <v>232</v>
      </c>
      <c r="P906" s="6">
        <f t="shared" si="87"/>
        <v>955</v>
      </c>
      <c r="Q906">
        <f t="shared" si="88"/>
        <v>1</v>
      </c>
      <c r="R906">
        <f t="shared" si="89"/>
        <v>1</v>
      </c>
    </row>
    <row r="907" spans="1:18" x14ac:dyDescent="0.25">
      <c r="A907">
        <f>Raw_data!A907</f>
        <v>906</v>
      </c>
      <c r="B907" t="str">
        <f>Raw_data!B907</f>
        <v>C1814</v>
      </c>
      <c r="C907" t="str">
        <f>Raw_data!C907</f>
        <v>R2311</v>
      </c>
      <c r="D907" s="3">
        <f>Raw_data!D907</f>
        <v>45327.284641203703</v>
      </c>
      <c r="E907" s="3">
        <f>Raw_data!E907</f>
        <v>45327.350613425922</v>
      </c>
      <c r="F907" s="4">
        <f t="shared" si="84"/>
        <v>6.5972222218988463E-2</v>
      </c>
      <c r="G907" s="6">
        <f>Raw_data!F907</f>
        <v>1251</v>
      </c>
      <c r="H907" s="6">
        <f>Raw_data!G907</f>
        <v>0</v>
      </c>
      <c r="I907" t="str">
        <f>Raw_data!H907</f>
        <v>Credit Card</v>
      </c>
      <c r="J907" s="7" t="str">
        <f>IF(Raw_data!I907=0.1,"10%",Raw_data!I907)</f>
        <v>5% on App</v>
      </c>
      <c r="K907" s="6">
        <f>Raw_data!J907</f>
        <v>53</v>
      </c>
      <c r="L907" s="6">
        <f>Raw_data!K907</f>
        <v>49</v>
      </c>
      <c r="M907" s="6">
        <f>Raw_data!L907</f>
        <v>0</v>
      </c>
      <c r="N907" s="6">
        <f t="shared" si="85"/>
        <v>1149</v>
      </c>
      <c r="O907" s="6">
        <f t="shared" si="86"/>
        <v>102</v>
      </c>
      <c r="P907" s="6">
        <f t="shared" si="87"/>
        <v>1251</v>
      </c>
      <c r="Q907">
        <f t="shared" si="88"/>
        <v>1</v>
      </c>
      <c r="R907">
        <f t="shared" si="89"/>
        <v>2</v>
      </c>
    </row>
    <row r="908" spans="1:18" x14ac:dyDescent="0.25">
      <c r="A908">
        <f>Raw_data!A908</f>
        <v>907</v>
      </c>
      <c r="B908" t="str">
        <f>Raw_data!B908</f>
        <v>C1345</v>
      </c>
      <c r="C908" t="str">
        <f>Raw_data!C908</f>
        <v>R2872</v>
      </c>
      <c r="D908" s="3">
        <f>Raw_data!D908</f>
        <v>45308.317754629628</v>
      </c>
      <c r="E908" s="3">
        <f>Raw_data!E908</f>
        <v>45308.367060185185</v>
      </c>
      <c r="F908" s="4">
        <f t="shared" si="84"/>
        <v>4.9305555556202307E-2</v>
      </c>
      <c r="G908" s="6">
        <f>Raw_data!F908</f>
        <v>497</v>
      </c>
      <c r="H908" s="6">
        <f>Raw_data!G908</f>
        <v>50</v>
      </c>
      <c r="I908" t="str">
        <f>Raw_data!H908</f>
        <v>Digital Wallet</v>
      </c>
      <c r="J908" s="7" t="str">
        <f>IF(Raw_data!I908=0.1,"10%",Raw_data!I908)</f>
        <v>None</v>
      </c>
      <c r="K908" s="6">
        <f>Raw_data!J908</f>
        <v>151</v>
      </c>
      <c r="L908" s="6">
        <f>Raw_data!K908</f>
        <v>10</v>
      </c>
      <c r="M908" s="6">
        <f>Raw_data!L908</f>
        <v>0</v>
      </c>
      <c r="N908" s="6">
        <f t="shared" si="85"/>
        <v>336</v>
      </c>
      <c r="O908" s="6">
        <f t="shared" si="86"/>
        <v>161</v>
      </c>
      <c r="P908" s="6">
        <f t="shared" si="87"/>
        <v>547</v>
      </c>
      <c r="Q908">
        <f t="shared" si="88"/>
        <v>1</v>
      </c>
      <c r="R908">
        <f t="shared" si="89"/>
        <v>1</v>
      </c>
    </row>
    <row r="909" spans="1:18" x14ac:dyDescent="0.25">
      <c r="A909">
        <f>Raw_data!A909</f>
        <v>908</v>
      </c>
      <c r="B909" t="str">
        <f>Raw_data!B909</f>
        <v>C9554</v>
      </c>
      <c r="C909" t="str">
        <f>Raw_data!C909</f>
        <v>R2058</v>
      </c>
      <c r="D909" s="3">
        <f>Raw_data!D909</f>
        <v>45294.099074074074</v>
      </c>
      <c r="E909" s="3">
        <f>Raw_data!E909</f>
        <v>45294.142824074072</v>
      </c>
      <c r="F909" s="4">
        <f t="shared" si="84"/>
        <v>4.3749999997089617E-2</v>
      </c>
      <c r="G909" s="6">
        <f>Raw_data!F909</f>
        <v>979</v>
      </c>
      <c r="H909" s="6">
        <f>Raw_data!G909</f>
        <v>0</v>
      </c>
      <c r="I909" t="str">
        <f>Raw_data!H909</f>
        <v>Credit Card</v>
      </c>
      <c r="J909" s="7" t="str">
        <f>IF(Raw_data!I909=0.1,"10%",Raw_data!I909)</f>
        <v>None</v>
      </c>
      <c r="K909" s="6">
        <f>Raw_data!J909</f>
        <v>96</v>
      </c>
      <c r="L909" s="6">
        <f>Raw_data!K909</f>
        <v>38</v>
      </c>
      <c r="M909" s="6">
        <f>Raw_data!L909</f>
        <v>150</v>
      </c>
      <c r="N909" s="6">
        <f t="shared" si="85"/>
        <v>845</v>
      </c>
      <c r="O909" s="6">
        <f t="shared" si="86"/>
        <v>-16</v>
      </c>
      <c r="P909" s="6">
        <f t="shared" si="87"/>
        <v>979</v>
      </c>
      <c r="Q909">
        <f t="shared" si="88"/>
        <v>1</v>
      </c>
      <c r="R909">
        <f t="shared" si="89"/>
        <v>2</v>
      </c>
    </row>
    <row r="910" spans="1:18" x14ac:dyDescent="0.25">
      <c r="A910">
        <f>Raw_data!A910</f>
        <v>909</v>
      </c>
      <c r="B910" t="str">
        <f>Raw_data!B910</f>
        <v>C3443</v>
      </c>
      <c r="C910" t="str">
        <f>Raw_data!C910</f>
        <v>R2642</v>
      </c>
      <c r="D910" s="3">
        <f>Raw_data!D910</f>
        <v>45320.28733796296</v>
      </c>
      <c r="E910" s="3">
        <f>Raw_data!E910</f>
        <v>45320.336643518516</v>
      </c>
      <c r="F910" s="4">
        <f t="shared" si="84"/>
        <v>4.9305555556202307E-2</v>
      </c>
      <c r="G910" s="6">
        <f>Raw_data!F910</f>
        <v>562</v>
      </c>
      <c r="H910" s="6">
        <f>Raw_data!G910</f>
        <v>50</v>
      </c>
      <c r="I910" t="str">
        <f>Raw_data!H910</f>
        <v>Digital Wallet</v>
      </c>
      <c r="J910" s="7" t="str">
        <f>IF(Raw_data!I910=0.1,"10%",Raw_data!I910)</f>
        <v>50 off Promo</v>
      </c>
      <c r="K910" s="6">
        <f>Raw_data!J910</f>
        <v>143</v>
      </c>
      <c r="L910" s="6">
        <f>Raw_data!K910</f>
        <v>19</v>
      </c>
      <c r="M910" s="6">
        <f>Raw_data!L910</f>
        <v>0</v>
      </c>
      <c r="N910" s="6">
        <f t="shared" si="85"/>
        <v>400</v>
      </c>
      <c r="O910" s="6">
        <f t="shared" si="86"/>
        <v>162</v>
      </c>
      <c r="P910" s="6">
        <f t="shared" si="87"/>
        <v>612</v>
      </c>
      <c r="Q910">
        <f t="shared" si="88"/>
        <v>1</v>
      </c>
      <c r="R910">
        <f t="shared" si="89"/>
        <v>3</v>
      </c>
    </row>
    <row r="911" spans="1:18" x14ac:dyDescent="0.25">
      <c r="A911">
        <f>Raw_data!A911</f>
        <v>910</v>
      </c>
      <c r="B911" t="str">
        <f>Raw_data!B911</f>
        <v>C8783</v>
      </c>
      <c r="C911" t="str">
        <f>Raw_data!C911</f>
        <v>R2923</v>
      </c>
      <c r="D911" s="3">
        <f>Raw_data!D911</f>
        <v>45321.113645833335</v>
      </c>
      <c r="E911" s="3">
        <f>Raw_data!E911</f>
        <v>45321.147673611114</v>
      </c>
      <c r="F911" s="4">
        <f t="shared" si="84"/>
        <v>3.4027777779556345E-2</v>
      </c>
      <c r="G911" s="6">
        <f>Raw_data!F911</f>
        <v>1874</v>
      </c>
      <c r="H911" s="6">
        <f>Raw_data!G911</f>
        <v>40</v>
      </c>
      <c r="I911" t="str">
        <f>Raw_data!H911</f>
        <v>Credit Card</v>
      </c>
      <c r="J911" s="7" t="str">
        <f>IF(Raw_data!I911=0.1,"10%",Raw_data!I911)</f>
        <v>50 off Promo</v>
      </c>
      <c r="K911" s="6">
        <f>Raw_data!J911</f>
        <v>97</v>
      </c>
      <c r="L911" s="6">
        <f>Raw_data!K911</f>
        <v>37</v>
      </c>
      <c r="M911" s="6">
        <f>Raw_data!L911</f>
        <v>0</v>
      </c>
      <c r="N911" s="6">
        <f t="shared" si="85"/>
        <v>1740</v>
      </c>
      <c r="O911" s="6">
        <f t="shared" si="86"/>
        <v>134</v>
      </c>
      <c r="P911" s="6">
        <f t="shared" si="87"/>
        <v>1914</v>
      </c>
      <c r="Q911">
        <f t="shared" si="88"/>
        <v>1</v>
      </c>
      <c r="R911">
        <f t="shared" si="89"/>
        <v>1</v>
      </c>
    </row>
    <row r="912" spans="1:18" x14ac:dyDescent="0.25">
      <c r="A912">
        <f>Raw_data!A912</f>
        <v>911</v>
      </c>
      <c r="B912" t="str">
        <f>Raw_data!B912</f>
        <v>C1984</v>
      </c>
      <c r="C912" t="str">
        <f>Raw_data!C912</f>
        <v>R2713</v>
      </c>
      <c r="D912" s="3">
        <f>Raw_data!D912</f>
        <v>45307.487337962964</v>
      </c>
      <c r="E912" s="3">
        <f>Raw_data!E912</f>
        <v>45307.554699074077</v>
      </c>
      <c r="F912" s="4">
        <f t="shared" si="84"/>
        <v>6.7361111112404615E-2</v>
      </c>
      <c r="G912" s="6">
        <f>Raw_data!F912</f>
        <v>1959</v>
      </c>
      <c r="H912" s="6">
        <f>Raw_data!G912</f>
        <v>30</v>
      </c>
      <c r="I912" t="str">
        <f>Raw_data!H912</f>
        <v>Cash on Delivery</v>
      </c>
      <c r="J912" s="7" t="str">
        <f>IF(Raw_data!I912=0.1,"10%",Raw_data!I912)</f>
        <v>10%</v>
      </c>
      <c r="K912" s="6">
        <f>Raw_data!J912</f>
        <v>140</v>
      </c>
      <c r="L912" s="6">
        <f>Raw_data!K912</f>
        <v>40</v>
      </c>
      <c r="M912" s="6">
        <f>Raw_data!L912</f>
        <v>0</v>
      </c>
      <c r="N912" s="6">
        <f t="shared" si="85"/>
        <v>1779</v>
      </c>
      <c r="O912" s="6">
        <f t="shared" si="86"/>
        <v>180</v>
      </c>
      <c r="P912" s="6">
        <f t="shared" si="87"/>
        <v>1989</v>
      </c>
      <c r="Q912">
        <f t="shared" si="88"/>
        <v>1</v>
      </c>
      <c r="R912">
        <f t="shared" si="89"/>
        <v>3</v>
      </c>
    </row>
    <row r="913" spans="1:18" x14ac:dyDescent="0.25">
      <c r="A913">
        <f>Raw_data!A913</f>
        <v>912</v>
      </c>
      <c r="B913" t="str">
        <f>Raw_data!B913</f>
        <v>C8790</v>
      </c>
      <c r="C913" t="str">
        <f>Raw_data!C913</f>
        <v>R2754</v>
      </c>
      <c r="D913" s="3">
        <f>Raw_data!D913</f>
        <v>45306.944560185184</v>
      </c>
      <c r="E913" s="3">
        <f>Raw_data!E913</f>
        <v>45306.995949074073</v>
      </c>
      <c r="F913" s="4">
        <f t="shared" si="84"/>
        <v>5.1388888889050577E-2</v>
      </c>
      <c r="G913" s="6">
        <f>Raw_data!F913</f>
        <v>907</v>
      </c>
      <c r="H913" s="6">
        <f>Raw_data!G913</f>
        <v>30</v>
      </c>
      <c r="I913" t="str">
        <f>Raw_data!H913</f>
        <v>Credit Card</v>
      </c>
      <c r="J913" s="7" t="str">
        <f>IF(Raw_data!I913=0.1,"10%",Raw_data!I913)</f>
        <v>50 off Promo</v>
      </c>
      <c r="K913" s="6">
        <f>Raw_data!J913</f>
        <v>133</v>
      </c>
      <c r="L913" s="6">
        <f>Raw_data!K913</f>
        <v>28</v>
      </c>
      <c r="M913" s="6">
        <f>Raw_data!L913</f>
        <v>150</v>
      </c>
      <c r="N913" s="6">
        <f t="shared" si="85"/>
        <v>746</v>
      </c>
      <c r="O913" s="6">
        <f t="shared" si="86"/>
        <v>11</v>
      </c>
      <c r="P913" s="6">
        <f t="shared" si="87"/>
        <v>937</v>
      </c>
      <c r="Q913">
        <f t="shared" si="88"/>
        <v>1</v>
      </c>
      <c r="R913">
        <f t="shared" si="89"/>
        <v>2</v>
      </c>
    </row>
    <row r="914" spans="1:18" x14ac:dyDescent="0.25">
      <c r="A914">
        <f>Raw_data!A914</f>
        <v>913</v>
      </c>
      <c r="B914" t="str">
        <f>Raw_data!B914</f>
        <v>C1827</v>
      </c>
      <c r="C914" t="str">
        <f>Raw_data!C914</f>
        <v>R2034</v>
      </c>
      <c r="D914" s="3">
        <f>Raw_data!D914</f>
        <v>45302.806574074071</v>
      </c>
      <c r="E914" s="3">
        <f>Raw_data!E914</f>
        <v>45302.878796296296</v>
      </c>
      <c r="F914" s="4">
        <f t="shared" si="84"/>
        <v>7.2222222224809229E-2</v>
      </c>
      <c r="G914" s="6">
        <f>Raw_data!F914</f>
        <v>286</v>
      </c>
      <c r="H914" s="6">
        <f>Raw_data!G914</f>
        <v>30</v>
      </c>
      <c r="I914" t="str">
        <f>Raw_data!H914</f>
        <v>Digital Wallet</v>
      </c>
      <c r="J914" s="7" t="str">
        <f>IF(Raw_data!I914=0.1,"10%",Raw_data!I914)</f>
        <v>10%</v>
      </c>
      <c r="K914" s="6">
        <f>Raw_data!J914</f>
        <v>117</v>
      </c>
      <c r="L914" s="6">
        <f>Raw_data!K914</f>
        <v>12</v>
      </c>
      <c r="M914" s="6">
        <f>Raw_data!L914</f>
        <v>0</v>
      </c>
      <c r="N914" s="6">
        <f t="shared" si="85"/>
        <v>157</v>
      </c>
      <c r="O914" s="6">
        <f t="shared" si="86"/>
        <v>129</v>
      </c>
      <c r="P914" s="6">
        <f t="shared" si="87"/>
        <v>316</v>
      </c>
      <c r="Q914">
        <f t="shared" si="88"/>
        <v>1</v>
      </c>
      <c r="R914">
        <f t="shared" si="89"/>
        <v>1</v>
      </c>
    </row>
    <row r="915" spans="1:18" x14ac:dyDescent="0.25">
      <c r="A915">
        <f>Raw_data!A915</f>
        <v>914</v>
      </c>
      <c r="B915" t="str">
        <f>Raw_data!B915</f>
        <v>C4531</v>
      </c>
      <c r="C915" t="str">
        <f>Raw_data!C915</f>
        <v>R2444</v>
      </c>
      <c r="D915" s="3">
        <f>Raw_data!D915</f>
        <v>45316.663645833331</v>
      </c>
      <c r="E915" s="3">
        <f>Raw_data!E915</f>
        <v>45316.712951388887</v>
      </c>
      <c r="F915" s="4">
        <f t="shared" si="84"/>
        <v>4.9305555556202307E-2</v>
      </c>
      <c r="G915" s="6">
        <f>Raw_data!F915</f>
        <v>1843</v>
      </c>
      <c r="H915" s="6">
        <f>Raw_data!G915</f>
        <v>50</v>
      </c>
      <c r="I915" t="str">
        <f>Raw_data!H915</f>
        <v>Credit Card</v>
      </c>
      <c r="J915" s="7" t="str">
        <f>IF(Raw_data!I915=0.1,"10%",Raw_data!I915)</f>
        <v>None</v>
      </c>
      <c r="K915" s="6">
        <f>Raw_data!J915</f>
        <v>188</v>
      </c>
      <c r="L915" s="6">
        <f>Raw_data!K915</f>
        <v>45</v>
      </c>
      <c r="M915" s="6">
        <f>Raw_data!L915</f>
        <v>0</v>
      </c>
      <c r="N915" s="6">
        <f t="shared" si="85"/>
        <v>1610</v>
      </c>
      <c r="O915" s="6">
        <f t="shared" si="86"/>
        <v>233</v>
      </c>
      <c r="P915" s="6">
        <f t="shared" si="87"/>
        <v>1893</v>
      </c>
      <c r="Q915">
        <f t="shared" si="88"/>
        <v>1</v>
      </c>
      <c r="R915">
        <f t="shared" si="89"/>
        <v>1</v>
      </c>
    </row>
    <row r="916" spans="1:18" x14ac:dyDescent="0.25">
      <c r="A916">
        <f>Raw_data!A916</f>
        <v>915</v>
      </c>
      <c r="B916" t="str">
        <f>Raw_data!B916</f>
        <v>C8147</v>
      </c>
      <c r="C916" t="str">
        <f>Raw_data!C916</f>
        <v>R2092</v>
      </c>
      <c r="D916" s="3">
        <f>Raw_data!D916</f>
        <v>45322.590983796297</v>
      </c>
      <c r="E916" s="3">
        <f>Raw_data!E916</f>
        <v>45322.643761574072</v>
      </c>
      <c r="F916" s="4">
        <f t="shared" si="84"/>
        <v>5.2777777775190771E-2</v>
      </c>
      <c r="G916" s="6">
        <f>Raw_data!F916</f>
        <v>831</v>
      </c>
      <c r="H916" s="6">
        <f>Raw_data!G916</f>
        <v>30</v>
      </c>
      <c r="I916" t="str">
        <f>Raw_data!H916</f>
        <v>Cash on Delivery</v>
      </c>
      <c r="J916" s="7" t="str">
        <f>IF(Raw_data!I916=0.1,"10%",Raw_data!I916)</f>
        <v>10%</v>
      </c>
      <c r="K916" s="6">
        <f>Raw_data!J916</f>
        <v>174</v>
      </c>
      <c r="L916" s="6">
        <f>Raw_data!K916</f>
        <v>24</v>
      </c>
      <c r="M916" s="6">
        <f>Raw_data!L916</f>
        <v>50</v>
      </c>
      <c r="N916" s="6">
        <f t="shared" si="85"/>
        <v>633</v>
      </c>
      <c r="O916" s="6">
        <f t="shared" si="86"/>
        <v>148</v>
      </c>
      <c r="P916" s="6">
        <f t="shared" si="87"/>
        <v>861</v>
      </c>
      <c r="Q916">
        <f t="shared" si="88"/>
        <v>1</v>
      </c>
      <c r="R916">
        <f t="shared" si="89"/>
        <v>1</v>
      </c>
    </row>
    <row r="917" spans="1:18" x14ac:dyDescent="0.25">
      <c r="A917">
        <f>Raw_data!A917</f>
        <v>916</v>
      </c>
      <c r="B917" t="str">
        <f>Raw_data!B917</f>
        <v>C5451</v>
      </c>
      <c r="C917" t="str">
        <f>Raw_data!C917</f>
        <v>R2949</v>
      </c>
      <c r="D917" s="3">
        <f>Raw_data!D917</f>
        <v>45323.243333333332</v>
      </c>
      <c r="E917" s="3">
        <f>Raw_data!E917</f>
        <v>45323.266944444447</v>
      </c>
      <c r="F917" s="4">
        <f t="shared" si="84"/>
        <v>2.3611111115314998E-2</v>
      </c>
      <c r="G917" s="6">
        <f>Raw_data!F917</f>
        <v>1313</v>
      </c>
      <c r="H917" s="6">
        <f>Raw_data!G917</f>
        <v>0</v>
      </c>
      <c r="I917" t="str">
        <f>Raw_data!H917</f>
        <v>Credit Card</v>
      </c>
      <c r="J917" s="7" t="str">
        <f>IF(Raw_data!I917=0.1,"10%",Raw_data!I917)</f>
        <v>10%</v>
      </c>
      <c r="K917" s="6">
        <f>Raw_data!J917</f>
        <v>122</v>
      </c>
      <c r="L917" s="6">
        <f>Raw_data!K917</f>
        <v>42</v>
      </c>
      <c r="M917" s="6">
        <f>Raw_data!L917</f>
        <v>0</v>
      </c>
      <c r="N917" s="6">
        <f t="shared" si="85"/>
        <v>1149</v>
      </c>
      <c r="O917" s="6">
        <f t="shared" si="86"/>
        <v>164</v>
      </c>
      <c r="P917" s="6">
        <f t="shared" si="87"/>
        <v>1313</v>
      </c>
      <c r="Q917">
        <f t="shared" si="88"/>
        <v>1</v>
      </c>
      <c r="R917">
        <f t="shared" si="89"/>
        <v>1</v>
      </c>
    </row>
    <row r="918" spans="1:18" x14ac:dyDescent="0.25">
      <c r="A918">
        <f>Raw_data!A918</f>
        <v>917</v>
      </c>
      <c r="B918" t="str">
        <f>Raw_data!B918</f>
        <v>C4876</v>
      </c>
      <c r="C918" t="str">
        <f>Raw_data!C918</f>
        <v>R2958</v>
      </c>
      <c r="D918" s="3">
        <f>Raw_data!D918</f>
        <v>45309.379444444443</v>
      </c>
      <c r="E918" s="3">
        <f>Raw_data!E918</f>
        <v>45309.461388888885</v>
      </c>
      <c r="F918" s="4">
        <f t="shared" si="84"/>
        <v>8.1944444442342501E-2</v>
      </c>
      <c r="G918" s="6">
        <f>Raw_data!F918</f>
        <v>1511</v>
      </c>
      <c r="H918" s="6">
        <f>Raw_data!G918</f>
        <v>30</v>
      </c>
      <c r="I918" t="str">
        <f>Raw_data!H918</f>
        <v>Digital Wallet</v>
      </c>
      <c r="J918" s="7" t="str">
        <f>IF(Raw_data!I918=0.1,"10%",Raw_data!I918)</f>
        <v>15% New User</v>
      </c>
      <c r="K918" s="6">
        <f>Raw_data!J918</f>
        <v>53</v>
      </c>
      <c r="L918" s="6">
        <f>Raw_data!K918</f>
        <v>50</v>
      </c>
      <c r="M918" s="6">
        <f>Raw_data!L918</f>
        <v>0</v>
      </c>
      <c r="N918" s="6">
        <f t="shared" si="85"/>
        <v>1408</v>
      </c>
      <c r="O918" s="6">
        <f t="shared" si="86"/>
        <v>103</v>
      </c>
      <c r="P918" s="6">
        <f t="shared" si="87"/>
        <v>1541</v>
      </c>
      <c r="Q918">
        <f t="shared" si="88"/>
        <v>1</v>
      </c>
      <c r="R918">
        <f t="shared" si="89"/>
        <v>1</v>
      </c>
    </row>
    <row r="919" spans="1:18" x14ac:dyDescent="0.25">
      <c r="A919">
        <f>Raw_data!A919</f>
        <v>918</v>
      </c>
      <c r="B919" t="str">
        <f>Raw_data!B919</f>
        <v>C6959</v>
      </c>
      <c r="C919" t="str">
        <f>Raw_data!C919</f>
        <v>R2206</v>
      </c>
      <c r="D919" s="3">
        <f>Raw_data!D919</f>
        <v>45313.632627314815</v>
      </c>
      <c r="E919" s="3">
        <f>Raw_data!E919</f>
        <v>45313.686793981484</v>
      </c>
      <c r="F919" s="4">
        <f t="shared" si="84"/>
        <v>5.4166666668606922E-2</v>
      </c>
      <c r="G919" s="6">
        <f>Raw_data!F919</f>
        <v>528</v>
      </c>
      <c r="H919" s="6">
        <f>Raw_data!G919</f>
        <v>40</v>
      </c>
      <c r="I919" t="str">
        <f>Raw_data!H919</f>
        <v>Digital Wallet</v>
      </c>
      <c r="J919" s="7" t="str">
        <f>IF(Raw_data!I919=0.1,"10%",Raw_data!I919)</f>
        <v>50 off Promo</v>
      </c>
      <c r="K919" s="6">
        <f>Raw_data!J919</f>
        <v>125</v>
      </c>
      <c r="L919" s="6">
        <f>Raw_data!K919</f>
        <v>35</v>
      </c>
      <c r="M919" s="6">
        <f>Raw_data!L919</f>
        <v>0</v>
      </c>
      <c r="N919" s="6">
        <f t="shared" si="85"/>
        <v>368</v>
      </c>
      <c r="O919" s="6">
        <f t="shared" si="86"/>
        <v>160</v>
      </c>
      <c r="P919" s="6">
        <f t="shared" si="87"/>
        <v>568</v>
      </c>
      <c r="Q919">
        <f t="shared" si="88"/>
        <v>1</v>
      </c>
      <c r="R919">
        <f t="shared" si="89"/>
        <v>1</v>
      </c>
    </row>
    <row r="920" spans="1:18" x14ac:dyDescent="0.25">
      <c r="A920">
        <f>Raw_data!A920</f>
        <v>919</v>
      </c>
      <c r="B920" t="str">
        <f>Raw_data!B920</f>
        <v>C1126</v>
      </c>
      <c r="C920" t="str">
        <f>Raw_data!C920</f>
        <v>R2352</v>
      </c>
      <c r="D920" s="3">
        <f>Raw_data!D920</f>
        <v>45295.610590277778</v>
      </c>
      <c r="E920" s="3">
        <f>Raw_data!E920</f>
        <v>45295.656423611108</v>
      </c>
      <c r="F920" s="4">
        <f t="shared" si="84"/>
        <v>4.5833333329937886E-2</v>
      </c>
      <c r="G920" s="6">
        <f>Raw_data!F920</f>
        <v>957</v>
      </c>
      <c r="H920" s="6">
        <f>Raw_data!G920</f>
        <v>0</v>
      </c>
      <c r="I920" t="str">
        <f>Raw_data!H920</f>
        <v>Cash on Delivery</v>
      </c>
      <c r="J920" s="7" t="str">
        <f>IF(Raw_data!I920=0.1,"10%",Raw_data!I920)</f>
        <v>10%</v>
      </c>
      <c r="K920" s="6">
        <f>Raw_data!J920</f>
        <v>122</v>
      </c>
      <c r="L920" s="6">
        <f>Raw_data!K920</f>
        <v>25</v>
      </c>
      <c r="M920" s="6">
        <f>Raw_data!L920</f>
        <v>0</v>
      </c>
      <c r="N920" s="6">
        <f t="shared" si="85"/>
        <v>810</v>
      </c>
      <c r="O920" s="6">
        <f t="shared" si="86"/>
        <v>147</v>
      </c>
      <c r="P920" s="6">
        <f t="shared" si="87"/>
        <v>957</v>
      </c>
      <c r="Q920">
        <f t="shared" si="88"/>
        <v>1</v>
      </c>
      <c r="R920">
        <f t="shared" si="89"/>
        <v>2</v>
      </c>
    </row>
    <row r="921" spans="1:18" x14ac:dyDescent="0.25">
      <c r="A921">
        <f>Raw_data!A921</f>
        <v>920</v>
      </c>
      <c r="B921" t="str">
        <f>Raw_data!B921</f>
        <v>C4177</v>
      </c>
      <c r="C921" t="str">
        <f>Raw_data!C921</f>
        <v>R2902</v>
      </c>
      <c r="D921" s="3">
        <f>Raw_data!D921</f>
        <v>45316.624988425923</v>
      </c>
      <c r="E921" s="3">
        <f>Raw_data!E921</f>
        <v>45316.668738425928</v>
      </c>
      <c r="F921" s="4">
        <f t="shared" si="84"/>
        <v>4.3750000004365575E-2</v>
      </c>
      <c r="G921" s="6">
        <f>Raw_data!F921</f>
        <v>1407</v>
      </c>
      <c r="H921" s="6">
        <f>Raw_data!G921</f>
        <v>30</v>
      </c>
      <c r="I921" t="str">
        <f>Raw_data!H921</f>
        <v>Digital Wallet</v>
      </c>
      <c r="J921" s="7" t="str">
        <f>IF(Raw_data!I921=0.1,"10%",Raw_data!I921)</f>
        <v>None</v>
      </c>
      <c r="K921" s="6">
        <f>Raw_data!J921</f>
        <v>126</v>
      </c>
      <c r="L921" s="6">
        <f>Raw_data!K921</f>
        <v>45</v>
      </c>
      <c r="M921" s="6">
        <f>Raw_data!L921</f>
        <v>150</v>
      </c>
      <c r="N921" s="6">
        <f t="shared" si="85"/>
        <v>1236</v>
      </c>
      <c r="O921" s="6">
        <f t="shared" si="86"/>
        <v>21</v>
      </c>
      <c r="P921" s="6">
        <f t="shared" si="87"/>
        <v>1437</v>
      </c>
      <c r="Q921">
        <f t="shared" si="88"/>
        <v>2</v>
      </c>
      <c r="R921">
        <f t="shared" si="89"/>
        <v>1</v>
      </c>
    </row>
    <row r="922" spans="1:18" x14ac:dyDescent="0.25">
      <c r="A922">
        <f>Raw_data!A922</f>
        <v>921</v>
      </c>
      <c r="B922" t="str">
        <f>Raw_data!B922</f>
        <v>C9795</v>
      </c>
      <c r="C922" t="str">
        <f>Raw_data!C922</f>
        <v>R2331</v>
      </c>
      <c r="D922" s="3">
        <f>Raw_data!D922</f>
        <v>45317.754606481481</v>
      </c>
      <c r="E922" s="3">
        <f>Raw_data!E922</f>
        <v>45317.825439814813</v>
      </c>
      <c r="F922" s="4">
        <f t="shared" si="84"/>
        <v>7.0833333331393078E-2</v>
      </c>
      <c r="G922" s="6">
        <f>Raw_data!F922</f>
        <v>1987</v>
      </c>
      <c r="H922" s="6">
        <f>Raw_data!G922</f>
        <v>30</v>
      </c>
      <c r="I922" t="str">
        <f>Raw_data!H922</f>
        <v>Credit Card</v>
      </c>
      <c r="J922" s="7" t="str">
        <f>IF(Raw_data!I922=0.1,"10%",Raw_data!I922)</f>
        <v>5% on App</v>
      </c>
      <c r="K922" s="6">
        <f>Raw_data!J922</f>
        <v>97</v>
      </c>
      <c r="L922" s="6">
        <f>Raw_data!K922</f>
        <v>42</v>
      </c>
      <c r="M922" s="6">
        <f>Raw_data!L922</f>
        <v>0</v>
      </c>
      <c r="N922" s="6">
        <f t="shared" si="85"/>
        <v>1848</v>
      </c>
      <c r="O922" s="6">
        <f t="shared" si="86"/>
        <v>139</v>
      </c>
      <c r="P922" s="6">
        <f t="shared" si="87"/>
        <v>2017</v>
      </c>
      <c r="Q922">
        <f t="shared" si="88"/>
        <v>1</v>
      </c>
      <c r="R922">
        <f t="shared" si="89"/>
        <v>2</v>
      </c>
    </row>
    <row r="923" spans="1:18" x14ac:dyDescent="0.25">
      <c r="A923">
        <f>Raw_data!A923</f>
        <v>922</v>
      </c>
      <c r="B923" t="str">
        <f>Raw_data!B923</f>
        <v>C7024</v>
      </c>
      <c r="C923" t="str">
        <f>Raw_data!C923</f>
        <v>R2816</v>
      </c>
      <c r="D923" s="3">
        <f>Raw_data!D923</f>
        <v>45300.556597222225</v>
      </c>
      <c r="E923" s="3">
        <f>Raw_data!E923</f>
        <v>45300.625347222223</v>
      </c>
      <c r="F923" s="4">
        <f t="shared" si="84"/>
        <v>6.8749999998544808E-2</v>
      </c>
      <c r="G923" s="6">
        <f>Raw_data!F923</f>
        <v>336</v>
      </c>
      <c r="H923" s="6">
        <f>Raw_data!G923</f>
        <v>20</v>
      </c>
      <c r="I923" t="str">
        <f>Raw_data!H923</f>
        <v>Credit Card</v>
      </c>
      <c r="J923" s="7" t="str">
        <f>IF(Raw_data!I923=0.1,"10%",Raw_data!I923)</f>
        <v>10%</v>
      </c>
      <c r="K923" s="6">
        <f>Raw_data!J923</f>
        <v>151</v>
      </c>
      <c r="L923" s="6">
        <f>Raw_data!K923</f>
        <v>29</v>
      </c>
      <c r="M923" s="6">
        <f>Raw_data!L923</f>
        <v>150</v>
      </c>
      <c r="N923" s="6">
        <f t="shared" si="85"/>
        <v>156</v>
      </c>
      <c r="O923" s="6">
        <f t="shared" si="86"/>
        <v>30</v>
      </c>
      <c r="P923" s="6">
        <f t="shared" si="87"/>
        <v>356</v>
      </c>
      <c r="Q923">
        <f t="shared" si="88"/>
        <v>1</v>
      </c>
      <c r="R923">
        <f t="shared" si="89"/>
        <v>3</v>
      </c>
    </row>
    <row r="924" spans="1:18" x14ac:dyDescent="0.25">
      <c r="A924">
        <f>Raw_data!A924</f>
        <v>923</v>
      </c>
      <c r="B924" t="str">
        <f>Raw_data!B924</f>
        <v>C6109</v>
      </c>
      <c r="C924" t="str">
        <f>Raw_data!C924</f>
        <v>R2861</v>
      </c>
      <c r="D924" s="3">
        <f>Raw_data!D924</f>
        <v>45310.114236111112</v>
      </c>
      <c r="E924" s="3">
        <f>Raw_data!E924</f>
        <v>45310.146874999999</v>
      </c>
      <c r="F924" s="4">
        <f t="shared" si="84"/>
        <v>3.2638888886140194E-2</v>
      </c>
      <c r="G924" s="6">
        <f>Raw_data!F924</f>
        <v>1317</v>
      </c>
      <c r="H924" s="6">
        <f>Raw_data!G924</f>
        <v>50</v>
      </c>
      <c r="I924" t="str">
        <f>Raw_data!H924</f>
        <v>Credit Card</v>
      </c>
      <c r="J924" s="7" t="str">
        <f>IF(Raw_data!I924=0.1,"10%",Raw_data!I924)</f>
        <v>50 off Promo</v>
      </c>
      <c r="K924" s="6">
        <f>Raw_data!J924</f>
        <v>155</v>
      </c>
      <c r="L924" s="6">
        <f>Raw_data!K924</f>
        <v>22</v>
      </c>
      <c r="M924" s="6">
        <f>Raw_data!L924</f>
        <v>0</v>
      </c>
      <c r="N924" s="6">
        <f t="shared" si="85"/>
        <v>1140</v>
      </c>
      <c r="O924" s="6">
        <f t="shared" si="86"/>
        <v>177</v>
      </c>
      <c r="P924" s="6">
        <f t="shared" si="87"/>
        <v>1367</v>
      </c>
      <c r="Q924">
        <f t="shared" si="88"/>
        <v>1</v>
      </c>
      <c r="R924">
        <f t="shared" si="89"/>
        <v>1</v>
      </c>
    </row>
    <row r="925" spans="1:18" x14ac:dyDescent="0.25">
      <c r="A925">
        <f>Raw_data!A925</f>
        <v>924</v>
      </c>
      <c r="B925" t="str">
        <f>Raw_data!B925</f>
        <v>C5146</v>
      </c>
      <c r="C925" t="str">
        <f>Raw_data!C925</f>
        <v>R2724</v>
      </c>
      <c r="D925" s="3">
        <f>Raw_data!D925</f>
        <v>45328.049687500003</v>
      </c>
      <c r="E925" s="3">
        <f>Raw_data!E925</f>
        <v>45328.123993055553</v>
      </c>
      <c r="F925" s="4">
        <f t="shared" si="84"/>
        <v>7.4305555550381541E-2</v>
      </c>
      <c r="G925" s="6">
        <f>Raw_data!F925</f>
        <v>1410</v>
      </c>
      <c r="H925" s="6">
        <f>Raw_data!G925</f>
        <v>0</v>
      </c>
      <c r="I925" t="str">
        <f>Raw_data!H925</f>
        <v>Digital Wallet</v>
      </c>
      <c r="J925" s="7" t="str">
        <f>IF(Raw_data!I925=0.1,"10%",Raw_data!I925)</f>
        <v>15% New User</v>
      </c>
      <c r="K925" s="6">
        <f>Raw_data!J925</f>
        <v>126</v>
      </c>
      <c r="L925" s="6">
        <f>Raw_data!K925</f>
        <v>42</v>
      </c>
      <c r="M925" s="6">
        <f>Raw_data!L925</f>
        <v>50</v>
      </c>
      <c r="N925" s="6">
        <f t="shared" si="85"/>
        <v>1242</v>
      </c>
      <c r="O925" s="6">
        <f t="shared" si="86"/>
        <v>118</v>
      </c>
      <c r="P925" s="6">
        <f t="shared" si="87"/>
        <v>1410</v>
      </c>
      <c r="Q925">
        <f t="shared" si="88"/>
        <v>2</v>
      </c>
      <c r="R925">
        <f t="shared" si="89"/>
        <v>1</v>
      </c>
    </row>
    <row r="926" spans="1:18" x14ac:dyDescent="0.25">
      <c r="A926">
        <f>Raw_data!A926</f>
        <v>925</v>
      </c>
      <c r="B926" t="str">
        <f>Raw_data!B926</f>
        <v>C8196</v>
      </c>
      <c r="C926" t="str">
        <f>Raw_data!C926</f>
        <v>R2158</v>
      </c>
      <c r="D926" s="3">
        <f>Raw_data!D926</f>
        <v>45299.420682870368</v>
      </c>
      <c r="E926" s="3">
        <f>Raw_data!E926</f>
        <v>45299.454016203701</v>
      </c>
      <c r="F926" s="4">
        <f t="shared" si="84"/>
        <v>3.3333333332848269E-2</v>
      </c>
      <c r="G926" s="6">
        <f>Raw_data!F926</f>
        <v>870</v>
      </c>
      <c r="H926" s="6">
        <f>Raw_data!G926</f>
        <v>20</v>
      </c>
      <c r="I926" t="str">
        <f>Raw_data!H926</f>
        <v>Credit Card</v>
      </c>
      <c r="J926" s="7" t="str">
        <f>IF(Raw_data!I926=0.1,"10%",Raw_data!I926)</f>
        <v>None</v>
      </c>
      <c r="K926" s="6">
        <f>Raw_data!J926</f>
        <v>88</v>
      </c>
      <c r="L926" s="6">
        <f>Raw_data!K926</f>
        <v>14</v>
      </c>
      <c r="M926" s="6">
        <f>Raw_data!L926</f>
        <v>50</v>
      </c>
      <c r="N926" s="6">
        <f t="shared" si="85"/>
        <v>768</v>
      </c>
      <c r="O926" s="6">
        <f t="shared" si="86"/>
        <v>52</v>
      </c>
      <c r="P926" s="6">
        <f t="shared" si="87"/>
        <v>890</v>
      </c>
      <c r="Q926">
        <f t="shared" si="88"/>
        <v>1</v>
      </c>
      <c r="R926">
        <f t="shared" si="89"/>
        <v>2</v>
      </c>
    </row>
    <row r="927" spans="1:18" x14ac:dyDescent="0.25">
      <c r="A927">
        <f>Raw_data!A927</f>
        <v>926</v>
      </c>
      <c r="B927" t="str">
        <f>Raw_data!B927</f>
        <v>C4368</v>
      </c>
      <c r="C927" t="str">
        <f>Raw_data!C927</f>
        <v>R2953</v>
      </c>
      <c r="D927" s="3">
        <f>Raw_data!D927</f>
        <v>45294.181597222225</v>
      </c>
      <c r="E927" s="3">
        <f>Raw_data!E927</f>
        <v>45294.255902777775</v>
      </c>
      <c r="F927" s="4">
        <f t="shared" si="84"/>
        <v>7.4305555550381541E-2</v>
      </c>
      <c r="G927" s="6">
        <f>Raw_data!F927</f>
        <v>857</v>
      </c>
      <c r="H927" s="6">
        <f>Raw_data!G927</f>
        <v>40</v>
      </c>
      <c r="I927" t="str">
        <f>Raw_data!H927</f>
        <v>Credit Card</v>
      </c>
      <c r="J927" s="7" t="str">
        <f>IF(Raw_data!I927=0.1,"10%",Raw_data!I927)</f>
        <v>15% New User</v>
      </c>
      <c r="K927" s="6">
        <f>Raw_data!J927</f>
        <v>107</v>
      </c>
      <c r="L927" s="6">
        <f>Raw_data!K927</f>
        <v>46</v>
      </c>
      <c r="M927" s="6">
        <f>Raw_data!L927</f>
        <v>100</v>
      </c>
      <c r="N927" s="6">
        <f t="shared" si="85"/>
        <v>704</v>
      </c>
      <c r="O927" s="6">
        <f t="shared" si="86"/>
        <v>53</v>
      </c>
      <c r="P927" s="6">
        <f t="shared" si="87"/>
        <v>897</v>
      </c>
      <c r="Q927">
        <f t="shared" si="88"/>
        <v>1</v>
      </c>
      <c r="R927">
        <f t="shared" si="89"/>
        <v>1</v>
      </c>
    </row>
    <row r="928" spans="1:18" x14ac:dyDescent="0.25">
      <c r="A928">
        <f>Raw_data!A928</f>
        <v>927</v>
      </c>
      <c r="B928" t="str">
        <f>Raw_data!B928</f>
        <v>C4797</v>
      </c>
      <c r="C928" t="str">
        <f>Raw_data!C928</f>
        <v>R2956</v>
      </c>
      <c r="D928" s="3">
        <f>Raw_data!D928</f>
        <v>45328.217476851853</v>
      </c>
      <c r="E928" s="3">
        <f>Raw_data!E928</f>
        <v>45328.265393518515</v>
      </c>
      <c r="F928" s="4">
        <f t="shared" si="84"/>
        <v>4.7916666662786156E-2</v>
      </c>
      <c r="G928" s="6">
        <f>Raw_data!F928</f>
        <v>235</v>
      </c>
      <c r="H928" s="6">
        <f>Raw_data!G928</f>
        <v>50</v>
      </c>
      <c r="I928" t="str">
        <f>Raw_data!H928</f>
        <v>Credit Card</v>
      </c>
      <c r="J928" s="7" t="str">
        <f>IF(Raw_data!I928=0.1,"10%",Raw_data!I928)</f>
        <v>5% on App</v>
      </c>
      <c r="K928" s="6">
        <f>Raw_data!J928</f>
        <v>68</v>
      </c>
      <c r="L928" s="6">
        <f>Raw_data!K928</f>
        <v>23</v>
      </c>
      <c r="M928" s="6">
        <f>Raw_data!L928</f>
        <v>0</v>
      </c>
      <c r="N928" s="6">
        <f t="shared" si="85"/>
        <v>144</v>
      </c>
      <c r="O928" s="6">
        <f t="shared" si="86"/>
        <v>91</v>
      </c>
      <c r="P928" s="6">
        <f t="shared" si="87"/>
        <v>285</v>
      </c>
      <c r="Q928">
        <f t="shared" si="88"/>
        <v>1</v>
      </c>
      <c r="R928">
        <f t="shared" si="89"/>
        <v>3</v>
      </c>
    </row>
    <row r="929" spans="1:18" x14ac:dyDescent="0.25">
      <c r="A929">
        <f>Raw_data!A929</f>
        <v>928</v>
      </c>
      <c r="B929" t="str">
        <f>Raw_data!B929</f>
        <v>C2792</v>
      </c>
      <c r="C929" t="str">
        <f>Raw_data!C929</f>
        <v>R2023</v>
      </c>
      <c r="D929" s="3">
        <f>Raw_data!D929</f>
        <v>45320.991203703707</v>
      </c>
      <c r="E929" s="3">
        <f>Raw_data!E929</f>
        <v>45321.023148148146</v>
      </c>
      <c r="F929" s="4">
        <f t="shared" si="84"/>
        <v>3.1944444439432118E-2</v>
      </c>
      <c r="G929" s="6">
        <f>Raw_data!F929</f>
        <v>891</v>
      </c>
      <c r="H929" s="6">
        <f>Raw_data!G929</f>
        <v>0</v>
      </c>
      <c r="I929" t="str">
        <f>Raw_data!H929</f>
        <v>Cash on Delivery</v>
      </c>
      <c r="J929" s="7" t="str">
        <f>IF(Raw_data!I929=0.1,"10%",Raw_data!I929)</f>
        <v>10%</v>
      </c>
      <c r="K929" s="6">
        <f>Raw_data!J929</f>
        <v>137</v>
      </c>
      <c r="L929" s="6">
        <f>Raw_data!K929</f>
        <v>36</v>
      </c>
      <c r="M929" s="6">
        <f>Raw_data!L929</f>
        <v>0</v>
      </c>
      <c r="N929" s="6">
        <f t="shared" si="85"/>
        <v>718</v>
      </c>
      <c r="O929" s="6">
        <f t="shared" si="86"/>
        <v>173</v>
      </c>
      <c r="P929" s="6">
        <f t="shared" si="87"/>
        <v>891</v>
      </c>
      <c r="Q929">
        <f t="shared" si="88"/>
        <v>1</v>
      </c>
      <c r="R929">
        <f t="shared" si="89"/>
        <v>1</v>
      </c>
    </row>
    <row r="930" spans="1:18" x14ac:dyDescent="0.25">
      <c r="A930">
        <f>Raw_data!A930</f>
        <v>929</v>
      </c>
      <c r="B930" t="str">
        <f>Raw_data!B930</f>
        <v>C6732</v>
      </c>
      <c r="C930" t="str">
        <f>Raw_data!C930</f>
        <v>R2403</v>
      </c>
      <c r="D930" s="3">
        <f>Raw_data!D930</f>
        <v>45297.838067129633</v>
      </c>
      <c r="E930" s="3">
        <f>Raw_data!E930</f>
        <v>45297.899872685186</v>
      </c>
      <c r="F930" s="4">
        <f t="shared" si="84"/>
        <v>6.1805555553291924E-2</v>
      </c>
      <c r="G930" s="6">
        <f>Raw_data!F930</f>
        <v>1906</v>
      </c>
      <c r="H930" s="6">
        <f>Raw_data!G930</f>
        <v>30</v>
      </c>
      <c r="I930" t="str">
        <f>Raw_data!H930</f>
        <v>Digital Wallet</v>
      </c>
      <c r="J930" s="7" t="str">
        <f>IF(Raw_data!I930=0.1,"10%",Raw_data!I930)</f>
        <v>10%</v>
      </c>
      <c r="K930" s="6">
        <f>Raw_data!J930</f>
        <v>162</v>
      </c>
      <c r="L930" s="6">
        <f>Raw_data!K930</f>
        <v>32</v>
      </c>
      <c r="M930" s="6">
        <f>Raw_data!L930</f>
        <v>0</v>
      </c>
      <c r="N930" s="6">
        <f t="shared" si="85"/>
        <v>1712</v>
      </c>
      <c r="O930" s="6">
        <f t="shared" si="86"/>
        <v>194</v>
      </c>
      <c r="P930" s="6">
        <f t="shared" si="87"/>
        <v>1936</v>
      </c>
      <c r="Q930">
        <f t="shared" si="88"/>
        <v>2</v>
      </c>
      <c r="R930">
        <f t="shared" si="89"/>
        <v>1</v>
      </c>
    </row>
    <row r="931" spans="1:18" x14ac:dyDescent="0.25">
      <c r="A931">
        <f>Raw_data!A931</f>
        <v>930</v>
      </c>
      <c r="B931" t="str">
        <f>Raw_data!B931</f>
        <v>C4476</v>
      </c>
      <c r="C931" t="str">
        <f>Raw_data!C931</f>
        <v>R2804</v>
      </c>
      <c r="D931" s="3">
        <f>Raw_data!D931</f>
        <v>45297.979108796295</v>
      </c>
      <c r="E931" s="3">
        <f>Raw_data!E931</f>
        <v>45298.028414351851</v>
      </c>
      <c r="F931" s="4">
        <f t="shared" si="84"/>
        <v>4.9305555556202307E-2</v>
      </c>
      <c r="G931" s="6">
        <f>Raw_data!F931</f>
        <v>270</v>
      </c>
      <c r="H931" s="6">
        <f>Raw_data!G931</f>
        <v>0</v>
      </c>
      <c r="I931" t="str">
        <f>Raw_data!H931</f>
        <v>Digital Wallet</v>
      </c>
      <c r="J931" s="7" t="str">
        <f>IF(Raw_data!I931=0.1,"10%",Raw_data!I931)</f>
        <v>50 off Promo</v>
      </c>
      <c r="K931" s="6">
        <f>Raw_data!J931</f>
        <v>126</v>
      </c>
      <c r="L931" s="6">
        <f>Raw_data!K931</f>
        <v>23</v>
      </c>
      <c r="M931" s="6">
        <f>Raw_data!L931</f>
        <v>0</v>
      </c>
      <c r="N931" s="6">
        <f t="shared" si="85"/>
        <v>121</v>
      </c>
      <c r="O931" s="6">
        <f t="shared" si="86"/>
        <v>149</v>
      </c>
      <c r="P931" s="6">
        <f t="shared" si="87"/>
        <v>270</v>
      </c>
      <c r="Q931">
        <f t="shared" si="88"/>
        <v>1</v>
      </c>
      <c r="R931">
        <f t="shared" si="89"/>
        <v>5</v>
      </c>
    </row>
    <row r="932" spans="1:18" x14ac:dyDescent="0.25">
      <c r="A932">
        <f>Raw_data!A932</f>
        <v>931</v>
      </c>
      <c r="B932" t="str">
        <f>Raw_data!B932</f>
        <v>C4417</v>
      </c>
      <c r="C932" t="str">
        <f>Raw_data!C932</f>
        <v>R2515</v>
      </c>
      <c r="D932" s="3">
        <f>Raw_data!D932</f>
        <v>45299.681585648148</v>
      </c>
      <c r="E932" s="3">
        <f>Raw_data!E932</f>
        <v>45299.757974537039</v>
      </c>
      <c r="F932" s="4">
        <f t="shared" si="84"/>
        <v>7.6388888890505768E-2</v>
      </c>
      <c r="G932" s="6">
        <f>Raw_data!F932</f>
        <v>258</v>
      </c>
      <c r="H932" s="6">
        <f>Raw_data!G932</f>
        <v>30</v>
      </c>
      <c r="I932" t="str">
        <f>Raw_data!H932</f>
        <v>Digital Wallet</v>
      </c>
      <c r="J932" s="7" t="str">
        <f>IF(Raw_data!I932=0.1,"10%",Raw_data!I932)</f>
        <v>10%</v>
      </c>
      <c r="K932" s="6">
        <f>Raw_data!J932</f>
        <v>126</v>
      </c>
      <c r="L932" s="6">
        <f>Raw_data!K932</f>
        <v>49</v>
      </c>
      <c r="M932" s="6">
        <f>Raw_data!L932</f>
        <v>0</v>
      </c>
      <c r="N932" s="6">
        <f t="shared" si="85"/>
        <v>83</v>
      </c>
      <c r="O932" s="6">
        <f t="shared" si="86"/>
        <v>175</v>
      </c>
      <c r="P932" s="6">
        <f t="shared" si="87"/>
        <v>288</v>
      </c>
      <c r="Q932">
        <f t="shared" si="88"/>
        <v>1</v>
      </c>
      <c r="R932">
        <f t="shared" si="89"/>
        <v>3</v>
      </c>
    </row>
    <row r="933" spans="1:18" x14ac:dyDescent="0.25">
      <c r="A933">
        <f>Raw_data!A933</f>
        <v>932</v>
      </c>
      <c r="B933" t="str">
        <f>Raw_data!B933</f>
        <v>C2645</v>
      </c>
      <c r="C933" t="str">
        <f>Raw_data!C933</f>
        <v>R2731</v>
      </c>
      <c r="D933" s="3">
        <f>Raw_data!D933</f>
        <v>45318.193159722221</v>
      </c>
      <c r="E933" s="3">
        <f>Raw_data!E933</f>
        <v>45318.263298611113</v>
      </c>
      <c r="F933" s="4">
        <f t="shared" si="84"/>
        <v>7.013888889196096E-2</v>
      </c>
      <c r="G933" s="6">
        <f>Raw_data!F933</f>
        <v>300</v>
      </c>
      <c r="H933" s="6">
        <f>Raw_data!G933</f>
        <v>50</v>
      </c>
      <c r="I933" t="str">
        <f>Raw_data!H933</f>
        <v>Cash on Delivery</v>
      </c>
      <c r="J933" s="7" t="str">
        <f>IF(Raw_data!I933=0.1,"10%",Raw_data!I933)</f>
        <v>None</v>
      </c>
      <c r="K933" s="6">
        <f>Raw_data!J933</f>
        <v>77</v>
      </c>
      <c r="L933" s="6">
        <f>Raw_data!K933</f>
        <v>13</v>
      </c>
      <c r="M933" s="6">
        <f>Raw_data!L933</f>
        <v>0</v>
      </c>
      <c r="N933" s="6">
        <f t="shared" si="85"/>
        <v>210</v>
      </c>
      <c r="O933" s="6">
        <f t="shared" si="86"/>
        <v>90</v>
      </c>
      <c r="P933" s="6">
        <f t="shared" si="87"/>
        <v>350</v>
      </c>
      <c r="Q933">
        <f t="shared" si="88"/>
        <v>1</v>
      </c>
      <c r="R933">
        <f t="shared" si="89"/>
        <v>1</v>
      </c>
    </row>
    <row r="934" spans="1:18" x14ac:dyDescent="0.25">
      <c r="A934">
        <f>Raw_data!A934</f>
        <v>933</v>
      </c>
      <c r="B934" t="str">
        <f>Raw_data!B934</f>
        <v>C4030</v>
      </c>
      <c r="C934" t="str">
        <f>Raw_data!C934</f>
        <v>R2363</v>
      </c>
      <c r="D934" s="3">
        <f>Raw_data!D934</f>
        <v>45304.678541666668</v>
      </c>
      <c r="E934" s="3">
        <f>Raw_data!E934</f>
        <v>45304.743819444448</v>
      </c>
      <c r="F934" s="4">
        <f t="shared" si="84"/>
        <v>6.5277777779556345E-2</v>
      </c>
      <c r="G934" s="6">
        <f>Raw_data!F934</f>
        <v>1610</v>
      </c>
      <c r="H934" s="6">
        <f>Raw_data!G934</f>
        <v>30</v>
      </c>
      <c r="I934" t="str">
        <f>Raw_data!H934</f>
        <v>Digital Wallet</v>
      </c>
      <c r="J934" s="7" t="str">
        <f>IF(Raw_data!I934=0.1,"10%",Raw_data!I934)</f>
        <v>5% on App</v>
      </c>
      <c r="K934" s="6">
        <f>Raw_data!J934</f>
        <v>115</v>
      </c>
      <c r="L934" s="6">
        <f>Raw_data!K934</f>
        <v>48</v>
      </c>
      <c r="M934" s="6">
        <f>Raw_data!L934</f>
        <v>0</v>
      </c>
      <c r="N934" s="6">
        <f t="shared" si="85"/>
        <v>1447</v>
      </c>
      <c r="O934" s="6">
        <f t="shared" si="86"/>
        <v>163</v>
      </c>
      <c r="P934" s="6">
        <f t="shared" si="87"/>
        <v>1640</v>
      </c>
      <c r="Q934">
        <f t="shared" si="88"/>
        <v>1</v>
      </c>
      <c r="R934">
        <f t="shared" si="89"/>
        <v>3</v>
      </c>
    </row>
    <row r="935" spans="1:18" x14ac:dyDescent="0.25">
      <c r="A935">
        <f>Raw_data!A935</f>
        <v>934</v>
      </c>
      <c r="B935" t="str">
        <f>Raw_data!B935</f>
        <v>C3872</v>
      </c>
      <c r="C935" t="str">
        <f>Raw_data!C935</f>
        <v>R2381</v>
      </c>
      <c r="D935" s="3">
        <f>Raw_data!D935</f>
        <v>45294.816041666665</v>
      </c>
      <c r="E935" s="3">
        <f>Raw_data!E935</f>
        <v>45294.872986111113</v>
      </c>
      <c r="F935" s="4">
        <f t="shared" si="84"/>
        <v>5.6944444448163267E-2</v>
      </c>
      <c r="G935" s="6">
        <f>Raw_data!F935</f>
        <v>1680</v>
      </c>
      <c r="H935" s="6">
        <f>Raw_data!G935</f>
        <v>40</v>
      </c>
      <c r="I935" t="str">
        <f>Raw_data!H935</f>
        <v>Cash on Delivery</v>
      </c>
      <c r="J935" s="7" t="str">
        <f>IF(Raw_data!I935=0.1,"10%",Raw_data!I935)</f>
        <v>15% New User</v>
      </c>
      <c r="K935" s="6">
        <f>Raw_data!J935</f>
        <v>59</v>
      </c>
      <c r="L935" s="6">
        <f>Raw_data!K935</f>
        <v>28</v>
      </c>
      <c r="M935" s="6">
        <f>Raw_data!L935</f>
        <v>0</v>
      </c>
      <c r="N935" s="6">
        <f t="shared" si="85"/>
        <v>1593</v>
      </c>
      <c r="O935" s="6">
        <f t="shared" si="86"/>
        <v>87</v>
      </c>
      <c r="P935" s="6">
        <f t="shared" si="87"/>
        <v>1720</v>
      </c>
      <c r="Q935">
        <f t="shared" si="88"/>
        <v>1</v>
      </c>
      <c r="R935">
        <f t="shared" si="89"/>
        <v>2</v>
      </c>
    </row>
    <row r="936" spans="1:18" x14ac:dyDescent="0.25">
      <c r="A936">
        <f>Raw_data!A936</f>
        <v>935</v>
      </c>
      <c r="B936" t="str">
        <f>Raw_data!B936</f>
        <v>C4072</v>
      </c>
      <c r="C936" t="str">
        <f>Raw_data!C936</f>
        <v>R2531</v>
      </c>
      <c r="D936" s="3">
        <f>Raw_data!D936</f>
        <v>45329.494629629633</v>
      </c>
      <c r="E936" s="3">
        <f>Raw_data!E936</f>
        <v>45329.519629629627</v>
      </c>
      <c r="F936" s="4">
        <f t="shared" si="84"/>
        <v>2.4999999994179234E-2</v>
      </c>
      <c r="G936" s="6">
        <f>Raw_data!F936</f>
        <v>1061</v>
      </c>
      <c r="H936" s="6">
        <f>Raw_data!G936</f>
        <v>30</v>
      </c>
      <c r="I936" t="str">
        <f>Raw_data!H936</f>
        <v>Cash on Delivery</v>
      </c>
      <c r="J936" s="7" t="str">
        <f>IF(Raw_data!I936=0.1,"10%",Raw_data!I936)</f>
        <v>5% on App</v>
      </c>
      <c r="K936" s="6">
        <f>Raw_data!J936</f>
        <v>175</v>
      </c>
      <c r="L936" s="6">
        <f>Raw_data!K936</f>
        <v>13</v>
      </c>
      <c r="M936" s="6">
        <f>Raw_data!L936</f>
        <v>0</v>
      </c>
      <c r="N936" s="6">
        <f t="shared" si="85"/>
        <v>873</v>
      </c>
      <c r="O936" s="6">
        <f t="shared" si="86"/>
        <v>188</v>
      </c>
      <c r="P936" s="6">
        <f t="shared" si="87"/>
        <v>1091</v>
      </c>
      <c r="Q936">
        <f t="shared" si="88"/>
        <v>2</v>
      </c>
      <c r="R936">
        <f t="shared" si="89"/>
        <v>2</v>
      </c>
    </row>
    <row r="937" spans="1:18" x14ac:dyDescent="0.25">
      <c r="A937">
        <f>Raw_data!A937</f>
        <v>936</v>
      </c>
      <c r="B937" t="str">
        <f>Raw_data!B937</f>
        <v>C2854</v>
      </c>
      <c r="C937" t="str">
        <f>Raw_data!C937</f>
        <v>R2955</v>
      </c>
      <c r="D937" s="3">
        <f>Raw_data!D937</f>
        <v>45323.931817129633</v>
      </c>
      <c r="E937" s="3">
        <f>Raw_data!E937</f>
        <v>45323.955428240741</v>
      </c>
      <c r="F937" s="4">
        <f t="shared" si="84"/>
        <v>2.361111110803904E-2</v>
      </c>
      <c r="G937" s="6">
        <f>Raw_data!F937</f>
        <v>1899</v>
      </c>
      <c r="H937" s="6">
        <f>Raw_data!G937</f>
        <v>40</v>
      </c>
      <c r="I937" t="str">
        <f>Raw_data!H937</f>
        <v>Digital Wallet</v>
      </c>
      <c r="J937" s="7" t="str">
        <f>IF(Raw_data!I937=0.1,"10%",Raw_data!I937)</f>
        <v>10%</v>
      </c>
      <c r="K937" s="6">
        <f>Raw_data!J937</f>
        <v>107</v>
      </c>
      <c r="L937" s="6">
        <f>Raw_data!K937</f>
        <v>39</v>
      </c>
      <c r="M937" s="6">
        <f>Raw_data!L937</f>
        <v>50</v>
      </c>
      <c r="N937" s="6">
        <f t="shared" si="85"/>
        <v>1753</v>
      </c>
      <c r="O937" s="6">
        <f t="shared" si="86"/>
        <v>96</v>
      </c>
      <c r="P937" s="6">
        <f t="shared" si="87"/>
        <v>1939</v>
      </c>
      <c r="Q937">
        <f t="shared" si="88"/>
        <v>1</v>
      </c>
      <c r="R937">
        <f t="shared" si="89"/>
        <v>2</v>
      </c>
    </row>
    <row r="938" spans="1:18" x14ac:dyDescent="0.25">
      <c r="A938">
        <f>Raw_data!A938</f>
        <v>937</v>
      </c>
      <c r="B938" t="str">
        <f>Raw_data!B938</f>
        <v>C5021</v>
      </c>
      <c r="C938" t="str">
        <f>Raw_data!C938</f>
        <v>R2151</v>
      </c>
      <c r="D938" s="3">
        <f>Raw_data!D938</f>
        <v>45318.922835648147</v>
      </c>
      <c r="E938" s="3">
        <f>Raw_data!E938</f>
        <v>45318.959641203706</v>
      </c>
      <c r="F938" s="4">
        <f t="shared" si="84"/>
        <v>3.680555555911269E-2</v>
      </c>
      <c r="G938" s="6">
        <f>Raw_data!F938</f>
        <v>682</v>
      </c>
      <c r="H938" s="6">
        <f>Raw_data!G938</f>
        <v>50</v>
      </c>
      <c r="I938" t="str">
        <f>Raw_data!H938</f>
        <v>Credit Card</v>
      </c>
      <c r="J938" s="7" t="str">
        <f>IF(Raw_data!I938=0.1,"10%",Raw_data!I938)</f>
        <v>15% New User</v>
      </c>
      <c r="K938" s="6">
        <f>Raw_data!J938</f>
        <v>191</v>
      </c>
      <c r="L938" s="6">
        <f>Raw_data!K938</f>
        <v>28</v>
      </c>
      <c r="M938" s="6">
        <f>Raw_data!L938</f>
        <v>0</v>
      </c>
      <c r="N938" s="6">
        <f t="shared" si="85"/>
        <v>463</v>
      </c>
      <c r="O938" s="6">
        <f t="shared" si="86"/>
        <v>219</v>
      </c>
      <c r="P938" s="6">
        <f t="shared" si="87"/>
        <v>732</v>
      </c>
      <c r="Q938">
        <f t="shared" si="88"/>
        <v>1</v>
      </c>
      <c r="R938">
        <f t="shared" si="89"/>
        <v>2</v>
      </c>
    </row>
    <row r="939" spans="1:18" x14ac:dyDescent="0.25">
      <c r="A939">
        <f>Raw_data!A939</f>
        <v>938</v>
      </c>
      <c r="B939" t="str">
        <f>Raw_data!B939</f>
        <v>C5662</v>
      </c>
      <c r="C939" t="str">
        <f>Raw_data!C939</f>
        <v>R2561</v>
      </c>
      <c r="D939" s="3">
        <f>Raw_data!D939</f>
        <v>45322.316805555558</v>
      </c>
      <c r="E939" s="3">
        <f>Raw_data!E939</f>
        <v>45322.356388888889</v>
      </c>
      <c r="F939" s="4">
        <f t="shared" si="84"/>
        <v>3.9583333331393078E-2</v>
      </c>
      <c r="G939" s="6">
        <f>Raw_data!F939</f>
        <v>1627</v>
      </c>
      <c r="H939" s="6">
        <f>Raw_data!G939</f>
        <v>50</v>
      </c>
      <c r="I939" t="str">
        <f>Raw_data!H939</f>
        <v>Credit Card</v>
      </c>
      <c r="J939" s="7" t="str">
        <f>IF(Raw_data!I939=0.1,"10%",Raw_data!I939)</f>
        <v>50 off Promo</v>
      </c>
      <c r="K939" s="6">
        <f>Raw_data!J939</f>
        <v>174</v>
      </c>
      <c r="L939" s="6">
        <f>Raw_data!K939</f>
        <v>40</v>
      </c>
      <c r="M939" s="6">
        <f>Raw_data!L939</f>
        <v>0</v>
      </c>
      <c r="N939" s="6">
        <f t="shared" si="85"/>
        <v>1413</v>
      </c>
      <c r="O939" s="6">
        <f t="shared" si="86"/>
        <v>214</v>
      </c>
      <c r="P939" s="6">
        <f t="shared" si="87"/>
        <v>1677</v>
      </c>
      <c r="Q939">
        <f t="shared" si="88"/>
        <v>1</v>
      </c>
      <c r="R939">
        <f t="shared" si="89"/>
        <v>2</v>
      </c>
    </row>
    <row r="940" spans="1:18" x14ac:dyDescent="0.25">
      <c r="A940">
        <f>Raw_data!A940</f>
        <v>939</v>
      </c>
      <c r="B940" t="str">
        <f>Raw_data!B940</f>
        <v>C7514</v>
      </c>
      <c r="C940" t="str">
        <f>Raw_data!C940</f>
        <v>R2688</v>
      </c>
      <c r="D940" s="3">
        <f>Raw_data!D940</f>
        <v>45312.132650462961</v>
      </c>
      <c r="E940" s="3">
        <f>Raw_data!E940</f>
        <v>45312.195844907408</v>
      </c>
      <c r="F940" s="4">
        <f t="shared" si="84"/>
        <v>6.3194444446708076E-2</v>
      </c>
      <c r="G940" s="6">
        <f>Raw_data!F940</f>
        <v>975</v>
      </c>
      <c r="H940" s="6">
        <f>Raw_data!G940</f>
        <v>0</v>
      </c>
      <c r="I940" t="str">
        <f>Raw_data!H940</f>
        <v>Digital Wallet</v>
      </c>
      <c r="J940" s="7" t="str">
        <f>IF(Raw_data!I940=0.1,"10%",Raw_data!I940)</f>
        <v>5% on App</v>
      </c>
      <c r="K940" s="6">
        <f>Raw_data!J940</f>
        <v>161</v>
      </c>
      <c r="L940" s="6">
        <f>Raw_data!K940</f>
        <v>40</v>
      </c>
      <c r="M940" s="6">
        <f>Raw_data!L940</f>
        <v>50</v>
      </c>
      <c r="N940" s="6">
        <f t="shared" si="85"/>
        <v>774</v>
      </c>
      <c r="O940" s="6">
        <f t="shared" si="86"/>
        <v>151</v>
      </c>
      <c r="P940" s="6">
        <f t="shared" si="87"/>
        <v>975</v>
      </c>
      <c r="Q940">
        <f t="shared" si="88"/>
        <v>1</v>
      </c>
      <c r="R940">
        <f t="shared" si="89"/>
        <v>3</v>
      </c>
    </row>
    <row r="941" spans="1:18" x14ac:dyDescent="0.25">
      <c r="A941">
        <f>Raw_data!A941</f>
        <v>940</v>
      </c>
      <c r="B941" t="str">
        <f>Raw_data!B941</f>
        <v>C6031</v>
      </c>
      <c r="C941" t="str">
        <f>Raw_data!C941</f>
        <v>R2946</v>
      </c>
      <c r="D941" s="3">
        <f>Raw_data!D941</f>
        <v>45316.88685185185</v>
      </c>
      <c r="E941" s="3">
        <f>Raw_data!E941</f>
        <v>45316.918796296297</v>
      </c>
      <c r="F941" s="4">
        <f t="shared" si="84"/>
        <v>3.1944444446708076E-2</v>
      </c>
      <c r="G941" s="6">
        <f>Raw_data!F941</f>
        <v>470</v>
      </c>
      <c r="H941" s="6">
        <f>Raw_data!G941</f>
        <v>40</v>
      </c>
      <c r="I941" t="str">
        <f>Raw_data!H941</f>
        <v>Digital Wallet</v>
      </c>
      <c r="J941" s="7" t="str">
        <f>IF(Raw_data!I941=0.1,"10%",Raw_data!I941)</f>
        <v>15% New User</v>
      </c>
      <c r="K941" s="6">
        <f>Raw_data!J941</f>
        <v>133</v>
      </c>
      <c r="L941" s="6">
        <f>Raw_data!K941</f>
        <v>18</v>
      </c>
      <c r="M941" s="6">
        <f>Raw_data!L941</f>
        <v>100</v>
      </c>
      <c r="N941" s="6">
        <f t="shared" si="85"/>
        <v>319</v>
      </c>
      <c r="O941" s="6">
        <f t="shared" si="86"/>
        <v>51</v>
      </c>
      <c r="P941" s="6">
        <f t="shared" si="87"/>
        <v>510</v>
      </c>
      <c r="Q941">
        <f t="shared" si="88"/>
        <v>1</v>
      </c>
      <c r="R941">
        <f t="shared" si="89"/>
        <v>2</v>
      </c>
    </row>
    <row r="942" spans="1:18" x14ac:dyDescent="0.25">
      <c r="A942">
        <f>Raw_data!A942</f>
        <v>941</v>
      </c>
      <c r="B942" t="str">
        <f>Raw_data!B942</f>
        <v>C3708</v>
      </c>
      <c r="C942" t="str">
        <f>Raw_data!C942</f>
        <v>R2607</v>
      </c>
      <c r="D942" s="3">
        <f>Raw_data!D942</f>
        <v>45309.665763888886</v>
      </c>
      <c r="E942" s="3">
        <f>Raw_data!E942</f>
        <v>45309.699791666666</v>
      </c>
      <c r="F942" s="4">
        <f t="shared" si="84"/>
        <v>3.4027777779556345E-2</v>
      </c>
      <c r="G942" s="6">
        <f>Raw_data!F942</f>
        <v>202</v>
      </c>
      <c r="H942" s="6">
        <f>Raw_data!G942</f>
        <v>40</v>
      </c>
      <c r="I942" t="str">
        <f>Raw_data!H942</f>
        <v>Cash on Delivery</v>
      </c>
      <c r="J942" s="7" t="str">
        <f>IF(Raw_data!I942=0.1,"10%",Raw_data!I942)</f>
        <v>15% New User</v>
      </c>
      <c r="K942" s="6">
        <f>Raw_data!J942</f>
        <v>192</v>
      </c>
      <c r="L942" s="6">
        <f>Raw_data!K942</f>
        <v>22</v>
      </c>
      <c r="M942" s="6">
        <f>Raw_data!L942</f>
        <v>0</v>
      </c>
      <c r="N942" s="6">
        <f t="shared" si="85"/>
        <v>-12</v>
      </c>
      <c r="O942" s="6">
        <f t="shared" si="86"/>
        <v>214</v>
      </c>
      <c r="P942" s="6">
        <f t="shared" si="87"/>
        <v>242</v>
      </c>
      <c r="Q942">
        <f t="shared" si="88"/>
        <v>1</v>
      </c>
      <c r="R942">
        <f t="shared" si="89"/>
        <v>2</v>
      </c>
    </row>
    <row r="943" spans="1:18" x14ac:dyDescent="0.25">
      <c r="A943">
        <f>Raw_data!A943</f>
        <v>942</v>
      </c>
      <c r="B943" t="str">
        <f>Raw_data!B943</f>
        <v>C8112</v>
      </c>
      <c r="C943" t="str">
        <f>Raw_data!C943</f>
        <v>R2616</v>
      </c>
      <c r="D943" s="3">
        <f>Raw_data!D943</f>
        <v>45304.405787037038</v>
      </c>
      <c r="E943" s="3">
        <f>Raw_data!E943</f>
        <v>45304.42800925926</v>
      </c>
      <c r="F943" s="4">
        <f t="shared" si="84"/>
        <v>2.2222222221898846E-2</v>
      </c>
      <c r="G943" s="6">
        <f>Raw_data!F943</f>
        <v>1101</v>
      </c>
      <c r="H943" s="6">
        <f>Raw_data!G943</f>
        <v>20</v>
      </c>
      <c r="I943" t="str">
        <f>Raw_data!H943</f>
        <v>Digital Wallet</v>
      </c>
      <c r="J943" s="7" t="str">
        <f>IF(Raw_data!I943=0.1,"10%",Raw_data!I943)</f>
        <v>15% New User</v>
      </c>
      <c r="K943" s="6">
        <f>Raw_data!J943</f>
        <v>145</v>
      </c>
      <c r="L943" s="6">
        <f>Raw_data!K943</f>
        <v>23</v>
      </c>
      <c r="M943" s="6">
        <f>Raw_data!L943</f>
        <v>0</v>
      </c>
      <c r="N943" s="6">
        <f t="shared" si="85"/>
        <v>933</v>
      </c>
      <c r="O943" s="6">
        <f t="shared" si="86"/>
        <v>168</v>
      </c>
      <c r="P943" s="6">
        <f t="shared" si="87"/>
        <v>1121</v>
      </c>
      <c r="Q943">
        <f t="shared" si="88"/>
        <v>1</v>
      </c>
      <c r="R943">
        <f t="shared" si="89"/>
        <v>2</v>
      </c>
    </row>
    <row r="944" spans="1:18" x14ac:dyDescent="0.25">
      <c r="A944">
        <f>Raw_data!A944</f>
        <v>943</v>
      </c>
      <c r="B944" t="str">
        <f>Raw_data!B944</f>
        <v>C9393</v>
      </c>
      <c r="C944" t="str">
        <f>Raw_data!C944</f>
        <v>R2419</v>
      </c>
      <c r="D944" s="3">
        <f>Raw_data!D944</f>
        <v>45315.46539351852</v>
      </c>
      <c r="E944" s="3">
        <f>Raw_data!E944</f>
        <v>45315.51122685185</v>
      </c>
      <c r="F944" s="4">
        <f t="shared" si="84"/>
        <v>4.5833333329937886E-2</v>
      </c>
      <c r="G944" s="6">
        <f>Raw_data!F944</f>
        <v>1248</v>
      </c>
      <c r="H944" s="6">
        <f>Raw_data!G944</f>
        <v>20</v>
      </c>
      <c r="I944" t="str">
        <f>Raw_data!H944</f>
        <v>Cash on Delivery</v>
      </c>
      <c r="J944" s="7" t="str">
        <f>IF(Raw_data!I944=0.1,"10%",Raw_data!I944)</f>
        <v>None</v>
      </c>
      <c r="K944" s="6">
        <f>Raw_data!J944</f>
        <v>82</v>
      </c>
      <c r="L944" s="6">
        <f>Raw_data!K944</f>
        <v>19</v>
      </c>
      <c r="M944" s="6">
        <f>Raw_data!L944</f>
        <v>0</v>
      </c>
      <c r="N944" s="6">
        <f t="shared" si="85"/>
        <v>1147</v>
      </c>
      <c r="O944" s="6">
        <f t="shared" si="86"/>
        <v>101</v>
      </c>
      <c r="P944" s="6">
        <f t="shared" si="87"/>
        <v>1268</v>
      </c>
      <c r="Q944">
        <f t="shared" si="88"/>
        <v>1</v>
      </c>
      <c r="R944">
        <f t="shared" si="89"/>
        <v>1</v>
      </c>
    </row>
    <row r="945" spans="1:18" x14ac:dyDescent="0.25">
      <c r="A945">
        <f>Raw_data!A945</f>
        <v>944</v>
      </c>
      <c r="B945" t="str">
        <f>Raw_data!B945</f>
        <v>C4507</v>
      </c>
      <c r="C945" t="str">
        <f>Raw_data!C945</f>
        <v>R2249</v>
      </c>
      <c r="D945" s="3">
        <f>Raw_data!D945</f>
        <v>45317.237511574072</v>
      </c>
      <c r="E945" s="3">
        <f>Raw_data!E945</f>
        <v>45317.320150462961</v>
      </c>
      <c r="F945" s="4">
        <f t="shared" si="84"/>
        <v>8.2638888889050577E-2</v>
      </c>
      <c r="G945" s="6">
        <f>Raw_data!F945</f>
        <v>1436</v>
      </c>
      <c r="H945" s="6">
        <f>Raw_data!G945</f>
        <v>20</v>
      </c>
      <c r="I945" t="str">
        <f>Raw_data!H945</f>
        <v>Digital Wallet</v>
      </c>
      <c r="J945" s="7" t="str">
        <f>IF(Raw_data!I945=0.1,"10%",Raw_data!I945)</f>
        <v>5% on App</v>
      </c>
      <c r="K945" s="6">
        <f>Raw_data!J945</f>
        <v>194</v>
      </c>
      <c r="L945" s="6">
        <f>Raw_data!K945</f>
        <v>40</v>
      </c>
      <c r="M945" s="6">
        <f>Raw_data!L945</f>
        <v>0</v>
      </c>
      <c r="N945" s="6">
        <f t="shared" si="85"/>
        <v>1202</v>
      </c>
      <c r="O945" s="6">
        <f t="shared" si="86"/>
        <v>234</v>
      </c>
      <c r="P945" s="6">
        <f t="shared" si="87"/>
        <v>1456</v>
      </c>
      <c r="Q945">
        <f t="shared" si="88"/>
        <v>1</v>
      </c>
      <c r="R945">
        <f t="shared" si="89"/>
        <v>2</v>
      </c>
    </row>
    <row r="946" spans="1:18" x14ac:dyDescent="0.25">
      <c r="A946">
        <f>Raw_data!A946</f>
        <v>945</v>
      </c>
      <c r="B946" t="str">
        <f>Raw_data!B946</f>
        <v>C7456</v>
      </c>
      <c r="C946" t="str">
        <f>Raw_data!C946</f>
        <v>R2116</v>
      </c>
      <c r="D946" s="3">
        <f>Raw_data!D946</f>
        <v>45301.39298611111</v>
      </c>
      <c r="E946" s="3">
        <f>Raw_data!E946</f>
        <v>45301.423541666663</v>
      </c>
      <c r="F946" s="4">
        <f t="shared" si="84"/>
        <v>3.0555555553291924E-2</v>
      </c>
      <c r="G946" s="6">
        <f>Raw_data!F946</f>
        <v>1075</v>
      </c>
      <c r="H946" s="6">
        <f>Raw_data!G946</f>
        <v>30</v>
      </c>
      <c r="I946" t="str">
        <f>Raw_data!H946</f>
        <v>Credit Card</v>
      </c>
      <c r="J946" s="7" t="str">
        <f>IF(Raw_data!I946=0.1,"10%",Raw_data!I946)</f>
        <v>15% New User</v>
      </c>
      <c r="K946" s="6">
        <f>Raw_data!J946</f>
        <v>190</v>
      </c>
      <c r="L946" s="6">
        <f>Raw_data!K946</f>
        <v>46</v>
      </c>
      <c r="M946" s="6">
        <f>Raw_data!L946</f>
        <v>0</v>
      </c>
      <c r="N946" s="6">
        <f t="shared" si="85"/>
        <v>839</v>
      </c>
      <c r="O946" s="6">
        <f t="shared" si="86"/>
        <v>236</v>
      </c>
      <c r="P946" s="6">
        <f t="shared" si="87"/>
        <v>1105</v>
      </c>
      <c r="Q946">
        <f t="shared" si="88"/>
        <v>1</v>
      </c>
      <c r="R946">
        <f t="shared" si="89"/>
        <v>2</v>
      </c>
    </row>
    <row r="947" spans="1:18" x14ac:dyDescent="0.25">
      <c r="A947">
        <f>Raw_data!A947</f>
        <v>946</v>
      </c>
      <c r="B947" t="str">
        <f>Raw_data!B947</f>
        <v>C5212</v>
      </c>
      <c r="C947" t="str">
        <f>Raw_data!C947</f>
        <v>R2865</v>
      </c>
      <c r="D947" s="3">
        <f>Raw_data!D947</f>
        <v>45324.805763888886</v>
      </c>
      <c r="E947" s="3">
        <f>Raw_data!E947</f>
        <v>45324.861319444448</v>
      </c>
      <c r="F947" s="4">
        <f t="shared" si="84"/>
        <v>5.5555555562023073E-2</v>
      </c>
      <c r="G947" s="6">
        <f>Raw_data!F947</f>
        <v>897</v>
      </c>
      <c r="H947" s="6">
        <f>Raw_data!G947</f>
        <v>20</v>
      </c>
      <c r="I947" t="str">
        <f>Raw_data!H947</f>
        <v>Credit Card</v>
      </c>
      <c r="J947" s="7" t="str">
        <f>IF(Raw_data!I947=0.1,"10%",Raw_data!I947)</f>
        <v>5% on App</v>
      </c>
      <c r="K947" s="6">
        <f>Raw_data!J947</f>
        <v>96</v>
      </c>
      <c r="L947" s="6">
        <f>Raw_data!K947</f>
        <v>32</v>
      </c>
      <c r="M947" s="6">
        <f>Raw_data!L947</f>
        <v>0</v>
      </c>
      <c r="N947" s="6">
        <f t="shared" si="85"/>
        <v>769</v>
      </c>
      <c r="O947" s="6">
        <f t="shared" si="86"/>
        <v>128</v>
      </c>
      <c r="P947" s="6">
        <f t="shared" si="87"/>
        <v>917</v>
      </c>
      <c r="Q947">
        <f t="shared" si="88"/>
        <v>1</v>
      </c>
      <c r="R947">
        <f t="shared" si="89"/>
        <v>4</v>
      </c>
    </row>
    <row r="948" spans="1:18" x14ac:dyDescent="0.25">
      <c r="A948">
        <f>Raw_data!A948</f>
        <v>947</v>
      </c>
      <c r="B948" t="str">
        <f>Raw_data!B948</f>
        <v>C8970</v>
      </c>
      <c r="C948" t="str">
        <f>Raw_data!C948</f>
        <v>R2511</v>
      </c>
      <c r="D948" s="3">
        <f>Raw_data!D948</f>
        <v>45298.795138888891</v>
      </c>
      <c r="E948" s="3">
        <f>Raw_data!E948</f>
        <v>45298.848611111112</v>
      </c>
      <c r="F948" s="4">
        <f t="shared" si="84"/>
        <v>5.3472222221898846E-2</v>
      </c>
      <c r="G948" s="6">
        <f>Raw_data!F948</f>
        <v>1581</v>
      </c>
      <c r="H948" s="6">
        <f>Raw_data!G948</f>
        <v>40</v>
      </c>
      <c r="I948" t="str">
        <f>Raw_data!H948</f>
        <v>Digital Wallet</v>
      </c>
      <c r="J948" s="7" t="str">
        <f>IF(Raw_data!I948=0.1,"10%",Raw_data!I948)</f>
        <v>15% New User</v>
      </c>
      <c r="K948" s="6">
        <f>Raw_data!J948</f>
        <v>161</v>
      </c>
      <c r="L948" s="6">
        <f>Raw_data!K948</f>
        <v>36</v>
      </c>
      <c r="M948" s="6">
        <f>Raw_data!L948</f>
        <v>0</v>
      </c>
      <c r="N948" s="6">
        <f t="shared" si="85"/>
        <v>1384</v>
      </c>
      <c r="O948" s="6">
        <f t="shared" si="86"/>
        <v>197</v>
      </c>
      <c r="P948" s="6">
        <f t="shared" si="87"/>
        <v>1621</v>
      </c>
      <c r="Q948">
        <f t="shared" si="88"/>
        <v>1</v>
      </c>
      <c r="R948">
        <f t="shared" si="89"/>
        <v>2</v>
      </c>
    </row>
    <row r="949" spans="1:18" x14ac:dyDescent="0.25">
      <c r="A949">
        <f>Raw_data!A949</f>
        <v>948</v>
      </c>
      <c r="B949" t="str">
        <f>Raw_data!B949</f>
        <v>C9766</v>
      </c>
      <c r="C949" t="str">
        <f>Raw_data!C949</f>
        <v>R2739</v>
      </c>
      <c r="D949" s="3">
        <f>Raw_data!D949</f>
        <v>45319.566342592596</v>
      </c>
      <c r="E949" s="3">
        <f>Raw_data!E949</f>
        <v>45319.592037037037</v>
      </c>
      <c r="F949" s="4">
        <f t="shared" si="84"/>
        <v>2.569444444088731E-2</v>
      </c>
      <c r="G949" s="6">
        <f>Raw_data!F949</f>
        <v>1353</v>
      </c>
      <c r="H949" s="6">
        <f>Raw_data!G949</f>
        <v>30</v>
      </c>
      <c r="I949" t="str">
        <f>Raw_data!H949</f>
        <v>Cash on Delivery</v>
      </c>
      <c r="J949" s="7" t="str">
        <f>IF(Raw_data!I949=0.1,"10%",Raw_data!I949)</f>
        <v>50 off Promo</v>
      </c>
      <c r="K949" s="6">
        <f>Raw_data!J949</f>
        <v>193</v>
      </c>
      <c r="L949" s="6">
        <f>Raw_data!K949</f>
        <v>15</v>
      </c>
      <c r="M949" s="6">
        <f>Raw_data!L949</f>
        <v>0</v>
      </c>
      <c r="N949" s="6">
        <f t="shared" si="85"/>
        <v>1145</v>
      </c>
      <c r="O949" s="6">
        <f t="shared" si="86"/>
        <v>208</v>
      </c>
      <c r="P949" s="6">
        <f t="shared" si="87"/>
        <v>1383</v>
      </c>
      <c r="Q949">
        <f t="shared" si="88"/>
        <v>1</v>
      </c>
      <c r="R949">
        <f t="shared" si="89"/>
        <v>2</v>
      </c>
    </row>
    <row r="950" spans="1:18" x14ac:dyDescent="0.25">
      <c r="A950">
        <f>Raw_data!A950</f>
        <v>949</v>
      </c>
      <c r="B950" t="str">
        <f>Raw_data!B950</f>
        <v>C1536</v>
      </c>
      <c r="C950" t="str">
        <f>Raw_data!C950</f>
        <v>R2577</v>
      </c>
      <c r="D950" s="3">
        <f>Raw_data!D950</f>
        <v>45313.735775462963</v>
      </c>
      <c r="E950" s="3">
        <f>Raw_data!E950</f>
        <v>45313.76494212963</v>
      </c>
      <c r="F950" s="4">
        <f t="shared" si="84"/>
        <v>2.9166666667151731E-2</v>
      </c>
      <c r="G950" s="6">
        <f>Raw_data!F950</f>
        <v>757</v>
      </c>
      <c r="H950" s="6">
        <f>Raw_data!G950</f>
        <v>50</v>
      </c>
      <c r="I950" t="str">
        <f>Raw_data!H950</f>
        <v>Credit Card</v>
      </c>
      <c r="J950" s="7" t="str">
        <f>IF(Raw_data!I950=0.1,"10%",Raw_data!I950)</f>
        <v>50 off Promo</v>
      </c>
      <c r="K950" s="6">
        <f>Raw_data!J950</f>
        <v>92</v>
      </c>
      <c r="L950" s="6">
        <f>Raw_data!K950</f>
        <v>35</v>
      </c>
      <c r="M950" s="6">
        <f>Raw_data!L950</f>
        <v>0</v>
      </c>
      <c r="N950" s="6">
        <f t="shared" si="85"/>
        <v>630</v>
      </c>
      <c r="O950" s="6">
        <f t="shared" si="86"/>
        <v>127</v>
      </c>
      <c r="P950" s="6">
        <f t="shared" si="87"/>
        <v>807</v>
      </c>
      <c r="Q950">
        <f t="shared" si="88"/>
        <v>1</v>
      </c>
      <c r="R950">
        <f t="shared" si="89"/>
        <v>1</v>
      </c>
    </row>
    <row r="951" spans="1:18" x14ac:dyDescent="0.25">
      <c r="A951">
        <f>Raw_data!A951</f>
        <v>950</v>
      </c>
      <c r="B951" t="str">
        <f>Raw_data!B951</f>
        <v>C2625</v>
      </c>
      <c r="C951" t="str">
        <f>Raw_data!C951</f>
        <v>R2334</v>
      </c>
      <c r="D951" s="3">
        <f>Raw_data!D951</f>
        <v>45322.327638888892</v>
      </c>
      <c r="E951" s="3">
        <f>Raw_data!E951</f>
        <v>45322.381111111114</v>
      </c>
      <c r="F951" s="4">
        <f t="shared" si="84"/>
        <v>5.3472222221898846E-2</v>
      </c>
      <c r="G951" s="6">
        <f>Raw_data!F951</f>
        <v>981</v>
      </c>
      <c r="H951" s="6">
        <f>Raw_data!G951</f>
        <v>0</v>
      </c>
      <c r="I951" t="str">
        <f>Raw_data!H951</f>
        <v>Cash on Delivery</v>
      </c>
      <c r="J951" s="7" t="str">
        <f>IF(Raw_data!I951=0.1,"10%",Raw_data!I951)</f>
        <v>50 off Promo</v>
      </c>
      <c r="K951" s="6">
        <f>Raw_data!J951</f>
        <v>57</v>
      </c>
      <c r="L951" s="6">
        <f>Raw_data!K951</f>
        <v>11</v>
      </c>
      <c r="M951" s="6">
        <f>Raw_data!L951</f>
        <v>150</v>
      </c>
      <c r="N951" s="6">
        <f t="shared" si="85"/>
        <v>913</v>
      </c>
      <c r="O951" s="6">
        <f t="shared" si="86"/>
        <v>-82</v>
      </c>
      <c r="P951" s="6">
        <f t="shared" si="87"/>
        <v>981</v>
      </c>
      <c r="Q951">
        <f t="shared" si="88"/>
        <v>1</v>
      </c>
      <c r="R951">
        <f t="shared" si="89"/>
        <v>3</v>
      </c>
    </row>
    <row r="952" spans="1:18" x14ac:dyDescent="0.25">
      <c r="A952">
        <f>Raw_data!A952</f>
        <v>951</v>
      </c>
      <c r="B952" t="str">
        <f>Raw_data!B952</f>
        <v>C8973</v>
      </c>
      <c r="C952" t="str">
        <f>Raw_data!C952</f>
        <v>R2417</v>
      </c>
      <c r="D952" s="3">
        <f>Raw_data!D952</f>
        <v>45300.901585648149</v>
      </c>
      <c r="E952" s="3">
        <f>Raw_data!E952</f>
        <v>45300.923807870371</v>
      </c>
      <c r="F952" s="4">
        <f t="shared" si="84"/>
        <v>2.2222222221898846E-2</v>
      </c>
      <c r="G952" s="6">
        <f>Raw_data!F952</f>
        <v>1320</v>
      </c>
      <c r="H952" s="6">
        <f>Raw_data!G952</f>
        <v>20</v>
      </c>
      <c r="I952" t="str">
        <f>Raw_data!H952</f>
        <v>Digital Wallet</v>
      </c>
      <c r="J952" s="7" t="str">
        <f>IF(Raw_data!I952=0.1,"10%",Raw_data!I952)</f>
        <v>10%</v>
      </c>
      <c r="K952" s="6">
        <f>Raw_data!J952</f>
        <v>52</v>
      </c>
      <c r="L952" s="6">
        <f>Raw_data!K952</f>
        <v>22</v>
      </c>
      <c r="M952" s="6">
        <f>Raw_data!L952</f>
        <v>0</v>
      </c>
      <c r="N952" s="6">
        <f t="shared" si="85"/>
        <v>1246</v>
      </c>
      <c r="O952" s="6">
        <f t="shared" si="86"/>
        <v>74</v>
      </c>
      <c r="P952" s="6">
        <f t="shared" si="87"/>
        <v>1340</v>
      </c>
      <c r="Q952">
        <f t="shared" si="88"/>
        <v>1</v>
      </c>
      <c r="R952">
        <f t="shared" si="89"/>
        <v>2</v>
      </c>
    </row>
    <row r="953" spans="1:18" x14ac:dyDescent="0.25">
      <c r="A953">
        <f>Raw_data!A953</f>
        <v>952</v>
      </c>
      <c r="B953" t="str">
        <f>Raw_data!B953</f>
        <v>C9577</v>
      </c>
      <c r="C953" t="str">
        <f>Raw_data!C953</f>
        <v>R2931</v>
      </c>
      <c r="D953" s="3">
        <f>Raw_data!D953</f>
        <v>45319.191157407404</v>
      </c>
      <c r="E953" s="3">
        <f>Raw_data!E953</f>
        <v>45319.256435185183</v>
      </c>
      <c r="F953" s="4">
        <f t="shared" si="84"/>
        <v>6.5277777779556345E-2</v>
      </c>
      <c r="G953" s="6">
        <f>Raw_data!F953</f>
        <v>832</v>
      </c>
      <c r="H953" s="6">
        <f>Raw_data!G953</f>
        <v>50</v>
      </c>
      <c r="I953" t="str">
        <f>Raw_data!H953</f>
        <v>Digital Wallet</v>
      </c>
      <c r="J953" s="7" t="str">
        <f>IF(Raw_data!I953=0.1,"10%",Raw_data!I953)</f>
        <v>15% New User</v>
      </c>
      <c r="K953" s="6">
        <f>Raw_data!J953</f>
        <v>174</v>
      </c>
      <c r="L953" s="6">
        <f>Raw_data!K953</f>
        <v>28</v>
      </c>
      <c r="M953" s="6">
        <f>Raw_data!L953</f>
        <v>0</v>
      </c>
      <c r="N953" s="6">
        <f t="shared" si="85"/>
        <v>630</v>
      </c>
      <c r="O953" s="6">
        <f t="shared" si="86"/>
        <v>202</v>
      </c>
      <c r="P953" s="6">
        <f t="shared" si="87"/>
        <v>882</v>
      </c>
      <c r="Q953">
        <f t="shared" si="88"/>
        <v>1</v>
      </c>
      <c r="R953">
        <f t="shared" si="89"/>
        <v>1</v>
      </c>
    </row>
    <row r="954" spans="1:18" x14ac:dyDescent="0.25">
      <c r="A954">
        <f>Raw_data!A954</f>
        <v>953</v>
      </c>
      <c r="B954" t="str">
        <f>Raw_data!B954</f>
        <v>C9070</v>
      </c>
      <c r="C954" t="str">
        <f>Raw_data!C954</f>
        <v>R2773</v>
      </c>
      <c r="D954" s="3">
        <f>Raw_data!D954</f>
        <v>45325.18005787037</v>
      </c>
      <c r="E954" s="3">
        <f>Raw_data!E954</f>
        <v>45325.250891203701</v>
      </c>
      <c r="F954" s="4">
        <f t="shared" si="84"/>
        <v>7.0833333331393078E-2</v>
      </c>
      <c r="G954" s="6">
        <f>Raw_data!F954</f>
        <v>522</v>
      </c>
      <c r="H954" s="6">
        <f>Raw_data!G954</f>
        <v>40</v>
      </c>
      <c r="I954" t="str">
        <f>Raw_data!H954</f>
        <v>Credit Card</v>
      </c>
      <c r="J954" s="7" t="str">
        <f>IF(Raw_data!I954=0.1,"10%",Raw_data!I954)</f>
        <v>10%</v>
      </c>
      <c r="K954" s="6">
        <f>Raw_data!J954</f>
        <v>61</v>
      </c>
      <c r="L954" s="6">
        <f>Raw_data!K954</f>
        <v>10</v>
      </c>
      <c r="M954" s="6">
        <f>Raw_data!L954</f>
        <v>0</v>
      </c>
      <c r="N954" s="6">
        <f t="shared" si="85"/>
        <v>451</v>
      </c>
      <c r="O954" s="6">
        <f t="shared" si="86"/>
        <v>71</v>
      </c>
      <c r="P954" s="6">
        <f t="shared" si="87"/>
        <v>562</v>
      </c>
      <c r="Q954">
        <f t="shared" si="88"/>
        <v>1</v>
      </c>
      <c r="R954">
        <f t="shared" si="89"/>
        <v>4</v>
      </c>
    </row>
    <row r="955" spans="1:18" x14ac:dyDescent="0.25">
      <c r="A955">
        <f>Raw_data!A955</f>
        <v>954</v>
      </c>
      <c r="B955" t="str">
        <f>Raw_data!B955</f>
        <v>C9666</v>
      </c>
      <c r="C955" t="str">
        <f>Raw_data!C955</f>
        <v>R2294</v>
      </c>
      <c r="D955" s="3">
        <f>Raw_data!D955</f>
        <v>45307.473622685182</v>
      </c>
      <c r="E955" s="3">
        <f>Raw_data!E955</f>
        <v>45307.515289351853</v>
      </c>
      <c r="F955" s="4">
        <f t="shared" si="84"/>
        <v>4.1666666671517305E-2</v>
      </c>
      <c r="G955" s="6">
        <f>Raw_data!F955</f>
        <v>671</v>
      </c>
      <c r="H955" s="6">
        <f>Raw_data!G955</f>
        <v>0</v>
      </c>
      <c r="I955" t="str">
        <f>Raw_data!H955</f>
        <v>Digital Wallet</v>
      </c>
      <c r="J955" s="7" t="str">
        <f>IF(Raw_data!I955=0.1,"10%",Raw_data!I955)</f>
        <v>5% on App</v>
      </c>
      <c r="K955" s="6">
        <f>Raw_data!J955</f>
        <v>133</v>
      </c>
      <c r="L955" s="6">
        <f>Raw_data!K955</f>
        <v>49</v>
      </c>
      <c r="M955" s="6">
        <f>Raw_data!L955</f>
        <v>150</v>
      </c>
      <c r="N955" s="6">
        <f t="shared" si="85"/>
        <v>489</v>
      </c>
      <c r="O955" s="6">
        <f t="shared" si="86"/>
        <v>32</v>
      </c>
      <c r="P955" s="6">
        <f t="shared" si="87"/>
        <v>671</v>
      </c>
      <c r="Q955">
        <f t="shared" si="88"/>
        <v>2</v>
      </c>
      <c r="R955">
        <f t="shared" si="89"/>
        <v>2</v>
      </c>
    </row>
    <row r="956" spans="1:18" x14ac:dyDescent="0.25">
      <c r="A956">
        <f>Raw_data!A956</f>
        <v>955</v>
      </c>
      <c r="B956" t="str">
        <f>Raw_data!B956</f>
        <v>C9609</v>
      </c>
      <c r="C956" t="str">
        <f>Raw_data!C956</f>
        <v>R2937</v>
      </c>
      <c r="D956" s="3">
        <f>Raw_data!D956</f>
        <v>45318.017812500002</v>
      </c>
      <c r="E956" s="3">
        <f>Raw_data!E956</f>
        <v>45318.056006944447</v>
      </c>
      <c r="F956" s="4">
        <f t="shared" si="84"/>
        <v>3.8194444445252884E-2</v>
      </c>
      <c r="G956" s="6">
        <f>Raw_data!F956</f>
        <v>1733</v>
      </c>
      <c r="H956" s="6">
        <f>Raw_data!G956</f>
        <v>50</v>
      </c>
      <c r="I956" t="str">
        <f>Raw_data!H956</f>
        <v>Credit Card</v>
      </c>
      <c r="J956" s="7" t="str">
        <f>IF(Raw_data!I956=0.1,"10%",Raw_data!I956)</f>
        <v>10%</v>
      </c>
      <c r="K956" s="6">
        <f>Raw_data!J956</f>
        <v>65</v>
      </c>
      <c r="L956" s="6">
        <f>Raw_data!K956</f>
        <v>41</v>
      </c>
      <c r="M956" s="6">
        <f>Raw_data!L956</f>
        <v>0</v>
      </c>
      <c r="N956" s="6">
        <f t="shared" si="85"/>
        <v>1627</v>
      </c>
      <c r="O956" s="6">
        <f t="shared" si="86"/>
        <v>106</v>
      </c>
      <c r="P956" s="6">
        <f t="shared" si="87"/>
        <v>1783</v>
      </c>
      <c r="Q956">
        <f t="shared" si="88"/>
        <v>1</v>
      </c>
      <c r="R956">
        <f t="shared" si="89"/>
        <v>1</v>
      </c>
    </row>
    <row r="957" spans="1:18" x14ac:dyDescent="0.25">
      <c r="A957">
        <f>Raw_data!A957</f>
        <v>956</v>
      </c>
      <c r="B957" t="str">
        <f>Raw_data!B957</f>
        <v>C7490</v>
      </c>
      <c r="C957" t="str">
        <f>Raw_data!C957</f>
        <v>R2754</v>
      </c>
      <c r="D957" s="3">
        <f>Raw_data!D957</f>
        <v>45293.856261574074</v>
      </c>
      <c r="E957" s="3">
        <f>Raw_data!E957</f>
        <v>45293.932650462964</v>
      </c>
      <c r="F957" s="4">
        <f t="shared" si="84"/>
        <v>7.6388888890505768E-2</v>
      </c>
      <c r="G957" s="6">
        <f>Raw_data!F957</f>
        <v>270</v>
      </c>
      <c r="H957" s="6">
        <f>Raw_data!G957</f>
        <v>0</v>
      </c>
      <c r="I957" t="str">
        <f>Raw_data!H957</f>
        <v>Cash on Delivery</v>
      </c>
      <c r="J957" s="7" t="str">
        <f>IF(Raw_data!I957=0.1,"10%",Raw_data!I957)</f>
        <v>5% on App</v>
      </c>
      <c r="K957" s="6">
        <f>Raw_data!J957</f>
        <v>127</v>
      </c>
      <c r="L957" s="6">
        <f>Raw_data!K957</f>
        <v>31</v>
      </c>
      <c r="M957" s="6">
        <f>Raw_data!L957</f>
        <v>0</v>
      </c>
      <c r="N957" s="6">
        <f t="shared" si="85"/>
        <v>112</v>
      </c>
      <c r="O957" s="6">
        <f t="shared" si="86"/>
        <v>158</v>
      </c>
      <c r="P957" s="6">
        <f t="shared" si="87"/>
        <v>270</v>
      </c>
      <c r="Q957">
        <f t="shared" si="88"/>
        <v>1</v>
      </c>
      <c r="R957">
        <f t="shared" si="89"/>
        <v>2</v>
      </c>
    </row>
    <row r="958" spans="1:18" x14ac:dyDescent="0.25">
      <c r="A958">
        <f>Raw_data!A958</f>
        <v>957</v>
      </c>
      <c r="B958" t="str">
        <f>Raw_data!B958</f>
        <v>C4600</v>
      </c>
      <c r="C958" t="str">
        <f>Raw_data!C958</f>
        <v>R2370</v>
      </c>
      <c r="D958" s="3">
        <f>Raw_data!D958</f>
        <v>45311.895995370367</v>
      </c>
      <c r="E958" s="3">
        <f>Raw_data!E958</f>
        <v>45311.955023148148</v>
      </c>
      <c r="F958" s="4">
        <f t="shared" si="84"/>
        <v>5.9027777781011537E-2</v>
      </c>
      <c r="G958" s="6">
        <f>Raw_data!F958</f>
        <v>1505</v>
      </c>
      <c r="H958" s="6">
        <f>Raw_data!G958</f>
        <v>20</v>
      </c>
      <c r="I958" t="str">
        <f>Raw_data!H958</f>
        <v>Credit Card</v>
      </c>
      <c r="J958" s="7" t="str">
        <f>IF(Raw_data!I958=0.1,"10%",Raw_data!I958)</f>
        <v>5% on App</v>
      </c>
      <c r="K958" s="6">
        <f>Raw_data!J958</f>
        <v>108</v>
      </c>
      <c r="L958" s="6">
        <f>Raw_data!K958</f>
        <v>38</v>
      </c>
      <c r="M958" s="6">
        <f>Raw_data!L958</f>
        <v>0</v>
      </c>
      <c r="N958" s="6">
        <f t="shared" si="85"/>
        <v>1359</v>
      </c>
      <c r="O958" s="6">
        <f t="shared" si="86"/>
        <v>146</v>
      </c>
      <c r="P958" s="6">
        <f t="shared" si="87"/>
        <v>1525</v>
      </c>
      <c r="Q958">
        <f t="shared" si="88"/>
        <v>1</v>
      </c>
      <c r="R958">
        <f t="shared" si="89"/>
        <v>2</v>
      </c>
    </row>
    <row r="959" spans="1:18" x14ac:dyDescent="0.25">
      <c r="A959">
        <f>Raw_data!A959</f>
        <v>958</v>
      </c>
      <c r="B959" t="str">
        <f>Raw_data!B959</f>
        <v>C7783</v>
      </c>
      <c r="C959" t="str">
        <f>Raw_data!C959</f>
        <v>R2185</v>
      </c>
      <c r="D959" s="3">
        <f>Raw_data!D959</f>
        <v>45321.478958333333</v>
      </c>
      <c r="E959" s="3">
        <f>Raw_data!E959</f>
        <v>45321.52270833333</v>
      </c>
      <c r="F959" s="4">
        <f t="shared" si="84"/>
        <v>4.3749999997089617E-2</v>
      </c>
      <c r="G959" s="6">
        <f>Raw_data!F959</f>
        <v>272</v>
      </c>
      <c r="H959" s="6">
        <f>Raw_data!G959</f>
        <v>40</v>
      </c>
      <c r="I959" t="str">
        <f>Raw_data!H959</f>
        <v>Credit Card</v>
      </c>
      <c r="J959" s="7" t="str">
        <f>IF(Raw_data!I959=0.1,"10%",Raw_data!I959)</f>
        <v>5% on App</v>
      </c>
      <c r="K959" s="6">
        <f>Raw_data!J959</f>
        <v>112</v>
      </c>
      <c r="L959" s="6">
        <f>Raw_data!K959</f>
        <v>11</v>
      </c>
      <c r="M959" s="6">
        <f>Raw_data!L959</f>
        <v>0</v>
      </c>
      <c r="N959" s="6">
        <f t="shared" si="85"/>
        <v>149</v>
      </c>
      <c r="O959" s="6">
        <f t="shared" si="86"/>
        <v>123</v>
      </c>
      <c r="P959" s="6">
        <f t="shared" si="87"/>
        <v>312</v>
      </c>
      <c r="Q959">
        <f t="shared" si="88"/>
        <v>1</v>
      </c>
      <c r="R959">
        <f t="shared" si="89"/>
        <v>1</v>
      </c>
    </row>
    <row r="960" spans="1:18" x14ac:dyDescent="0.25">
      <c r="A960">
        <f>Raw_data!A960</f>
        <v>959</v>
      </c>
      <c r="B960" t="str">
        <f>Raw_data!B960</f>
        <v>C5971</v>
      </c>
      <c r="C960" t="str">
        <f>Raw_data!C960</f>
        <v>R2245</v>
      </c>
      <c r="D960" s="3">
        <f>Raw_data!D960</f>
        <v>45310.26353009259</v>
      </c>
      <c r="E960" s="3">
        <f>Raw_data!E960</f>
        <v>45310.289918981478</v>
      </c>
      <c r="F960" s="4">
        <f t="shared" si="84"/>
        <v>2.6388888887595385E-2</v>
      </c>
      <c r="G960" s="6">
        <f>Raw_data!F960</f>
        <v>762</v>
      </c>
      <c r="H960" s="6">
        <f>Raw_data!G960</f>
        <v>0</v>
      </c>
      <c r="I960" t="str">
        <f>Raw_data!H960</f>
        <v>Cash on Delivery</v>
      </c>
      <c r="J960" s="7" t="str">
        <f>IF(Raw_data!I960=0.1,"10%",Raw_data!I960)</f>
        <v>10%</v>
      </c>
      <c r="K960" s="6">
        <f>Raw_data!J960</f>
        <v>98</v>
      </c>
      <c r="L960" s="6">
        <f>Raw_data!K960</f>
        <v>49</v>
      </c>
      <c r="M960" s="6">
        <f>Raw_data!L960</f>
        <v>0</v>
      </c>
      <c r="N960" s="6">
        <f t="shared" si="85"/>
        <v>615</v>
      </c>
      <c r="O960" s="6">
        <f t="shared" si="86"/>
        <v>147</v>
      </c>
      <c r="P960" s="6">
        <f t="shared" si="87"/>
        <v>762</v>
      </c>
      <c r="Q960">
        <f t="shared" si="88"/>
        <v>1</v>
      </c>
      <c r="R960">
        <f t="shared" si="89"/>
        <v>1</v>
      </c>
    </row>
    <row r="961" spans="1:18" x14ac:dyDescent="0.25">
      <c r="A961">
        <f>Raw_data!A961</f>
        <v>960</v>
      </c>
      <c r="B961" t="str">
        <f>Raw_data!B961</f>
        <v>C2205</v>
      </c>
      <c r="C961" t="str">
        <f>Raw_data!C961</f>
        <v>R2636</v>
      </c>
      <c r="D961" s="3">
        <f>Raw_data!D961</f>
        <v>45302.464097222219</v>
      </c>
      <c r="E961" s="3">
        <f>Raw_data!E961</f>
        <v>45302.527291666665</v>
      </c>
      <c r="F961" s="4">
        <f t="shared" si="84"/>
        <v>6.3194444446708076E-2</v>
      </c>
      <c r="G961" s="6">
        <f>Raw_data!F961</f>
        <v>552</v>
      </c>
      <c r="H961" s="6">
        <f>Raw_data!G961</f>
        <v>50</v>
      </c>
      <c r="I961" t="str">
        <f>Raw_data!H961</f>
        <v>Credit Card</v>
      </c>
      <c r="J961" s="7" t="str">
        <f>IF(Raw_data!I961=0.1,"10%",Raw_data!I961)</f>
        <v>15% New User</v>
      </c>
      <c r="K961" s="6">
        <f>Raw_data!J961</f>
        <v>100</v>
      </c>
      <c r="L961" s="6">
        <f>Raw_data!K961</f>
        <v>47</v>
      </c>
      <c r="M961" s="6">
        <f>Raw_data!L961</f>
        <v>0</v>
      </c>
      <c r="N961" s="6">
        <f t="shared" si="85"/>
        <v>405</v>
      </c>
      <c r="O961" s="6">
        <f t="shared" si="86"/>
        <v>147</v>
      </c>
      <c r="P961" s="6">
        <f t="shared" si="87"/>
        <v>602</v>
      </c>
      <c r="Q961">
        <f t="shared" si="88"/>
        <v>1</v>
      </c>
      <c r="R961">
        <f t="shared" si="89"/>
        <v>1</v>
      </c>
    </row>
    <row r="962" spans="1:18" x14ac:dyDescent="0.25">
      <c r="A962">
        <f>Raw_data!A962</f>
        <v>961</v>
      </c>
      <c r="B962" t="str">
        <f>Raw_data!B962</f>
        <v>C2990</v>
      </c>
      <c r="C962" t="str">
        <f>Raw_data!C962</f>
        <v>R2267</v>
      </c>
      <c r="D962" s="3">
        <f>Raw_data!D962</f>
        <v>45308.268148148149</v>
      </c>
      <c r="E962" s="3">
        <f>Raw_data!E962</f>
        <v>45308.297314814816</v>
      </c>
      <c r="F962" s="4">
        <f t="shared" si="84"/>
        <v>2.9166666667151731E-2</v>
      </c>
      <c r="G962" s="6">
        <f>Raw_data!F962</f>
        <v>449</v>
      </c>
      <c r="H962" s="6">
        <f>Raw_data!G962</f>
        <v>20</v>
      </c>
      <c r="I962" t="str">
        <f>Raw_data!H962</f>
        <v>Credit Card</v>
      </c>
      <c r="J962" s="7" t="str">
        <f>IF(Raw_data!I962=0.1,"10%",Raw_data!I962)</f>
        <v>10%</v>
      </c>
      <c r="K962" s="6">
        <f>Raw_data!J962</f>
        <v>82</v>
      </c>
      <c r="L962" s="6">
        <f>Raw_data!K962</f>
        <v>20</v>
      </c>
      <c r="M962" s="6">
        <f>Raw_data!L962</f>
        <v>0</v>
      </c>
      <c r="N962" s="6">
        <f t="shared" si="85"/>
        <v>347</v>
      </c>
      <c r="O962" s="6">
        <f t="shared" si="86"/>
        <v>102</v>
      </c>
      <c r="P962" s="6">
        <f t="shared" si="87"/>
        <v>469</v>
      </c>
      <c r="Q962">
        <f t="shared" si="88"/>
        <v>1</v>
      </c>
      <c r="R962">
        <f t="shared" si="89"/>
        <v>3</v>
      </c>
    </row>
    <row r="963" spans="1:18" x14ac:dyDescent="0.25">
      <c r="A963">
        <f>Raw_data!A963</f>
        <v>962</v>
      </c>
      <c r="B963" t="str">
        <f>Raw_data!B963</f>
        <v>C6299</v>
      </c>
      <c r="C963" t="str">
        <f>Raw_data!C963</f>
        <v>R2642</v>
      </c>
      <c r="D963" s="3">
        <f>Raw_data!D963</f>
        <v>45292.797685185185</v>
      </c>
      <c r="E963" s="3">
        <f>Raw_data!E963</f>
        <v>45292.865740740737</v>
      </c>
      <c r="F963" s="4">
        <f t="shared" ref="F963:F1001" si="90">E963-D963</f>
        <v>6.8055555551836733E-2</v>
      </c>
      <c r="G963" s="6">
        <f>Raw_data!F963</f>
        <v>1757</v>
      </c>
      <c r="H963" s="6">
        <f>Raw_data!G963</f>
        <v>20</v>
      </c>
      <c r="I963" t="str">
        <f>Raw_data!H963</f>
        <v>Digital Wallet</v>
      </c>
      <c r="J963" s="7" t="str">
        <f>IF(Raw_data!I963=0.1,"10%",Raw_data!I963)</f>
        <v>15% New User</v>
      </c>
      <c r="K963" s="6">
        <f>Raw_data!J963</f>
        <v>79</v>
      </c>
      <c r="L963" s="6">
        <f>Raw_data!K963</f>
        <v>26</v>
      </c>
      <c r="M963" s="6">
        <f>Raw_data!L963</f>
        <v>150</v>
      </c>
      <c r="N963" s="6">
        <f t="shared" ref="N963:N1001" si="91">G963-K963-L963</f>
        <v>1652</v>
      </c>
      <c r="O963" s="6">
        <f t="shared" ref="O963:O1001" si="92">K963+L963-M963</f>
        <v>-45</v>
      </c>
      <c r="P963" s="6">
        <f t="shared" ref="P963:P1001" si="93">G963+H963</f>
        <v>1777</v>
      </c>
      <c r="Q963">
        <f t="shared" ref="Q963:Q1001" si="94">COUNTIF(B$2:B$1001,B963)</f>
        <v>1</v>
      </c>
      <c r="R963">
        <f t="shared" ref="R963:R1001" si="95">COUNTIF(C$2:C$1001,C963)</f>
        <v>3</v>
      </c>
    </row>
    <row r="964" spans="1:18" x14ac:dyDescent="0.25">
      <c r="A964">
        <f>Raw_data!A964</f>
        <v>963</v>
      </c>
      <c r="B964" t="str">
        <f>Raw_data!B964</f>
        <v>C4572</v>
      </c>
      <c r="C964" t="str">
        <f>Raw_data!C964</f>
        <v>R2236</v>
      </c>
      <c r="D964" s="3">
        <f>Raw_data!D964</f>
        <v>45301.607071759259</v>
      </c>
      <c r="E964" s="3">
        <f>Raw_data!E964</f>
        <v>45301.655682870369</v>
      </c>
      <c r="F964" s="4">
        <f t="shared" si="90"/>
        <v>4.8611111109494232E-2</v>
      </c>
      <c r="G964" s="6">
        <f>Raw_data!F964</f>
        <v>593</v>
      </c>
      <c r="H964" s="6">
        <f>Raw_data!G964</f>
        <v>50</v>
      </c>
      <c r="I964" t="str">
        <f>Raw_data!H964</f>
        <v>Cash on Delivery</v>
      </c>
      <c r="J964" s="7" t="str">
        <f>IF(Raw_data!I964=0.1,"10%",Raw_data!I964)</f>
        <v>15% New User</v>
      </c>
      <c r="K964" s="6">
        <f>Raw_data!J964</f>
        <v>125</v>
      </c>
      <c r="L964" s="6">
        <f>Raw_data!K964</f>
        <v>17</v>
      </c>
      <c r="M964" s="6">
        <f>Raw_data!L964</f>
        <v>100</v>
      </c>
      <c r="N964" s="6">
        <f t="shared" si="91"/>
        <v>451</v>
      </c>
      <c r="O964" s="6">
        <f t="shared" si="92"/>
        <v>42</v>
      </c>
      <c r="P964" s="6">
        <f t="shared" si="93"/>
        <v>643</v>
      </c>
      <c r="Q964">
        <f t="shared" si="94"/>
        <v>1</v>
      </c>
      <c r="R964">
        <f t="shared" si="95"/>
        <v>2</v>
      </c>
    </row>
    <row r="965" spans="1:18" x14ac:dyDescent="0.25">
      <c r="A965">
        <f>Raw_data!A965</f>
        <v>964</v>
      </c>
      <c r="B965" t="str">
        <f>Raw_data!B965</f>
        <v>C6975</v>
      </c>
      <c r="C965" t="str">
        <f>Raw_data!C965</f>
        <v>R2529</v>
      </c>
      <c r="D965" s="3">
        <f>Raw_data!D965</f>
        <v>45323.796018518522</v>
      </c>
      <c r="E965" s="3">
        <f>Raw_data!E965</f>
        <v>45323.869629629633</v>
      </c>
      <c r="F965" s="4">
        <f t="shared" si="90"/>
        <v>7.3611111110949423E-2</v>
      </c>
      <c r="G965" s="6">
        <f>Raw_data!F965</f>
        <v>719</v>
      </c>
      <c r="H965" s="6">
        <f>Raw_data!G965</f>
        <v>50</v>
      </c>
      <c r="I965" t="str">
        <f>Raw_data!H965</f>
        <v>Credit Card</v>
      </c>
      <c r="J965" s="7" t="str">
        <f>IF(Raw_data!I965=0.1,"10%",Raw_data!I965)</f>
        <v>5% on App</v>
      </c>
      <c r="K965" s="6">
        <f>Raw_data!J965</f>
        <v>64</v>
      </c>
      <c r="L965" s="6">
        <f>Raw_data!K965</f>
        <v>31</v>
      </c>
      <c r="M965" s="6">
        <f>Raw_data!L965</f>
        <v>0</v>
      </c>
      <c r="N965" s="6">
        <f t="shared" si="91"/>
        <v>624</v>
      </c>
      <c r="O965" s="6">
        <f t="shared" si="92"/>
        <v>95</v>
      </c>
      <c r="P965" s="6">
        <f t="shared" si="93"/>
        <v>769</v>
      </c>
      <c r="Q965">
        <f t="shared" si="94"/>
        <v>1</v>
      </c>
      <c r="R965">
        <f t="shared" si="95"/>
        <v>1</v>
      </c>
    </row>
    <row r="966" spans="1:18" x14ac:dyDescent="0.25">
      <c r="A966">
        <f>Raw_data!A966</f>
        <v>965</v>
      </c>
      <c r="B966" t="str">
        <f>Raw_data!B966</f>
        <v>C7320</v>
      </c>
      <c r="C966" t="str">
        <f>Raw_data!C966</f>
        <v>R2551</v>
      </c>
      <c r="D966" s="3">
        <f>Raw_data!D966</f>
        <v>45327.048020833332</v>
      </c>
      <c r="E966" s="3">
        <f>Raw_data!E966</f>
        <v>45327.068854166668</v>
      </c>
      <c r="F966" s="4">
        <f t="shared" si="90"/>
        <v>2.0833333335758653E-2</v>
      </c>
      <c r="G966" s="6">
        <f>Raw_data!F966</f>
        <v>1127</v>
      </c>
      <c r="H966" s="6">
        <f>Raw_data!G966</f>
        <v>0</v>
      </c>
      <c r="I966" t="str">
        <f>Raw_data!H966</f>
        <v>Cash on Delivery</v>
      </c>
      <c r="J966" s="7" t="str">
        <f>IF(Raw_data!I966=0.1,"10%",Raw_data!I966)</f>
        <v>10%</v>
      </c>
      <c r="K966" s="6">
        <f>Raw_data!J966</f>
        <v>131</v>
      </c>
      <c r="L966" s="6">
        <f>Raw_data!K966</f>
        <v>13</v>
      </c>
      <c r="M966" s="6">
        <f>Raw_data!L966</f>
        <v>0</v>
      </c>
      <c r="N966" s="6">
        <f t="shared" si="91"/>
        <v>983</v>
      </c>
      <c r="O966" s="6">
        <f t="shared" si="92"/>
        <v>144</v>
      </c>
      <c r="P966" s="6">
        <f t="shared" si="93"/>
        <v>1127</v>
      </c>
      <c r="Q966">
        <f t="shared" si="94"/>
        <v>1</v>
      </c>
      <c r="R966">
        <f t="shared" si="95"/>
        <v>2</v>
      </c>
    </row>
    <row r="967" spans="1:18" x14ac:dyDescent="0.25">
      <c r="A967">
        <f>Raw_data!A967</f>
        <v>966</v>
      </c>
      <c r="B967" t="str">
        <f>Raw_data!B967</f>
        <v>C5380</v>
      </c>
      <c r="C967" t="str">
        <f>Raw_data!C967</f>
        <v>R2020</v>
      </c>
      <c r="D967" s="3">
        <f>Raw_data!D967</f>
        <v>45322.538298611114</v>
      </c>
      <c r="E967" s="3">
        <f>Raw_data!E967</f>
        <v>45322.620243055557</v>
      </c>
      <c r="F967" s="4">
        <f t="shared" si="90"/>
        <v>8.1944444442342501E-2</v>
      </c>
      <c r="G967" s="6">
        <f>Raw_data!F967</f>
        <v>1216</v>
      </c>
      <c r="H967" s="6">
        <f>Raw_data!G967</f>
        <v>30</v>
      </c>
      <c r="I967" t="str">
        <f>Raw_data!H967</f>
        <v>Cash on Delivery</v>
      </c>
      <c r="J967" s="7" t="str">
        <f>IF(Raw_data!I967=0.1,"10%",Raw_data!I967)</f>
        <v>15% New User</v>
      </c>
      <c r="K967" s="6">
        <f>Raw_data!J967</f>
        <v>141</v>
      </c>
      <c r="L967" s="6">
        <f>Raw_data!K967</f>
        <v>20</v>
      </c>
      <c r="M967" s="6">
        <f>Raw_data!L967</f>
        <v>100</v>
      </c>
      <c r="N967" s="6">
        <f t="shared" si="91"/>
        <v>1055</v>
      </c>
      <c r="O967" s="6">
        <f t="shared" si="92"/>
        <v>61</v>
      </c>
      <c r="P967" s="6">
        <f t="shared" si="93"/>
        <v>1246</v>
      </c>
      <c r="Q967">
        <f t="shared" si="94"/>
        <v>2</v>
      </c>
      <c r="R967">
        <f t="shared" si="95"/>
        <v>2</v>
      </c>
    </row>
    <row r="968" spans="1:18" x14ac:dyDescent="0.25">
      <c r="A968">
        <f>Raw_data!A968</f>
        <v>967</v>
      </c>
      <c r="B968" t="str">
        <f>Raw_data!B968</f>
        <v>C5757</v>
      </c>
      <c r="C968" t="str">
        <f>Raw_data!C968</f>
        <v>R2910</v>
      </c>
      <c r="D968" s="3">
        <f>Raw_data!D968</f>
        <v>45316.359756944446</v>
      </c>
      <c r="E968" s="3">
        <f>Raw_data!E968</f>
        <v>45316.412534722222</v>
      </c>
      <c r="F968" s="4">
        <f t="shared" si="90"/>
        <v>5.2777777775190771E-2</v>
      </c>
      <c r="G968" s="6">
        <f>Raw_data!F968</f>
        <v>1018</v>
      </c>
      <c r="H968" s="6">
        <f>Raw_data!G968</f>
        <v>20</v>
      </c>
      <c r="I968" t="str">
        <f>Raw_data!H968</f>
        <v>Credit Card</v>
      </c>
      <c r="J968" s="7" t="str">
        <f>IF(Raw_data!I968=0.1,"10%",Raw_data!I968)</f>
        <v>50 off Promo</v>
      </c>
      <c r="K968" s="6">
        <f>Raw_data!J968</f>
        <v>72</v>
      </c>
      <c r="L968" s="6">
        <f>Raw_data!K968</f>
        <v>17</v>
      </c>
      <c r="M968" s="6">
        <f>Raw_data!L968</f>
        <v>0</v>
      </c>
      <c r="N968" s="6">
        <f t="shared" si="91"/>
        <v>929</v>
      </c>
      <c r="O968" s="6">
        <f t="shared" si="92"/>
        <v>89</v>
      </c>
      <c r="P968" s="6">
        <f t="shared" si="93"/>
        <v>1038</v>
      </c>
      <c r="Q968">
        <f t="shared" si="94"/>
        <v>1</v>
      </c>
      <c r="R968">
        <f t="shared" si="95"/>
        <v>1</v>
      </c>
    </row>
    <row r="969" spans="1:18" x14ac:dyDescent="0.25">
      <c r="A969">
        <f>Raw_data!A969</f>
        <v>968</v>
      </c>
      <c r="B969" t="str">
        <f>Raw_data!B969</f>
        <v>C3713</v>
      </c>
      <c r="C969" t="str">
        <f>Raw_data!C969</f>
        <v>R2736</v>
      </c>
      <c r="D969" s="3">
        <f>Raw_data!D969</f>
        <v>45321.252534722225</v>
      </c>
      <c r="E969" s="3">
        <f>Raw_data!E969</f>
        <v>45321.275451388887</v>
      </c>
      <c r="F969" s="4">
        <f t="shared" si="90"/>
        <v>2.2916666661330964E-2</v>
      </c>
      <c r="G969" s="6">
        <f>Raw_data!F969</f>
        <v>105</v>
      </c>
      <c r="H969" s="6">
        <f>Raw_data!G969</f>
        <v>0</v>
      </c>
      <c r="I969" t="str">
        <f>Raw_data!H969</f>
        <v>Digital Wallet</v>
      </c>
      <c r="J969" s="7" t="str">
        <f>IF(Raw_data!I969=0.1,"10%",Raw_data!I969)</f>
        <v>15% New User</v>
      </c>
      <c r="K969" s="6">
        <f>Raw_data!J969</f>
        <v>143</v>
      </c>
      <c r="L969" s="6">
        <f>Raw_data!K969</f>
        <v>18</v>
      </c>
      <c r="M969" s="6">
        <f>Raw_data!L969</f>
        <v>0</v>
      </c>
      <c r="N969" s="6">
        <f t="shared" si="91"/>
        <v>-56</v>
      </c>
      <c r="O969" s="6">
        <f t="shared" si="92"/>
        <v>161</v>
      </c>
      <c r="P969" s="6">
        <f t="shared" si="93"/>
        <v>105</v>
      </c>
      <c r="Q969">
        <f t="shared" si="94"/>
        <v>1</v>
      </c>
      <c r="R969">
        <f t="shared" si="95"/>
        <v>1</v>
      </c>
    </row>
    <row r="970" spans="1:18" x14ac:dyDescent="0.25">
      <c r="A970">
        <f>Raw_data!A970</f>
        <v>969</v>
      </c>
      <c r="B970" t="str">
        <f>Raw_data!B970</f>
        <v>C6588</v>
      </c>
      <c r="C970" t="str">
        <f>Raw_data!C970</f>
        <v>R2866</v>
      </c>
      <c r="D970" s="3">
        <f>Raw_data!D970</f>
        <v>45311.811018518521</v>
      </c>
      <c r="E970" s="3">
        <f>Raw_data!E970</f>
        <v>45311.874907407408</v>
      </c>
      <c r="F970" s="4">
        <f t="shared" si="90"/>
        <v>6.3888888886140194E-2</v>
      </c>
      <c r="G970" s="6">
        <f>Raw_data!F970</f>
        <v>387</v>
      </c>
      <c r="H970" s="6">
        <f>Raw_data!G970</f>
        <v>50</v>
      </c>
      <c r="I970" t="str">
        <f>Raw_data!H970</f>
        <v>Cash on Delivery</v>
      </c>
      <c r="J970" s="7" t="str">
        <f>IF(Raw_data!I970=0.1,"10%",Raw_data!I970)</f>
        <v>50 off Promo</v>
      </c>
      <c r="K970" s="6">
        <f>Raw_data!J970</f>
        <v>94</v>
      </c>
      <c r="L970" s="6">
        <f>Raw_data!K970</f>
        <v>35</v>
      </c>
      <c r="M970" s="6">
        <f>Raw_data!L970</f>
        <v>0</v>
      </c>
      <c r="N970" s="6">
        <f t="shared" si="91"/>
        <v>258</v>
      </c>
      <c r="O970" s="6">
        <f t="shared" si="92"/>
        <v>129</v>
      </c>
      <c r="P970" s="6">
        <f t="shared" si="93"/>
        <v>437</v>
      </c>
      <c r="Q970">
        <f t="shared" si="94"/>
        <v>2</v>
      </c>
      <c r="R970">
        <f t="shared" si="95"/>
        <v>2</v>
      </c>
    </row>
    <row r="971" spans="1:18" x14ac:dyDescent="0.25">
      <c r="A971">
        <f>Raw_data!A971</f>
        <v>970</v>
      </c>
      <c r="B971" t="str">
        <f>Raw_data!B971</f>
        <v>C1966</v>
      </c>
      <c r="C971" t="str">
        <f>Raw_data!C971</f>
        <v>R2793</v>
      </c>
      <c r="D971" s="3">
        <f>Raw_data!D971</f>
        <v>45311.810717592591</v>
      </c>
      <c r="E971" s="3">
        <f>Raw_data!E971</f>
        <v>45311.866967592592</v>
      </c>
      <c r="F971" s="4">
        <f t="shared" si="90"/>
        <v>5.6250000001455192E-2</v>
      </c>
      <c r="G971" s="6">
        <f>Raw_data!F971</f>
        <v>1741</v>
      </c>
      <c r="H971" s="6">
        <f>Raw_data!G971</f>
        <v>0</v>
      </c>
      <c r="I971" t="str">
        <f>Raw_data!H971</f>
        <v>Credit Card</v>
      </c>
      <c r="J971" s="7" t="str">
        <f>IF(Raw_data!I971=0.1,"10%",Raw_data!I971)</f>
        <v>10%</v>
      </c>
      <c r="K971" s="6">
        <f>Raw_data!J971</f>
        <v>111</v>
      </c>
      <c r="L971" s="6">
        <f>Raw_data!K971</f>
        <v>11</v>
      </c>
      <c r="M971" s="6">
        <f>Raw_data!L971</f>
        <v>50</v>
      </c>
      <c r="N971" s="6">
        <f t="shared" si="91"/>
        <v>1619</v>
      </c>
      <c r="O971" s="6">
        <f t="shared" si="92"/>
        <v>72</v>
      </c>
      <c r="P971" s="6">
        <f t="shared" si="93"/>
        <v>1741</v>
      </c>
      <c r="Q971">
        <f t="shared" si="94"/>
        <v>1</v>
      </c>
      <c r="R971">
        <f t="shared" si="95"/>
        <v>3</v>
      </c>
    </row>
    <row r="972" spans="1:18" x14ac:dyDescent="0.25">
      <c r="A972">
        <f>Raw_data!A972</f>
        <v>971</v>
      </c>
      <c r="B972" t="str">
        <f>Raw_data!B972</f>
        <v>C5944</v>
      </c>
      <c r="C972" t="str">
        <f>Raw_data!C972</f>
        <v>R2519</v>
      </c>
      <c r="D972" s="3">
        <f>Raw_data!D972</f>
        <v>45329.186145833337</v>
      </c>
      <c r="E972" s="3">
        <f>Raw_data!E972</f>
        <v>45329.213229166664</v>
      </c>
      <c r="F972" s="4">
        <f t="shared" si="90"/>
        <v>2.7083333327027503E-2</v>
      </c>
      <c r="G972" s="6">
        <f>Raw_data!F972</f>
        <v>1269</v>
      </c>
      <c r="H972" s="6">
        <f>Raw_data!G972</f>
        <v>50</v>
      </c>
      <c r="I972" t="str">
        <f>Raw_data!H972</f>
        <v>Cash on Delivery</v>
      </c>
      <c r="J972" s="7" t="str">
        <f>IF(Raw_data!I972=0.1,"10%",Raw_data!I972)</f>
        <v>10%</v>
      </c>
      <c r="K972" s="6">
        <f>Raw_data!J972</f>
        <v>64</v>
      </c>
      <c r="L972" s="6">
        <f>Raw_data!K972</f>
        <v>25</v>
      </c>
      <c r="M972" s="6">
        <f>Raw_data!L972</f>
        <v>0</v>
      </c>
      <c r="N972" s="6">
        <f t="shared" si="91"/>
        <v>1180</v>
      </c>
      <c r="O972" s="6">
        <f t="shared" si="92"/>
        <v>89</v>
      </c>
      <c r="P972" s="6">
        <f t="shared" si="93"/>
        <v>1319</v>
      </c>
      <c r="Q972">
        <f t="shared" si="94"/>
        <v>1</v>
      </c>
      <c r="R972">
        <f t="shared" si="95"/>
        <v>2</v>
      </c>
    </row>
    <row r="973" spans="1:18" x14ac:dyDescent="0.25">
      <c r="A973">
        <f>Raw_data!A973</f>
        <v>972</v>
      </c>
      <c r="B973" t="str">
        <f>Raw_data!B973</f>
        <v>C4432</v>
      </c>
      <c r="C973" t="str">
        <f>Raw_data!C973</f>
        <v>R2099</v>
      </c>
      <c r="D973" s="3">
        <f>Raw_data!D973</f>
        <v>45327.053599537037</v>
      </c>
      <c r="E973" s="3">
        <f>Raw_data!E973</f>
        <v>45327.093182870369</v>
      </c>
      <c r="F973" s="4">
        <f t="shared" si="90"/>
        <v>3.9583333331393078E-2</v>
      </c>
      <c r="G973" s="6">
        <f>Raw_data!F973</f>
        <v>1906</v>
      </c>
      <c r="H973" s="6">
        <f>Raw_data!G973</f>
        <v>40</v>
      </c>
      <c r="I973" t="str">
        <f>Raw_data!H973</f>
        <v>Digital Wallet</v>
      </c>
      <c r="J973" s="7" t="str">
        <f>IF(Raw_data!I973=0.1,"10%",Raw_data!I973)</f>
        <v>10%</v>
      </c>
      <c r="K973" s="6">
        <f>Raw_data!J973</f>
        <v>95</v>
      </c>
      <c r="L973" s="6">
        <f>Raw_data!K973</f>
        <v>40</v>
      </c>
      <c r="M973" s="6">
        <f>Raw_data!L973</f>
        <v>0</v>
      </c>
      <c r="N973" s="6">
        <f t="shared" si="91"/>
        <v>1771</v>
      </c>
      <c r="O973" s="6">
        <f t="shared" si="92"/>
        <v>135</v>
      </c>
      <c r="P973" s="6">
        <f t="shared" si="93"/>
        <v>1946</v>
      </c>
      <c r="Q973">
        <f t="shared" si="94"/>
        <v>1</v>
      </c>
      <c r="R973">
        <f t="shared" si="95"/>
        <v>1</v>
      </c>
    </row>
    <row r="974" spans="1:18" x14ac:dyDescent="0.25">
      <c r="A974">
        <f>Raw_data!A974</f>
        <v>973</v>
      </c>
      <c r="B974" t="str">
        <f>Raw_data!B974</f>
        <v>C1688</v>
      </c>
      <c r="C974" t="str">
        <f>Raw_data!C974</f>
        <v>R2751</v>
      </c>
      <c r="D974" s="3">
        <f>Raw_data!D974</f>
        <v>45310.926944444444</v>
      </c>
      <c r="E974" s="3">
        <f>Raw_data!E974</f>
        <v>45310.951249999998</v>
      </c>
      <c r="F974" s="4">
        <f t="shared" si="90"/>
        <v>2.4305555554747116E-2</v>
      </c>
      <c r="G974" s="6">
        <f>Raw_data!F974</f>
        <v>1547</v>
      </c>
      <c r="H974" s="6">
        <f>Raw_data!G974</f>
        <v>50</v>
      </c>
      <c r="I974" t="str">
        <f>Raw_data!H974</f>
        <v>Digital Wallet</v>
      </c>
      <c r="J974" s="7" t="str">
        <f>IF(Raw_data!I974=0.1,"10%",Raw_data!I974)</f>
        <v>15% New User</v>
      </c>
      <c r="K974" s="6">
        <f>Raw_data!J974</f>
        <v>113</v>
      </c>
      <c r="L974" s="6">
        <f>Raw_data!K974</f>
        <v>15</v>
      </c>
      <c r="M974" s="6">
        <f>Raw_data!L974</f>
        <v>150</v>
      </c>
      <c r="N974" s="6">
        <f t="shared" si="91"/>
        <v>1419</v>
      </c>
      <c r="O974" s="6">
        <f t="shared" si="92"/>
        <v>-22</v>
      </c>
      <c r="P974" s="6">
        <f t="shared" si="93"/>
        <v>1597</v>
      </c>
      <c r="Q974">
        <f t="shared" si="94"/>
        <v>1</v>
      </c>
      <c r="R974">
        <f t="shared" si="95"/>
        <v>1</v>
      </c>
    </row>
    <row r="975" spans="1:18" x14ac:dyDescent="0.25">
      <c r="A975">
        <f>Raw_data!A975</f>
        <v>974</v>
      </c>
      <c r="B975" t="str">
        <f>Raw_data!B975</f>
        <v>C5243</v>
      </c>
      <c r="C975" t="str">
        <f>Raw_data!C975</f>
        <v>R2477</v>
      </c>
      <c r="D975" s="3">
        <f>Raw_data!D975</f>
        <v>45319.834479166668</v>
      </c>
      <c r="E975" s="3">
        <f>Raw_data!E975</f>
        <v>45319.873368055552</v>
      </c>
      <c r="F975" s="4">
        <f t="shared" si="90"/>
        <v>3.8888888884685002E-2</v>
      </c>
      <c r="G975" s="6">
        <f>Raw_data!F975</f>
        <v>707</v>
      </c>
      <c r="H975" s="6">
        <f>Raw_data!G975</f>
        <v>50</v>
      </c>
      <c r="I975" t="str">
        <f>Raw_data!H975</f>
        <v>Digital Wallet</v>
      </c>
      <c r="J975" s="7" t="str">
        <f>IF(Raw_data!I975=0.1,"10%",Raw_data!I975)</f>
        <v>None</v>
      </c>
      <c r="K975" s="6">
        <f>Raw_data!J975</f>
        <v>124</v>
      </c>
      <c r="L975" s="6">
        <f>Raw_data!K975</f>
        <v>30</v>
      </c>
      <c r="M975" s="6">
        <f>Raw_data!L975</f>
        <v>0</v>
      </c>
      <c r="N975" s="6">
        <f t="shared" si="91"/>
        <v>553</v>
      </c>
      <c r="O975" s="6">
        <f t="shared" si="92"/>
        <v>154</v>
      </c>
      <c r="P975" s="6">
        <f t="shared" si="93"/>
        <v>757</v>
      </c>
      <c r="Q975">
        <f t="shared" si="94"/>
        <v>1</v>
      </c>
      <c r="R975">
        <f t="shared" si="95"/>
        <v>2</v>
      </c>
    </row>
    <row r="976" spans="1:18" x14ac:dyDescent="0.25">
      <c r="A976">
        <f>Raw_data!A976</f>
        <v>975</v>
      </c>
      <c r="B976" t="str">
        <f>Raw_data!B976</f>
        <v>C4701</v>
      </c>
      <c r="C976" t="str">
        <f>Raw_data!C976</f>
        <v>R2598</v>
      </c>
      <c r="D976" s="3">
        <f>Raw_data!D976</f>
        <v>45327.16097222222</v>
      </c>
      <c r="E976" s="3">
        <f>Raw_data!E976</f>
        <v>45327.189444444448</v>
      </c>
      <c r="F976" s="4">
        <f t="shared" si="90"/>
        <v>2.8472222227719612E-2</v>
      </c>
      <c r="G976" s="6">
        <f>Raw_data!F976</f>
        <v>556</v>
      </c>
      <c r="H976" s="6">
        <f>Raw_data!G976</f>
        <v>50</v>
      </c>
      <c r="I976" t="str">
        <f>Raw_data!H976</f>
        <v>Credit Card</v>
      </c>
      <c r="J976" s="7" t="str">
        <f>IF(Raw_data!I976=0.1,"10%",Raw_data!I976)</f>
        <v>15% New User</v>
      </c>
      <c r="K976" s="6">
        <f>Raw_data!J976</f>
        <v>101</v>
      </c>
      <c r="L976" s="6">
        <f>Raw_data!K976</f>
        <v>35</v>
      </c>
      <c r="M976" s="6">
        <f>Raw_data!L976</f>
        <v>0</v>
      </c>
      <c r="N976" s="6">
        <f t="shared" si="91"/>
        <v>420</v>
      </c>
      <c r="O976" s="6">
        <f t="shared" si="92"/>
        <v>136</v>
      </c>
      <c r="P976" s="6">
        <f t="shared" si="93"/>
        <v>606</v>
      </c>
      <c r="Q976">
        <f t="shared" si="94"/>
        <v>1</v>
      </c>
      <c r="R976">
        <f t="shared" si="95"/>
        <v>2</v>
      </c>
    </row>
    <row r="977" spans="1:18" x14ac:dyDescent="0.25">
      <c r="A977">
        <f>Raw_data!A977</f>
        <v>976</v>
      </c>
      <c r="B977" t="str">
        <f>Raw_data!B977</f>
        <v>C9533</v>
      </c>
      <c r="C977" t="str">
        <f>Raw_data!C977</f>
        <v>R2297</v>
      </c>
      <c r="D977" s="3">
        <f>Raw_data!D977</f>
        <v>45321.75885416667</v>
      </c>
      <c r="E977" s="3">
        <f>Raw_data!E977</f>
        <v>45321.822048611109</v>
      </c>
      <c r="F977" s="4">
        <f t="shared" si="90"/>
        <v>6.3194444439432118E-2</v>
      </c>
      <c r="G977" s="6">
        <f>Raw_data!F977</f>
        <v>1864</v>
      </c>
      <c r="H977" s="6">
        <f>Raw_data!G977</f>
        <v>30</v>
      </c>
      <c r="I977" t="str">
        <f>Raw_data!H977</f>
        <v>Credit Card</v>
      </c>
      <c r="J977" s="7" t="str">
        <f>IF(Raw_data!I977=0.1,"10%",Raw_data!I977)</f>
        <v>15% New User</v>
      </c>
      <c r="K977" s="6">
        <f>Raw_data!J977</f>
        <v>137</v>
      </c>
      <c r="L977" s="6">
        <f>Raw_data!K977</f>
        <v>28</v>
      </c>
      <c r="M977" s="6">
        <f>Raw_data!L977</f>
        <v>0</v>
      </c>
      <c r="N977" s="6">
        <f t="shared" si="91"/>
        <v>1699</v>
      </c>
      <c r="O977" s="6">
        <f t="shared" si="92"/>
        <v>165</v>
      </c>
      <c r="P977" s="6">
        <f t="shared" si="93"/>
        <v>1894</v>
      </c>
      <c r="Q977">
        <f t="shared" si="94"/>
        <v>1</v>
      </c>
      <c r="R977">
        <f t="shared" si="95"/>
        <v>1</v>
      </c>
    </row>
    <row r="978" spans="1:18" x14ac:dyDescent="0.25">
      <c r="A978">
        <f>Raw_data!A978</f>
        <v>977</v>
      </c>
      <c r="B978" t="str">
        <f>Raw_data!B978</f>
        <v>C6182</v>
      </c>
      <c r="C978" t="str">
        <f>Raw_data!C978</f>
        <v>R2939</v>
      </c>
      <c r="D978" s="3">
        <f>Raw_data!D978</f>
        <v>45317.806192129632</v>
      </c>
      <c r="E978" s="3">
        <f>Raw_data!E978</f>
        <v>45317.862442129626</v>
      </c>
      <c r="F978" s="4">
        <f t="shared" si="90"/>
        <v>5.6249999994179234E-2</v>
      </c>
      <c r="G978" s="6">
        <f>Raw_data!F978</f>
        <v>1325</v>
      </c>
      <c r="H978" s="6">
        <f>Raw_data!G978</f>
        <v>50</v>
      </c>
      <c r="I978" t="str">
        <f>Raw_data!H978</f>
        <v>Digital Wallet</v>
      </c>
      <c r="J978" s="7" t="str">
        <f>IF(Raw_data!I978=0.1,"10%",Raw_data!I978)</f>
        <v>5% on App</v>
      </c>
      <c r="K978" s="6">
        <f>Raw_data!J978</f>
        <v>106</v>
      </c>
      <c r="L978" s="6">
        <f>Raw_data!K978</f>
        <v>37</v>
      </c>
      <c r="M978" s="6">
        <f>Raw_data!L978</f>
        <v>0</v>
      </c>
      <c r="N978" s="6">
        <f t="shared" si="91"/>
        <v>1182</v>
      </c>
      <c r="O978" s="6">
        <f t="shared" si="92"/>
        <v>143</v>
      </c>
      <c r="P978" s="6">
        <f t="shared" si="93"/>
        <v>1375</v>
      </c>
      <c r="Q978">
        <f t="shared" si="94"/>
        <v>1</v>
      </c>
      <c r="R978">
        <f t="shared" si="95"/>
        <v>3</v>
      </c>
    </row>
    <row r="979" spans="1:18" x14ac:dyDescent="0.25">
      <c r="A979">
        <f>Raw_data!A979</f>
        <v>978</v>
      </c>
      <c r="B979" t="str">
        <f>Raw_data!B979</f>
        <v>C7704</v>
      </c>
      <c r="C979" t="str">
        <f>Raw_data!C979</f>
        <v>R2525</v>
      </c>
      <c r="D979" s="3">
        <f>Raw_data!D979</f>
        <v>45312.58494212963</v>
      </c>
      <c r="E979" s="3">
        <f>Raw_data!E979</f>
        <v>45312.638414351852</v>
      </c>
      <c r="F979" s="4">
        <f t="shared" si="90"/>
        <v>5.3472222221898846E-2</v>
      </c>
      <c r="G979" s="6">
        <f>Raw_data!F979</f>
        <v>1335</v>
      </c>
      <c r="H979" s="6">
        <f>Raw_data!G979</f>
        <v>20</v>
      </c>
      <c r="I979" t="str">
        <f>Raw_data!H979</f>
        <v>Credit Card</v>
      </c>
      <c r="J979" s="7" t="str">
        <f>IF(Raw_data!I979=0.1,"10%",Raw_data!I979)</f>
        <v>5% on App</v>
      </c>
      <c r="K979" s="6">
        <f>Raw_data!J979</f>
        <v>132</v>
      </c>
      <c r="L979" s="6">
        <f>Raw_data!K979</f>
        <v>17</v>
      </c>
      <c r="M979" s="6">
        <f>Raw_data!L979</f>
        <v>50</v>
      </c>
      <c r="N979" s="6">
        <f t="shared" si="91"/>
        <v>1186</v>
      </c>
      <c r="O979" s="6">
        <f t="shared" si="92"/>
        <v>99</v>
      </c>
      <c r="P979" s="6">
        <f t="shared" si="93"/>
        <v>1355</v>
      </c>
      <c r="Q979">
        <f t="shared" si="94"/>
        <v>1</v>
      </c>
      <c r="R979">
        <f t="shared" si="95"/>
        <v>3</v>
      </c>
    </row>
    <row r="980" spans="1:18" x14ac:dyDescent="0.25">
      <c r="A980">
        <f>Raw_data!A980</f>
        <v>979</v>
      </c>
      <c r="B980" t="str">
        <f>Raw_data!B980</f>
        <v>C5422</v>
      </c>
      <c r="C980" t="str">
        <f>Raw_data!C980</f>
        <v>R2333</v>
      </c>
      <c r="D980" s="3">
        <f>Raw_data!D980</f>
        <v>45324.291585648149</v>
      </c>
      <c r="E980" s="3">
        <f>Raw_data!E980</f>
        <v>45324.358252314814</v>
      </c>
      <c r="F980" s="4">
        <f t="shared" si="90"/>
        <v>6.6666666665696539E-2</v>
      </c>
      <c r="G980" s="6">
        <f>Raw_data!F980</f>
        <v>1129</v>
      </c>
      <c r="H980" s="6">
        <f>Raw_data!G980</f>
        <v>20</v>
      </c>
      <c r="I980" t="str">
        <f>Raw_data!H980</f>
        <v>Digital Wallet</v>
      </c>
      <c r="J980" s="7" t="str">
        <f>IF(Raw_data!I980=0.1,"10%",Raw_data!I980)</f>
        <v>15% New User</v>
      </c>
      <c r="K980" s="6">
        <f>Raw_data!J980</f>
        <v>115</v>
      </c>
      <c r="L980" s="6">
        <f>Raw_data!K980</f>
        <v>23</v>
      </c>
      <c r="M980" s="6">
        <f>Raw_data!L980</f>
        <v>100</v>
      </c>
      <c r="N980" s="6">
        <f t="shared" si="91"/>
        <v>991</v>
      </c>
      <c r="O980" s="6">
        <f t="shared" si="92"/>
        <v>38</v>
      </c>
      <c r="P980" s="6">
        <f t="shared" si="93"/>
        <v>1149</v>
      </c>
      <c r="Q980">
        <f t="shared" si="94"/>
        <v>1</v>
      </c>
      <c r="R980">
        <f t="shared" si="95"/>
        <v>1</v>
      </c>
    </row>
    <row r="981" spans="1:18" x14ac:dyDescent="0.25">
      <c r="A981">
        <f>Raw_data!A981</f>
        <v>980</v>
      </c>
      <c r="B981" t="str">
        <f>Raw_data!B981</f>
        <v>C2759</v>
      </c>
      <c r="C981" t="str">
        <f>Raw_data!C981</f>
        <v>R2001</v>
      </c>
      <c r="D981" s="3">
        <f>Raw_data!D981</f>
        <v>45299.695798611108</v>
      </c>
      <c r="E981" s="3">
        <f>Raw_data!E981</f>
        <v>45299.747881944444</v>
      </c>
      <c r="F981" s="4">
        <f t="shared" si="90"/>
        <v>5.2083333335758653E-2</v>
      </c>
      <c r="G981" s="6">
        <f>Raw_data!F981</f>
        <v>723</v>
      </c>
      <c r="H981" s="6">
        <f>Raw_data!G981</f>
        <v>0</v>
      </c>
      <c r="I981" t="str">
        <f>Raw_data!H981</f>
        <v>Credit Card</v>
      </c>
      <c r="J981" s="7" t="str">
        <f>IF(Raw_data!I981=0.1,"10%",Raw_data!I981)</f>
        <v>50 off Promo</v>
      </c>
      <c r="K981" s="6">
        <f>Raw_data!J981</f>
        <v>199</v>
      </c>
      <c r="L981" s="6">
        <f>Raw_data!K981</f>
        <v>33</v>
      </c>
      <c r="M981" s="6">
        <f>Raw_data!L981</f>
        <v>0</v>
      </c>
      <c r="N981" s="6">
        <f t="shared" si="91"/>
        <v>491</v>
      </c>
      <c r="O981" s="6">
        <f t="shared" si="92"/>
        <v>232</v>
      </c>
      <c r="P981" s="6">
        <f t="shared" si="93"/>
        <v>723</v>
      </c>
      <c r="Q981">
        <f t="shared" si="94"/>
        <v>1</v>
      </c>
      <c r="R981">
        <f t="shared" si="95"/>
        <v>2</v>
      </c>
    </row>
    <row r="982" spans="1:18" x14ac:dyDescent="0.25">
      <c r="A982">
        <f>Raw_data!A982</f>
        <v>981</v>
      </c>
      <c r="B982" t="str">
        <f>Raw_data!B982</f>
        <v>C3482</v>
      </c>
      <c r="C982" t="str">
        <f>Raw_data!C982</f>
        <v>R2374</v>
      </c>
      <c r="D982" s="3">
        <f>Raw_data!D982</f>
        <v>45308.365995370368</v>
      </c>
      <c r="E982" s="3">
        <f>Raw_data!E982</f>
        <v>45308.437523148146</v>
      </c>
      <c r="F982" s="4">
        <f t="shared" si="90"/>
        <v>7.1527777778101154E-2</v>
      </c>
      <c r="G982" s="6">
        <f>Raw_data!F982</f>
        <v>475</v>
      </c>
      <c r="H982" s="6">
        <f>Raw_data!G982</f>
        <v>30</v>
      </c>
      <c r="I982" t="str">
        <f>Raw_data!H982</f>
        <v>Digital Wallet</v>
      </c>
      <c r="J982" s="7" t="str">
        <f>IF(Raw_data!I982=0.1,"10%",Raw_data!I982)</f>
        <v>5% on App</v>
      </c>
      <c r="K982" s="6">
        <f>Raw_data!J982</f>
        <v>69</v>
      </c>
      <c r="L982" s="6">
        <f>Raw_data!K982</f>
        <v>46</v>
      </c>
      <c r="M982" s="6">
        <f>Raw_data!L982</f>
        <v>0</v>
      </c>
      <c r="N982" s="6">
        <f t="shared" si="91"/>
        <v>360</v>
      </c>
      <c r="O982" s="6">
        <f t="shared" si="92"/>
        <v>115</v>
      </c>
      <c r="P982" s="6">
        <f t="shared" si="93"/>
        <v>505</v>
      </c>
      <c r="Q982">
        <f t="shared" si="94"/>
        <v>1</v>
      </c>
      <c r="R982">
        <f t="shared" si="95"/>
        <v>1</v>
      </c>
    </row>
    <row r="983" spans="1:18" x14ac:dyDescent="0.25">
      <c r="A983">
        <f>Raw_data!A983</f>
        <v>982</v>
      </c>
      <c r="B983" t="str">
        <f>Raw_data!B983</f>
        <v>C9058</v>
      </c>
      <c r="C983" t="str">
        <f>Raw_data!C983</f>
        <v>R2292</v>
      </c>
      <c r="D983" s="3">
        <f>Raw_data!D983</f>
        <v>45303.021365740744</v>
      </c>
      <c r="E983" s="3">
        <f>Raw_data!E983</f>
        <v>45303.051921296297</v>
      </c>
      <c r="F983" s="4">
        <f t="shared" si="90"/>
        <v>3.0555555553291924E-2</v>
      </c>
      <c r="G983" s="6">
        <f>Raw_data!F983</f>
        <v>546</v>
      </c>
      <c r="H983" s="6">
        <f>Raw_data!G983</f>
        <v>0</v>
      </c>
      <c r="I983" t="str">
        <f>Raw_data!H983</f>
        <v>Cash on Delivery</v>
      </c>
      <c r="J983" s="7" t="str">
        <f>IF(Raw_data!I983=0.1,"10%",Raw_data!I983)</f>
        <v>15% New User</v>
      </c>
      <c r="K983" s="6">
        <f>Raw_data!J983</f>
        <v>82</v>
      </c>
      <c r="L983" s="6">
        <f>Raw_data!K983</f>
        <v>35</v>
      </c>
      <c r="M983" s="6">
        <f>Raw_data!L983</f>
        <v>0</v>
      </c>
      <c r="N983" s="6">
        <f t="shared" si="91"/>
        <v>429</v>
      </c>
      <c r="O983" s="6">
        <f t="shared" si="92"/>
        <v>117</v>
      </c>
      <c r="P983" s="6">
        <f t="shared" si="93"/>
        <v>546</v>
      </c>
      <c r="Q983">
        <f t="shared" si="94"/>
        <v>1</v>
      </c>
      <c r="R983">
        <f t="shared" si="95"/>
        <v>2</v>
      </c>
    </row>
    <row r="984" spans="1:18" x14ac:dyDescent="0.25">
      <c r="A984">
        <f>Raw_data!A984</f>
        <v>983</v>
      </c>
      <c r="B984" t="str">
        <f>Raw_data!B984</f>
        <v>C1951</v>
      </c>
      <c r="C984" t="str">
        <f>Raw_data!C984</f>
        <v>R2836</v>
      </c>
      <c r="D984" s="3">
        <f>Raw_data!D984</f>
        <v>45292.227719907409</v>
      </c>
      <c r="E984" s="3">
        <f>Raw_data!E984</f>
        <v>45292.297164351854</v>
      </c>
      <c r="F984" s="4">
        <f t="shared" si="90"/>
        <v>6.9444444445252884E-2</v>
      </c>
      <c r="G984" s="6">
        <f>Raw_data!F984</f>
        <v>934</v>
      </c>
      <c r="H984" s="6">
        <f>Raw_data!G984</f>
        <v>20</v>
      </c>
      <c r="I984" t="str">
        <f>Raw_data!H984</f>
        <v>Digital Wallet</v>
      </c>
      <c r="J984" s="7" t="str">
        <f>IF(Raw_data!I984=0.1,"10%",Raw_data!I984)</f>
        <v>None</v>
      </c>
      <c r="K984" s="6">
        <f>Raw_data!J984</f>
        <v>121</v>
      </c>
      <c r="L984" s="6">
        <f>Raw_data!K984</f>
        <v>40</v>
      </c>
      <c r="M984" s="6">
        <f>Raw_data!L984</f>
        <v>0</v>
      </c>
      <c r="N984" s="6">
        <f t="shared" si="91"/>
        <v>773</v>
      </c>
      <c r="O984" s="6">
        <f t="shared" si="92"/>
        <v>161</v>
      </c>
      <c r="P984" s="6">
        <f t="shared" si="93"/>
        <v>954</v>
      </c>
      <c r="Q984">
        <f t="shared" si="94"/>
        <v>1</v>
      </c>
      <c r="R984">
        <f t="shared" si="95"/>
        <v>1</v>
      </c>
    </row>
    <row r="985" spans="1:18" x14ac:dyDescent="0.25">
      <c r="A985">
        <f>Raw_data!A985</f>
        <v>984</v>
      </c>
      <c r="B985" t="str">
        <f>Raw_data!B985</f>
        <v>C9914</v>
      </c>
      <c r="C985" t="str">
        <f>Raw_data!C985</f>
        <v>R2933</v>
      </c>
      <c r="D985" s="3">
        <f>Raw_data!D985</f>
        <v>45292.856446759259</v>
      </c>
      <c r="E985" s="3">
        <f>Raw_data!E985</f>
        <v>45292.901585648149</v>
      </c>
      <c r="F985" s="4">
        <f t="shared" si="90"/>
        <v>4.5138888890505768E-2</v>
      </c>
      <c r="G985" s="6">
        <f>Raw_data!F985</f>
        <v>1229</v>
      </c>
      <c r="H985" s="6">
        <f>Raw_data!G985</f>
        <v>20</v>
      </c>
      <c r="I985" t="str">
        <f>Raw_data!H985</f>
        <v>Digital Wallet</v>
      </c>
      <c r="J985" s="7" t="str">
        <f>IF(Raw_data!I985=0.1,"10%",Raw_data!I985)</f>
        <v>50 off Promo</v>
      </c>
      <c r="K985" s="6">
        <f>Raw_data!J985</f>
        <v>74</v>
      </c>
      <c r="L985" s="6">
        <f>Raw_data!K985</f>
        <v>41</v>
      </c>
      <c r="M985" s="6">
        <f>Raw_data!L985</f>
        <v>0</v>
      </c>
      <c r="N985" s="6">
        <f t="shared" si="91"/>
        <v>1114</v>
      </c>
      <c r="O985" s="6">
        <f t="shared" si="92"/>
        <v>115</v>
      </c>
      <c r="P985" s="6">
        <f t="shared" si="93"/>
        <v>1249</v>
      </c>
      <c r="Q985">
        <f t="shared" si="94"/>
        <v>1</v>
      </c>
      <c r="R985">
        <f t="shared" si="95"/>
        <v>4</v>
      </c>
    </row>
    <row r="986" spans="1:18" x14ac:dyDescent="0.25">
      <c r="A986">
        <f>Raw_data!A986</f>
        <v>985</v>
      </c>
      <c r="B986" t="str">
        <f>Raw_data!B986</f>
        <v>C3079</v>
      </c>
      <c r="C986" t="str">
        <f>Raw_data!C986</f>
        <v>R2552</v>
      </c>
      <c r="D986" s="3">
        <f>Raw_data!D986</f>
        <v>45317.986562500002</v>
      </c>
      <c r="E986" s="3">
        <f>Raw_data!E986</f>
        <v>45318.016423611109</v>
      </c>
      <c r="F986" s="4">
        <f t="shared" si="90"/>
        <v>2.9861111106583849E-2</v>
      </c>
      <c r="G986" s="6">
        <f>Raw_data!F986</f>
        <v>1774</v>
      </c>
      <c r="H986" s="6">
        <f>Raw_data!G986</f>
        <v>40</v>
      </c>
      <c r="I986" t="str">
        <f>Raw_data!H986</f>
        <v>Credit Card</v>
      </c>
      <c r="J986" s="7" t="str">
        <f>IF(Raw_data!I986=0.1,"10%",Raw_data!I986)</f>
        <v>10%</v>
      </c>
      <c r="K986" s="6">
        <f>Raw_data!J986</f>
        <v>95</v>
      </c>
      <c r="L986" s="6">
        <f>Raw_data!K986</f>
        <v>50</v>
      </c>
      <c r="M986" s="6">
        <f>Raw_data!L986</f>
        <v>0</v>
      </c>
      <c r="N986" s="6">
        <f t="shared" si="91"/>
        <v>1629</v>
      </c>
      <c r="O986" s="6">
        <f t="shared" si="92"/>
        <v>145</v>
      </c>
      <c r="P986" s="6">
        <f t="shared" si="93"/>
        <v>1814</v>
      </c>
      <c r="Q986">
        <f t="shared" si="94"/>
        <v>1</v>
      </c>
      <c r="R986">
        <f t="shared" si="95"/>
        <v>3</v>
      </c>
    </row>
    <row r="987" spans="1:18" x14ac:dyDescent="0.25">
      <c r="A987">
        <f>Raw_data!A987</f>
        <v>986</v>
      </c>
      <c r="B987" t="str">
        <f>Raw_data!B987</f>
        <v>C3717</v>
      </c>
      <c r="C987" t="str">
        <f>Raw_data!C987</f>
        <v>R2317</v>
      </c>
      <c r="D987" s="3">
        <f>Raw_data!D987</f>
        <v>45303.198622685188</v>
      </c>
      <c r="E987" s="3">
        <f>Raw_data!E987</f>
        <v>45303.272928240738</v>
      </c>
      <c r="F987" s="4">
        <f t="shared" si="90"/>
        <v>7.4305555550381541E-2</v>
      </c>
      <c r="G987" s="6">
        <f>Raw_data!F987</f>
        <v>910</v>
      </c>
      <c r="H987" s="6">
        <f>Raw_data!G987</f>
        <v>50</v>
      </c>
      <c r="I987" t="str">
        <f>Raw_data!H987</f>
        <v>Credit Card</v>
      </c>
      <c r="J987" s="7" t="str">
        <f>IF(Raw_data!I987=0.1,"10%",Raw_data!I987)</f>
        <v>15% New User</v>
      </c>
      <c r="K987" s="6">
        <f>Raw_data!J987</f>
        <v>122</v>
      </c>
      <c r="L987" s="6">
        <f>Raw_data!K987</f>
        <v>11</v>
      </c>
      <c r="M987" s="6">
        <f>Raw_data!L987</f>
        <v>150</v>
      </c>
      <c r="N987" s="6">
        <f t="shared" si="91"/>
        <v>777</v>
      </c>
      <c r="O987" s="6">
        <f t="shared" si="92"/>
        <v>-17</v>
      </c>
      <c r="P987" s="6">
        <f t="shared" si="93"/>
        <v>960</v>
      </c>
      <c r="Q987">
        <f t="shared" si="94"/>
        <v>1</v>
      </c>
      <c r="R987">
        <f t="shared" si="95"/>
        <v>6</v>
      </c>
    </row>
    <row r="988" spans="1:18" x14ac:dyDescent="0.25">
      <c r="A988">
        <f>Raw_data!A988</f>
        <v>987</v>
      </c>
      <c r="B988" t="str">
        <f>Raw_data!B988</f>
        <v>C5524</v>
      </c>
      <c r="C988" t="str">
        <f>Raw_data!C988</f>
        <v>R2501</v>
      </c>
      <c r="D988" s="3">
        <f>Raw_data!D988</f>
        <v>45315.1327662037</v>
      </c>
      <c r="E988" s="3">
        <f>Raw_data!E988</f>
        <v>45315.154988425929</v>
      </c>
      <c r="F988" s="4">
        <f t="shared" si="90"/>
        <v>2.2222222229174804E-2</v>
      </c>
      <c r="G988" s="6">
        <f>Raw_data!F988</f>
        <v>1524</v>
      </c>
      <c r="H988" s="6">
        <f>Raw_data!G988</f>
        <v>20</v>
      </c>
      <c r="I988" t="str">
        <f>Raw_data!H988</f>
        <v>Credit Card</v>
      </c>
      <c r="J988" s="7" t="str">
        <f>IF(Raw_data!I988=0.1,"10%",Raw_data!I988)</f>
        <v>15% New User</v>
      </c>
      <c r="K988" s="6">
        <f>Raw_data!J988</f>
        <v>147</v>
      </c>
      <c r="L988" s="6">
        <f>Raw_data!K988</f>
        <v>34</v>
      </c>
      <c r="M988" s="6">
        <f>Raw_data!L988</f>
        <v>0</v>
      </c>
      <c r="N988" s="6">
        <f t="shared" si="91"/>
        <v>1343</v>
      </c>
      <c r="O988" s="6">
        <f t="shared" si="92"/>
        <v>181</v>
      </c>
      <c r="P988" s="6">
        <f t="shared" si="93"/>
        <v>1544</v>
      </c>
      <c r="Q988">
        <f t="shared" si="94"/>
        <v>1</v>
      </c>
      <c r="R988">
        <f t="shared" si="95"/>
        <v>1</v>
      </c>
    </row>
    <row r="989" spans="1:18" x14ac:dyDescent="0.25">
      <c r="A989">
        <f>Raw_data!A989</f>
        <v>988</v>
      </c>
      <c r="B989" t="str">
        <f>Raw_data!B989</f>
        <v>C9477</v>
      </c>
      <c r="C989" t="str">
        <f>Raw_data!C989</f>
        <v>R2827</v>
      </c>
      <c r="D989" s="3">
        <f>Raw_data!D989</f>
        <v>45297.634247685186</v>
      </c>
      <c r="E989" s="3">
        <f>Raw_data!E989</f>
        <v>45297.700914351852</v>
      </c>
      <c r="F989" s="4">
        <f t="shared" si="90"/>
        <v>6.6666666665696539E-2</v>
      </c>
      <c r="G989" s="6">
        <f>Raw_data!F989</f>
        <v>1219</v>
      </c>
      <c r="H989" s="6">
        <f>Raw_data!G989</f>
        <v>0</v>
      </c>
      <c r="I989" t="str">
        <f>Raw_data!H989</f>
        <v>Credit Card</v>
      </c>
      <c r="J989" s="7" t="str">
        <f>IF(Raw_data!I989=0.1,"10%",Raw_data!I989)</f>
        <v>50 off Promo</v>
      </c>
      <c r="K989" s="6">
        <f>Raw_data!J989</f>
        <v>106</v>
      </c>
      <c r="L989" s="6">
        <f>Raw_data!K989</f>
        <v>11</v>
      </c>
      <c r="M989" s="6">
        <f>Raw_data!L989</f>
        <v>0</v>
      </c>
      <c r="N989" s="6">
        <f t="shared" si="91"/>
        <v>1102</v>
      </c>
      <c r="O989" s="6">
        <f t="shared" si="92"/>
        <v>117</v>
      </c>
      <c r="P989" s="6">
        <f t="shared" si="93"/>
        <v>1219</v>
      </c>
      <c r="Q989">
        <f t="shared" si="94"/>
        <v>1</v>
      </c>
      <c r="R989">
        <f t="shared" si="95"/>
        <v>2</v>
      </c>
    </row>
    <row r="990" spans="1:18" x14ac:dyDescent="0.25">
      <c r="A990">
        <f>Raw_data!A990</f>
        <v>989</v>
      </c>
      <c r="B990" t="str">
        <f>Raw_data!B990</f>
        <v>C8311</v>
      </c>
      <c r="C990" t="str">
        <f>Raw_data!C990</f>
        <v>R2380</v>
      </c>
      <c r="D990" s="3">
        <f>Raw_data!D990</f>
        <v>45322.283576388887</v>
      </c>
      <c r="E990" s="3">
        <f>Raw_data!E990</f>
        <v>45322.363437499997</v>
      </c>
      <c r="F990" s="4">
        <f t="shared" si="90"/>
        <v>7.9861111109494232E-2</v>
      </c>
      <c r="G990" s="6">
        <f>Raw_data!F990</f>
        <v>1511</v>
      </c>
      <c r="H990" s="6">
        <f>Raw_data!G990</f>
        <v>0</v>
      </c>
      <c r="I990" t="str">
        <f>Raw_data!H990</f>
        <v>Credit Card</v>
      </c>
      <c r="J990" s="7" t="str">
        <f>IF(Raw_data!I990=0.1,"10%",Raw_data!I990)</f>
        <v>5% on App</v>
      </c>
      <c r="K990" s="6">
        <f>Raw_data!J990</f>
        <v>136</v>
      </c>
      <c r="L990" s="6">
        <f>Raw_data!K990</f>
        <v>10</v>
      </c>
      <c r="M990" s="6">
        <f>Raw_data!L990</f>
        <v>0</v>
      </c>
      <c r="N990" s="6">
        <f t="shared" si="91"/>
        <v>1365</v>
      </c>
      <c r="O990" s="6">
        <f t="shared" si="92"/>
        <v>146</v>
      </c>
      <c r="P990" s="6">
        <f t="shared" si="93"/>
        <v>1511</v>
      </c>
      <c r="Q990">
        <f t="shared" si="94"/>
        <v>1</v>
      </c>
      <c r="R990">
        <f t="shared" si="95"/>
        <v>3</v>
      </c>
    </row>
    <row r="991" spans="1:18" x14ac:dyDescent="0.25">
      <c r="A991">
        <f>Raw_data!A991</f>
        <v>990</v>
      </c>
      <c r="B991" t="str">
        <f>Raw_data!B991</f>
        <v>C8186</v>
      </c>
      <c r="C991" t="str">
        <f>Raw_data!C991</f>
        <v>R2622</v>
      </c>
      <c r="D991" s="3">
        <f>Raw_data!D991</f>
        <v>45300.74627314815</v>
      </c>
      <c r="E991" s="3">
        <f>Raw_data!E991</f>
        <v>45300.779606481483</v>
      </c>
      <c r="F991" s="4">
        <f t="shared" si="90"/>
        <v>3.3333333332848269E-2</v>
      </c>
      <c r="G991" s="6">
        <f>Raw_data!F991</f>
        <v>1058</v>
      </c>
      <c r="H991" s="6">
        <f>Raw_data!G991</f>
        <v>50</v>
      </c>
      <c r="I991" t="str">
        <f>Raw_data!H991</f>
        <v>Credit Card</v>
      </c>
      <c r="J991" s="7" t="str">
        <f>IF(Raw_data!I991=0.1,"10%",Raw_data!I991)</f>
        <v>5% on App</v>
      </c>
      <c r="K991" s="6">
        <f>Raw_data!J991</f>
        <v>182</v>
      </c>
      <c r="L991" s="6">
        <f>Raw_data!K991</f>
        <v>45</v>
      </c>
      <c r="M991" s="6">
        <f>Raw_data!L991</f>
        <v>0</v>
      </c>
      <c r="N991" s="6">
        <f t="shared" si="91"/>
        <v>831</v>
      </c>
      <c r="O991" s="6">
        <f t="shared" si="92"/>
        <v>227</v>
      </c>
      <c r="P991" s="6">
        <f t="shared" si="93"/>
        <v>1108</v>
      </c>
      <c r="Q991">
        <f t="shared" si="94"/>
        <v>2</v>
      </c>
      <c r="R991">
        <f t="shared" si="95"/>
        <v>2</v>
      </c>
    </row>
    <row r="992" spans="1:18" x14ac:dyDescent="0.25">
      <c r="A992">
        <f>Raw_data!A992</f>
        <v>991</v>
      </c>
      <c r="B992" t="str">
        <f>Raw_data!B992</f>
        <v>C3065</v>
      </c>
      <c r="C992" t="str">
        <f>Raw_data!C992</f>
        <v>R2013</v>
      </c>
      <c r="D992" s="3">
        <f>Raw_data!D992</f>
        <v>45317.903437499997</v>
      </c>
      <c r="E992" s="3">
        <f>Raw_data!E992</f>
        <v>45317.976354166669</v>
      </c>
      <c r="F992" s="4">
        <f t="shared" si="90"/>
        <v>7.2916666671517305E-2</v>
      </c>
      <c r="G992" s="6">
        <f>Raw_data!F992</f>
        <v>1575</v>
      </c>
      <c r="H992" s="6">
        <f>Raw_data!G992</f>
        <v>50</v>
      </c>
      <c r="I992" t="str">
        <f>Raw_data!H992</f>
        <v>Cash on Delivery</v>
      </c>
      <c r="J992" s="7" t="str">
        <f>IF(Raw_data!I992=0.1,"10%",Raw_data!I992)</f>
        <v>5% on App</v>
      </c>
      <c r="K992" s="6">
        <f>Raw_data!J992</f>
        <v>104</v>
      </c>
      <c r="L992" s="6">
        <f>Raw_data!K992</f>
        <v>21</v>
      </c>
      <c r="M992" s="6">
        <f>Raw_data!L992</f>
        <v>0</v>
      </c>
      <c r="N992" s="6">
        <f t="shared" si="91"/>
        <v>1450</v>
      </c>
      <c r="O992" s="6">
        <f t="shared" si="92"/>
        <v>125</v>
      </c>
      <c r="P992" s="6">
        <f t="shared" si="93"/>
        <v>1625</v>
      </c>
      <c r="Q992">
        <f t="shared" si="94"/>
        <v>1</v>
      </c>
      <c r="R992">
        <f t="shared" si="95"/>
        <v>2</v>
      </c>
    </row>
    <row r="993" spans="1:18" x14ac:dyDescent="0.25">
      <c r="A993">
        <f>Raw_data!A993</f>
        <v>992</v>
      </c>
      <c r="B993" t="str">
        <f>Raw_data!B993</f>
        <v>C1768</v>
      </c>
      <c r="C993" t="str">
        <f>Raw_data!C993</f>
        <v>R2503</v>
      </c>
      <c r="D993" s="3">
        <f>Raw_data!D993</f>
        <v>45295.125462962962</v>
      </c>
      <c r="E993" s="3">
        <f>Raw_data!E993</f>
        <v>45295.18310185185</v>
      </c>
      <c r="F993" s="4">
        <f t="shared" si="90"/>
        <v>5.7638888887595385E-2</v>
      </c>
      <c r="G993" s="6">
        <f>Raw_data!F993</f>
        <v>948</v>
      </c>
      <c r="H993" s="6">
        <f>Raw_data!G993</f>
        <v>40</v>
      </c>
      <c r="I993" t="str">
        <f>Raw_data!H993</f>
        <v>Digital Wallet</v>
      </c>
      <c r="J993" s="7" t="str">
        <f>IF(Raw_data!I993=0.1,"10%",Raw_data!I993)</f>
        <v>10%</v>
      </c>
      <c r="K993" s="6">
        <f>Raw_data!J993</f>
        <v>110</v>
      </c>
      <c r="L993" s="6">
        <f>Raw_data!K993</f>
        <v>18</v>
      </c>
      <c r="M993" s="6">
        <f>Raw_data!L993</f>
        <v>0</v>
      </c>
      <c r="N993" s="6">
        <f t="shared" si="91"/>
        <v>820</v>
      </c>
      <c r="O993" s="6">
        <f t="shared" si="92"/>
        <v>128</v>
      </c>
      <c r="P993" s="6">
        <f t="shared" si="93"/>
        <v>988</v>
      </c>
      <c r="Q993">
        <f t="shared" si="94"/>
        <v>1</v>
      </c>
      <c r="R993">
        <f t="shared" si="95"/>
        <v>1</v>
      </c>
    </row>
    <row r="994" spans="1:18" x14ac:dyDescent="0.25">
      <c r="A994">
        <f>Raw_data!A994</f>
        <v>993</v>
      </c>
      <c r="B994" t="str">
        <f>Raw_data!B994</f>
        <v>C6490</v>
      </c>
      <c r="C994" t="str">
        <f>Raw_data!C994</f>
        <v>R2230</v>
      </c>
      <c r="D994" s="3">
        <f>Raw_data!D994</f>
        <v>45309.069027777776</v>
      </c>
      <c r="E994" s="3">
        <f>Raw_data!E994</f>
        <v>45309.137083333335</v>
      </c>
      <c r="F994" s="4">
        <f t="shared" si="90"/>
        <v>6.805555555911269E-2</v>
      </c>
      <c r="G994" s="6">
        <f>Raw_data!F994</f>
        <v>908</v>
      </c>
      <c r="H994" s="6">
        <f>Raw_data!G994</f>
        <v>30</v>
      </c>
      <c r="I994" t="str">
        <f>Raw_data!H994</f>
        <v>Digital Wallet</v>
      </c>
      <c r="J994" s="7" t="str">
        <f>IF(Raw_data!I994=0.1,"10%",Raw_data!I994)</f>
        <v>50 off Promo</v>
      </c>
      <c r="K994" s="6">
        <f>Raw_data!J994</f>
        <v>138</v>
      </c>
      <c r="L994" s="6">
        <f>Raw_data!K994</f>
        <v>45</v>
      </c>
      <c r="M994" s="6">
        <f>Raw_data!L994</f>
        <v>0</v>
      </c>
      <c r="N994" s="6">
        <f t="shared" si="91"/>
        <v>725</v>
      </c>
      <c r="O994" s="6">
        <f t="shared" si="92"/>
        <v>183</v>
      </c>
      <c r="P994" s="6">
        <f t="shared" si="93"/>
        <v>938</v>
      </c>
      <c r="Q994">
        <f t="shared" si="94"/>
        <v>1</v>
      </c>
      <c r="R994">
        <f t="shared" si="95"/>
        <v>1</v>
      </c>
    </row>
    <row r="995" spans="1:18" x14ac:dyDescent="0.25">
      <c r="A995">
        <f>Raw_data!A995</f>
        <v>994</v>
      </c>
      <c r="B995" t="str">
        <f>Raw_data!B995</f>
        <v>C7645</v>
      </c>
      <c r="C995" t="str">
        <f>Raw_data!C995</f>
        <v>R2984</v>
      </c>
      <c r="D995" s="3">
        <f>Raw_data!D995</f>
        <v>45319.882280092592</v>
      </c>
      <c r="E995" s="3">
        <f>Raw_data!E995</f>
        <v>45319.909363425926</v>
      </c>
      <c r="F995" s="4">
        <f t="shared" si="90"/>
        <v>2.7083333334303461E-2</v>
      </c>
      <c r="G995" s="6">
        <f>Raw_data!F995</f>
        <v>1078</v>
      </c>
      <c r="H995" s="6">
        <f>Raw_data!G995</f>
        <v>0</v>
      </c>
      <c r="I995" t="str">
        <f>Raw_data!H995</f>
        <v>Digital Wallet</v>
      </c>
      <c r="J995" s="7" t="str">
        <f>IF(Raw_data!I995=0.1,"10%",Raw_data!I995)</f>
        <v>50 off Promo</v>
      </c>
      <c r="K995" s="6">
        <f>Raw_data!J995</f>
        <v>57</v>
      </c>
      <c r="L995" s="6">
        <f>Raw_data!K995</f>
        <v>50</v>
      </c>
      <c r="M995" s="6">
        <f>Raw_data!L995</f>
        <v>0</v>
      </c>
      <c r="N995" s="6">
        <f t="shared" si="91"/>
        <v>971</v>
      </c>
      <c r="O995" s="6">
        <f t="shared" si="92"/>
        <v>107</v>
      </c>
      <c r="P995" s="6">
        <f t="shared" si="93"/>
        <v>1078</v>
      </c>
      <c r="Q995">
        <f t="shared" si="94"/>
        <v>1</v>
      </c>
      <c r="R995">
        <f t="shared" si="95"/>
        <v>2</v>
      </c>
    </row>
    <row r="996" spans="1:18" x14ac:dyDescent="0.25">
      <c r="A996">
        <f>Raw_data!A996</f>
        <v>995</v>
      </c>
      <c r="B996" t="str">
        <f>Raw_data!B996</f>
        <v>C6083</v>
      </c>
      <c r="C996" t="str">
        <f>Raw_data!C996</f>
        <v>R2083</v>
      </c>
      <c r="D996" s="3">
        <f>Raw_data!D996</f>
        <v>45298.551944444444</v>
      </c>
      <c r="E996" s="3">
        <f>Raw_data!E996</f>
        <v>45298.595000000001</v>
      </c>
      <c r="F996" s="4">
        <f t="shared" si="90"/>
        <v>4.3055555557657499E-2</v>
      </c>
      <c r="G996" s="6">
        <f>Raw_data!F996</f>
        <v>515</v>
      </c>
      <c r="H996" s="6">
        <f>Raw_data!G996</f>
        <v>50</v>
      </c>
      <c r="I996" t="str">
        <f>Raw_data!H996</f>
        <v>Cash on Delivery</v>
      </c>
      <c r="J996" s="7" t="str">
        <f>IF(Raw_data!I996=0.1,"10%",Raw_data!I996)</f>
        <v>5% on App</v>
      </c>
      <c r="K996" s="6">
        <f>Raw_data!J996</f>
        <v>65</v>
      </c>
      <c r="L996" s="6">
        <f>Raw_data!K996</f>
        <v>37</v>
      </c>
      <c r="M996" s="6">
        <f>Raw_data!L996</f>
        <v>0</v>
      </c>
      <c r="N996" s="6">
        <f t="shared" si="91"/>
        <v>413</v>
      </c>
      <c r="O996" s="6">
        <f t="shared" si="92"/>
        <v>102</v>
      </c>
      <c r="P996" s="6">
        <f t="shared" si="93"/>
        <v>565</v>
      </c>
      <c r="Q996">
        <f t="shared" si="94"/>
        <v>1</v>
      </c>
      <c r="R996">
        <f t="shared" si="95"/>
        <v>5</v>
      </c>
    </row>
    <row r="997" spans="1:18" x14ac:dyDescent="0.25">
      <c r="A997">
        <f>Raw_data!A997</f>
        <v>996</v>
      </c>
      <c r="B997" t="str">
        <f>Raw_data!B997</f>
        <v>C6232</v>
      </c>
      <c r="C997" t="str">
        <f>Raw_data!C997</f>
        <v>R2129</v>
      </c>
      <c r="D997" s="3">
        <f>Raw_data!D997</f>
        <v>45305.247916666667</v>
      </c>
      <c r="E997" s="3">
        <f>Raw_data!E997</f>
        <v>45305.277083333334</v>
      </c>
      <c r="F997" s="4">
        <f t="shared" si="90"/>
        <v>2.9166666667151731E-2</v>
      </c>
      <c r="G997" s="6">
        <f>Raw_data!F997</f>
        <v>825</v>
      </c>
      <c r="H997" s="6">
        <f>Raw_data!G997</f>
        <v>0</v>
      </c>
      <c r="I997" t="str">
        <f>Raw_data!H997</f>
        <v>Digital Wallet</v>
      </c>
      <c r="J997" s="7" t="str">
        <f>IF(Raw_data!I997=0.1,"10%",Raw_data!I997)</f>
        <v>5% on App</v>
      </c>
      <c r="K997" s="6">
        <f>Raw_data!J997</f>
        <v>165</v>
      </c>
      <c r="L997" s="6">
        <f>Raw_data!K997</f>
        <v>47</v>
      </c>
      <c r="M997" s="6">
        <f>Raw_data!L997</f>
        <v>50</v>
      </c>
      <c r="N997" s="6">
        <f t="shared" si="91"/>
        <v>613</v>
      </c>
      <c r="O997" s="6">
        <f t="shared" si="92"/>
        <v>162</v>
      </c>
      <c r="P997" s="6">
        <f t="shared" si="93"/>
        <v>825</v>
      </c>
      <c r="Q997">
        <f t="shared" si="94"/>
        <v>2</v>
      </c>
      <c r="R997">
        <f t="shared" si="95"/>
        <v>3</v>
      </c>
    </row>
    <row r="998" spans="1:18" x14ac:dyDescent="0.25">
      <c r="A998">
        <f>Raw_data!A998</f>
        <v>997</v>
      </c>
      <c r="B998" t="str">
        <f>Raw_data!B998</f>
        <v>C6797</v>
      </c>
      <c r="C998" t="str">
        <f>Raw_data!C998</f>
        <v>R2742</v>
      </c>
      <c r="D998" s="3">
        <f>Raw_data!D998</f>
        <v>45319.36855324074</v>
      </c>
      <c r="E998" s="3">
        <f>Raw_data!E998</f>
        <v>45319.424108796295</v>
      </c>
      <c r="F998" s="4">
        <f t="shared" si="90"/>
        <v>5.5555555554747116E-2</v>
      </c>
      <c r="G998" s="6">
        <f>Raw_data!F998</f>
        <v>1627</v>
      </c>
      <c r="H998" s="6">
        <f>Raw_data!G998</f>
        <v>50</v>
      </c>
      <c r="I998" t="str">
        <f>Raw_data!H998</f>
        <v>Cash on Delivery</v>
      </c>
      <c r="J998" s="7" t="str">
        <f>IF(Raw_data!I998=0.1,"10%",Raw_data!I998)</f>
        <v>None</v>
      </c>
      <c r="K998" s="6">
        <f>Raw_data!J998</f>
        <v>110</v>
      </c>
      <c r="L998" s="6">
        <f>Raw_data!K998</f>
        <v>42</v>
      </c>
      <c r="M998" s="6">
        <f>Raw_data!L998</f>
        <v>0</v>
      </c>
      <c r="N998" s="6">
        <f t="shared" si="91"/>
        <v>1475</v>
      </c>
      <c r="O998" s="6">
        <f t="shared" si="92"/>
        <v>152</v>
      </c>
      <c r="P998" s="6">
        <f t="shared" si="93"/>
        <v>1677</v>
      </c>
      <c r="Q998">
        <f t="shared" si="94"/>
        <v>1</v>
      </c>
      <c r="R998">
        <f t="shared" si="95"/>
        <v>1</v>
      </c>
    </row>
    <row r="999" spans="1:18" x14ac:dyDescent="0.25">
      <c r="A999">
        <f>Raw_data!A999</f>
        <v>998</v>
      </c>
      <c r="B999" t="str">
        <f>Raw_data!B999</f>
        <v>C5926</v>
      </c>
      <c r="C999" t="str">
        <f>Raw_data!C999</f>
        <v>R2837</v>
      </c>
      <c r="D999" s="3">
        <f>Raw_data!D999</f>
        <v>45312.405081018522</v>
      </c>
      <c r="E999" s="3">
        <f>Raw_data!E999</f>
        <v>45312.447442129633</v>
      </c>
      <c r="F999" s="4">
        <f t="shared" si="90"/>
        <v>4.2361111110949423E-2</v>
      </c>
      <c r="G999" s="6">
        <f>Raw_data!F999</f>
        <v>553</v>
      </c>
      <c r="H999" s="6">
        <f>Raw_data!G999</f>
        <v>20</v>
      </c>
      <c r="I999" t="str">
        <f>Raw_data!H999</f>
        <v>Cash on Delivery</v>
      </c>
      <c r="J999" s="7" t="str">
        <f>IF(Raw_data!I999=0.1,"10%",Raw_data!I999)</f>
        <v>None</v>
      </c>
      <c r="K999" s="6">
        <f>Raw_data!J999</f>
        <v>64</v>
      </c>
      <c r="L999" s="6">
        <f>Raw_data!K999</f>
        <v>31</v>
      </c>
      <c r="M999" s="6">
        <f>Raw_data!L999</f>
        <v>0</v>
      </c>
      <c r="N999" s="6">
        <f t="shared" si="91"/>
        <v>458</v>
      </c>
      <c r="O999" s="6">
        <f t="shared" si="92"/>
        <v>95</v>
      </c>
      <c r="P999" s="6">
        <f t="shared" si="93"/>
        <v>573</v>
      </c>
      <c r="Q999">
        <f t="shared" si="94"/>
        <v>1</v>
      </c>
      <c r="R999">
        <f t="shared" si="95"/>
        <v>2</v>
      </c>
    </row>
    <row r="1000" spans="1:18" x14ac:dyDescent="0.25">
      <c r="A1000">
        <f>Raw_data!A1000</f>
        <v>999</v>
      </c>
      <c r="B1000" t="str">
        <f>Raw_data!B1000</f>
        <v>C7016</v>
      </c>
      <c r="C1000" t="str">
        <f>Raw_data!C1000</f>
        <v>R2144</v>
      </c>
      <c r="D1000" s="3">
        <f>Raw_data!D1000</f>
        <v>45321.933078703703</v>
      </c>
      <c r="E1000" s="3">
        <f>Raw_data!E1000</f>
        <v>45322.005300925928</v>
      </c>
      <c r="F1000" s="4">
        <f t="shared" si="90"/>
        <v>7.2222222224809229E-2</v>
      </c>
      <c r="G1000" s="6">
        <f>Raw_data!F1000</f>
        <v>1414</v>
      </c>
      <c r="H1000" s="6">
        <f>Raw_data!G1000</f>
        <v>0</v>
      </c>
      <c r="I1000" t="str">
        <f>Raw_data!H1000</f>
        <v>Cash on Delivery</v>
      </c>
      <c r="J1000" s="7" t="str">
        <f>IF(Raw_data!I1000=0.1,"10%",Raw_data!I1000)</f>
        <v>15% New User</v>
      </c>
      <c r="K1000" s="6">
        <f>Raw_data!J1000</f>
        <v>199</v>
      </c>
      <c r="L1000" s="6">
        <f>Raw_data!K1000</f>
        <v>34</v>
      </c>
      <c r="M1000" s="6">
        <f>Raw_data!L1000</f>
        <v>0</v>
      </c>
      <c r="N1000" s="6">
        <f t="shared" si="91"/>
        <v>1181</v>
      </c>
      <c r="O1000" s="6">
        <f t="shared" si="92"/>
        <v>233</v>
      </c>
      <c r="P1000" s="6">
        <f t="shared" si="93"/>
        <v>1414</v>
      </c>
      <c r="Q1000">
        <f t="shared" si="94"/>
        <v>1</v>
      </c>
      <c r="R1000">
        <f t="shared" si="95"/>
        <v>2</v>
      </c>
    </row>
    <row r="1001" spans="1:18" x14ac:dyDescent="0.25">
      <c r="A1001">
        <f>Raw_data!A1001</f>
        <v>1000</v>
      </c>
      <c r="B1001" t="str">
        <f>Raw_data!B1001</f>
        <v>C4335</v>
      </c>
      <c r="C1001" t="str">
        <f>Raw_data!C1001</f>
        <v>R2890</v>
      </c>
      <c r="D1001" s="3">
        <f>Raw_data!D1001</f>
        <v>45299.61577546296</v>
      </c>
      <c r="E1001" s="3">
        <f>Raw_data!E1001</f>
        <v>45299.652581018519</v>
      </c>
      <c r="F1001" s="4">
        <f t="shared" si="90"/>
        <v>3.680555555911269E-2</v>
      </c>
      <c r="G1001" s="6">
        <f>Raw_data!F1001</f>
        <v>1657</v>
      </c>
      <c r="H1001" s="6">
        <f>Raw_data!G1001</f>
        <v>20</v>
      </c>
      <c r="I1001" t="str">
        <f>Raw_data!H1001</f>
        <v>Digital Wallet</v>
      </c>
      <c r="J1001" s="7" t="str">
        <f>IF(Raw_data!I1001=0.1,"10%",Raw_data!I1001)</f>
        <v>15% New User</v>
      </c>
      <c r="K1001" s="6">
        <f>Raw_data!J1001</f>
        <v>180</v>
      </c>
      <c r="L1001" s="6">
        <f>Raw_data!K1001</f>
        <v>27</v>
      </c>
      <c r="M1001" s="6">
        <f>Raw_data!L1001</f>
        <v>100</v>
      </c>
      <c r="N1001" s="6">
        <f t="shared" si="91"/>
        <v>1450</v>
      </c>
      <c r="O1001" s="6">
        <f t="shared" si="92"/>
        <v>107</v>
      </c>
      <c r="P1001" s="6">
        <f t="shared" si="93"/>
        <v>1677</v>
      </c>
      <c r="Q1001">
        <f t="shared" si="94"/>
        <v>1</v>
      </c>
      <c r="R1001">
        <f t="shared" si="95"/>
        <v>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2"/>
  <sheetViews>
    <sheetView showGridLines="0" workbookViewId="0">
      <selection sqref="A1:B1"/>
    </sheetView>
  </sheetViews>
  <sheetFormatPr defaultRowHeight="15" x14ac:dyDescent="0.25"/>
  <cols>
    <col min="1" max="1" width="12.85546875" bestFit="1" customWidth="1"/>
    <col min="2" max="2" width="17.85546875" bestFit="1" customWidth="1"/>
    <col min="4" max="4" width="12.85546875" bestFit="1" customWidth="1"/>
    <col min="5" max="5" width="8.85546875" bestFit="1" customWidth="1"/>
    <col min="6" max="6" width="7" customWidth="1"/>
    <col min="7" max="7" width="12.85546875" bestFit="1" customWidth="1"/>
    <col min="8" max="8" width="7.140625" bestFit="1" customWidth="1"/>
    <col min="9" max="9" width="7" customWidth="1"/>
    <col min="10" max="10" width="12.85546875" bestFit="1" customWidth="1"/>
    <col min="11" max="11" width="17.85546875" bestFit="1" customWidth="1"/>
    <col min="12" max="12" width="7" bestFit="1" customWidth="1"/>
    <col min="13" max="13" width="12.85546875" bestFit="1" customWidth="1"/>
    <col min="14" max="14" width="17.85546875" bestFit="1" customWidth="1"/>
    <col min="15" max="15" width="7" bestFit="1" customWidth="1"/>
    <col min="16" max="16" width="12.85546875" customWidth="1"/>
    <col min="17" max="17" width="17.85546875" customWidth="1"/>
    <col min="18" max="18" width="7" customWidth="1"/>
    <col min="19" max="19" width="12.85546875" bestFit="1" customWidth="1"/>
    <col min="20" max="20" width="17.85546875" bestFit="1" customWidth="1"/>
    <col min="22" max="22" width="12.85546875" customWidth="1"/>
    <col min="23" max="23" width="17.85546875" customWidth="1"/>
    <col min="24" max="25" width="8.28515625" customWidth="1"/>
    <col min="26" max="26" width="7" bestFit="1" customWidth="1"/>
  </cols>
  <sheetData>
    <row r="1" spans="1:24" s="16" customFormat="1" ht="75" customHeight="1" thickBot="1" x14ac:dyDescent="0.3">
      <c r="A1" s="65" t="s">
        <v>1640</v>
      </c>
      <c r="B1" s="66"/>
      <c r="D1" s="65" t="s">
        <v>1631</v>
      </c>
      <c r="E1" s="66"/>
      <c r="G1" s="65" t="s">
        <v>1632</v>
      </c>
      <c r="H1" s="66"/>
      <c r="J1" s="65" t="s">
        <v>1641</v>
      </c>
      <c r="K1" s="66"/>
      <c r="M1" s="65" t="s">
        <v>1642</v>
      </c>
      <c r="N1" s="66"/>
      <c r="P1" s="65" t="s">
        <v>1643</v>
      </c>
      <c r="Q1" s="66"/>
      <c r="S1" s="65" t="s">
        <v>1644</v>
      </c>
      <c r="T1" s="66"/>
      <c r="V1" s="65" t="s">
        <v>1645</v>
      </c>
      <c r="W1" s="67"/>
      <c r="X1" s="66"/>
    </row>
    <row r="2" spans="1:24" s="16" customFormat="1" x14ac:dyDescent="0.25">
      <c r="A2" s="17"/>
      <c r="B2" s="17"/>
      <c r="D2" s="17"/>
      <c r="E2" s="17"/>
      <c r="G2" s="17"/>
      <c r="H2" s="17"/>
      <c r="J2" s="17"/>
      <c r="K2" s="17"/>
      <c r="M2" s="17"/>
      <c r="N2" s="17"/>
      <c r="P2" s="17"/>
      <c r="Q2" s="17"/>
      <c r="S2" s="17"/>
      <c r="T2" s="17"/>
      <c r="V2" s="17"/>
      <c r="W2" s="17"/>
      <c r="X2" s="17"/>
    </row>
    <row r="3" spans="1:24" x14ac:dyDescent="0.25">
      <c r="A3" s="8" t="s">
        <v>1613</v>
      </c>
      <c r="B3" t="s">
        <v>1614</v>
      </c>
      <c r="D3" s="8" t="s">
        <v>1613</v>
      </c>
      <c r="E3" t="s">
        <v>1615</v>
      </c>
      <c r="G3" s="8" t="s">
        <v>1613</v>
      </c>
      <c r="H3" t="s">
        <v>1615</v>
      </c>
      <c r="J3" s="8" t="s">
        <v>1613</v>
      </c>
      <c r="K3" t="s">
        <v>1614</v>
      </c>
      <c r="M3" s="8" t="s">
        <v>1613</v>
      </c>
      <c r="N3" t="s">
        <v>1614</v>
      </c>
      <c r="P3" s="8" t="s">
        <v>1613</v>
      </c>
      <c r="Q3" t="s">
        <v>1614</v>
      </c>
      <c r="S3" s="8" t="s">
        <v>1613</v>
      </c>
      <c r="T3" t="s">
        <v>1614</v>
      </c>
      <c r="V3" s="8" t="s">
        <v>1613</v>
      </c>
      <c r="W3" t="s">
        <v>1614</v>
      </c>
    </row>
    <row r="5" spans="1:24" x14ac:dyDescent="0.25">
      <c r="A5" s="8" t="s">
        <v>1603</v>
      </c>
      <c r="B5" t="s">
        <v>1604</v>
      </c>
      <c r="D5" s="8" t="s">
        <v>1603</v>
      </c>
      <c r="E5" t="s">
        <v>1605</v>
      </c>
      <c r="G5" s="8" t="s">
        <v>1603</v>
      </c>
      <c r="H5" t="s">
        <v>1606</v>
      </c>
      <c r="J5" s="8" t="s">
        <v>1603</v>
      </c>
      <c r="K5" t="s">
        <v>1607</v>
      </c>
      <c r="M5" s="8" t="s">
        <v>1603</v>
      </c>
      <c r="N5" t="s">
        <v>1607</v>
      </c>
      <c r="P5" s="8" t="s">
        <v>1603</v>
      </c>
      <c r="Q5" t="s">
        <v>1608</v>
      </c>
      <c r="S5" s="8" t="s">
        <v>1603</v>
      </c>
      <c r="T5" t="s">
        <v>1608</v>
      </c>
      <c r="V5" s="8" t="s">
        <v>1603</v>
      </c>
      <c r="W5" t="s">
        <v>1609</v>
      </c>
      <c r="X5" t="s">
        <v>1610</v>
      </c>
    </row>
    <row r="6" spans="1:24" x14ac:dyDescent="0.25">
      <c r="A6" s="9" t="s">
        <v>507</v>
      </c>
      <c r="B6" s="7">
        <v>6</v>
      </c>
      <c r="D6" s="9" t="s">
        <v>227</v>
      </c>
      <c r="E6" s="6">
        <v>6794</v>
      </c>
      <c r="G6" s="9" t="s">
        <v>227</v>
      </c>
      <c r="H6" s="6">
        <v>5985</v>
      </c>
      <c r="J6" s="9" t="s">
        <v>693</v>
      </c>
      <c r="K6" s="10">
        <v>6.8793235972328975E-2</v>
      </c>
      <c r="M6" s="9" t="s">
        <v>170</v>
      </c>
      <c r="N6" s="10">
        <v>0.40143369175627241</v>
      </c>
      <c r="P6" s="9" t="s">
        <v>156</v>
      </c>
      <c r="Q6" s="4">
        <v>2.5694444444444447E-2</v>
      </c>
      <c r="S6" s="9" t="s">
        <v>890</v>
      </c>
      <c r="T6" s="4">
        <v>7.1354166666666663E-2</v>
      </c>
      <c r="V6" s="9" t="s">
        <v>542</v>
      </c>
      <c r="W6" s="6">
        <v>550</v>
      </c>
      <c r="X6" s="5">
        <v>137.5</v>
      </c>
    </row>
    <row r="7" spans="1:24" x14ac:dyDescent="0.25">
      <c r="A7" s="9" t="s">
        <v>1155</v>
      </c>
      <c r="B7" s="7">
        <v>5</v>
      </c>
      <c r="D7" s="9" t="s">
        <v>1155</v>
      </c>
      <c r="E7" s="6">
        <v>6291</v>
      </c>
      <c r="G7" s="9" t="s">
        <v>1155</v>
      </c>
      <c r="H7" s="6">
        <v>5599</v>
      </c>
      <c r="J7" s="9" t="s">
        <v>930</v>
      </c>
      <c r="K7" s="10">
        <v>8.1690140845070425E-2</v>
      </c>
      <c r="M7" s="9" t="s">
        <v>671</v>
      </c>
      <c r="N7" s="10">
        <v>0.33936651583710409</v>
      </c>
      <c r="P7" s="9" t="s">
        <v>534</v>
      </c>
      <c r="Q7" s="4">
        <v>2.9398148148148145E-2</v>
      </c>
      <c r="S7" s="9" t="s">
        <v>507</v>
      </c>
      <c r="T7" s="4">
        <v>6.8981481481481477E-2</v>
      </c>
      <c r="V7" s="9" t="s">
        <v>569</v>
      </c>
      <c r="W7" s="6">
        <v>400</v>
      </c>
      <c r="X7" s="5">
        <v>133.33333333333334</v>
      </c>
    </row>
    <row r="8" spans="1:24" x14ac:dyDescent="0.25">
      <c r="A8" s="9" t="s">
        <v>297</v>
      </c>
      <c r="B8" s="7">
        <v>5</v>
      </c>
      <c r="D8" s="9" t="s">
        <v>192</v>
      </c>
      <c r="E8" s="6">
        <v>6049</v>
      </c>
      <c r="G8" s="9" t="s">
        <v>192</v>
      </c>
      <c r="H8" s="6">
        <v>5547</v>
      </c>
      <c r="J8" s="9" t="s">
        <v>192</v>
      </c>
      <c r="K8" s="10">
        <v>8.2988923789056049E-2</v>
      </c>
      <c r="M8" s="9" t="s">
        <v>253</v>
      </c>
      <c r="N8" s="10">
        <v>0.30307576894223553</v>
      </c>
      <c r="P8" s="9" t="s">
        <v>332</v>
      </c>
      <c r="Q8" s="4">
        <v>3.125E-2</v>
      </c>
      <c r="S8" s="9" t="s">
        <v>496</v>
      </c>
      <c r="T8" s="4">
        <v>6.805555555555555E-2</v>
      </c>
      <c r="V8" s="9" t="s">
        <v>104</v>
      </c>
      <c r="W8" s="6">
        <v>300</v>
      </c>
      <c r="X8" s="5">
        <v>100</v>
      </c>
    </row>
    <row r="9" spans="1:24" x14ac:dyDescent="0.25">
      <c r="A9" s="9" t="s">
        <v>190</v>
      </c>
      <c r="B9" s="7">
        <v>5</v>
      </c>
      <c r="D9" s="9" t="s">
        <v>136</v>
      </c>
      <c r="E9" s="6">
        <v>5398</v>
      </c>
      <c r="G9" s="9" t="s">
        <v>136</v>
      </c>
      <c r="H9" s="6">
        <v>4894</v>
      </c>
      <c r="J9" s="9" t="s">
        <v>363</v>
      </c>
      <c r="K9" s="10">
        <v>8.4329767149150414E-2</v>
      </c>
      <c r="M9" s="9" t="s">
        <v>496</v>
      </c>
      <c r="N9" s="10">
        <v>0.27524308152580401</v>
      </c>
      <c r="P9" s="9" t="s">
        <v>338</v>
      </c>
      <c r="Q9" s="4">
        <v>3.2638888888888884E-2</v>
      </c>
      <c r="S9" s="9" t="s">
        <v>241</v>
      </c>
      <c r="T9" s="4">
        <v>6.805555555555555E-2</v>
      </c>
      <c r="V9" s="9" t="s">
        <v>382</v>
      </c>
      <c r="W9" s="6">
        <v>250</v>
      </c>
      <c r="X9" s="5">
        <v>83.333333333333329</v>
      </c>
    </row>
    <row r="10" spans="1:24" x14ac:dyDescent="0.25">
      <c r="A10" s="9" t="s">
        <v>227</v>
      </c>
      <c r="B10" s="7">
        <v>5</v>
      </c>
      <c r="D10" s="9" t="s">
        <v>290</v>
      </c>
      <c r="E10" s="6">
        <v>5320</v>
      </c>
      <c r="G10" s="9" t="s">
        <v>693</v>
      </c>
      <c r="H10" s="6">
        <v>4846</v>
      </c>
      <c r="J10" s="9" t="s">
        <v>136</v>
      </c>
      <c r="K10" s="10">
        <v>9.3367914042237862E-2</v>
      </c>
      <c r="M10" s="9" t="s">
        <v>301</v>
      </c>
      <c r="N10" s="10">
        <v>0.25931034482758619</v>
      </c>
      <c r="P10" s="9" t="s">
        <v>243</v>
      </c>
      <c r="Q10" s="4">
        <v>3.2638888888888891E-2</v>
      </c>
      <c r="S10" s="9" t="s">
        <v>219</v>
      </c>
      <c r="T10" s="4">
        <v>6.7824074074074078E-2</v>
      </c>
      <c r="V10" s="9" t="s">
        <v>665</v>
      </c>
      <c r="W10" s="6">
        <v>250</v>
      </c>
      <c r="X10" s="5">
        <v>83.333333333333329</v>
      </c>
    </row>
    <row r="11" spans="1:24" x14ac:dyDescent="0.25">
      <c r="A11" s="9" t="s">
        <v>484</v>
      </c>
      <c r="B11" s="7">
        <v>5</v>
      </c>
      <c r="D11" s="9" t="s">
        <v>693</v>
      </c>
      <c r="E11" s="6">
        <v>5204</v>
      </c>
      <c r="G11" s="9" t="s">
        <v>290</v>
      </c>
      <c r="H11" s="6">
        <v>4702</v>
      </c>
      <c r="J11" s="9" t="s">
        <v>382</v>
      </c>
      <c r="K11" s="10">
        <v>9.6824167312161119E-2</v>
      </c>
      <c r="M11" s="9" t="s">
        <v>645</v>
      </c>
      <c r="N11" s="10">
        <v>0.24129475232957331</v>
      </c>
      <c r="P11" s="9" t="s">
        <v>361</v>
      </c>
      <c r="Q11" s="4">
        <v>3.5416666666666673E-2</v>
      </c>
      <c r="S11" s="9" t="s">
        <v>373</v>
      </c>
      <c r="T11" s="4">
        <v>6.5509259259259253E-2</v>
      </c>
      <c r="V11" s="9" t="s">
        <v>494</v>
      </c>
      <c r="W11" s="6">
        <v>250</v>
      </c>
      <c r="X11" s="5">
        <v>83.333333333333329</v>
      </c>
    </row>
    <row r="12" spans="1:24" x14ac:dyDescent="0.25">
      <c r="A12" s="9" t="s">
        <v>425</v>
      </c>
      <c r="B12" s="7">
        <v>4</v>
      </c>
      <c r="D12" s="9" t="s">
        <v>507</v>
      </c>
      <c r="E12" s="6">
        <v>5141</v>
      </c>
      <c r="G12" s="9" t="s">
        <v>507</v>
      </c>
      <c r="H12" s="6">
        <v>4419</v>
      </c>
      <c r="J12" s="9" t="s">
        <v>592</v>
      </c>
      <c r="K12" s="10">
        <v>0.10200456736868815</v>
      </c>
      <c r="M12" s="9" t="s">
        <v>640</v>
      </c>
      <c r="N12" s="10">
        <v>0.23280423280423279</v>
      </c>
      <c r="P12" s="9" t="s">
        <v>645</v>
      </c>
      <c r="Q12" s="4">
        <v>3.5879629629629629E-2</v>
      </c>
      <c r="S12" s="9" t="s">
        <v>569</v>
      </c>
      <c r="T12" s="4">
        <v>6.5277777777777782E-2</v>
      </c>
      <c r="V12" s="9" t="s">
        <v>357</v>
      </c>
      <c r="W12" s="6">
        <v>200</v>
      </c>
      <c r="X12" s="5">
        <v>66.666666666666671</v>
      </c>
    </row>
    <row r="13" spans="1:24" x14ac:dyDescent="0.25">
      <c r="A13" s="9" t="s">
        <v>817</v>
      </c>
      <c r="B13" s="7">
        <v>4</v>
      </c>
      <c r="D13" s="9" t="s">
        <v>134</v>
      </c>
      <c r="E13" s="6">
        <v>4933</v>
      </c>
      <c r="G13" s="9" t="s">
        <v>363</v>
      </c>
      <c r="H13" s="6">
        <v>4365</v>
      </c>
      <c r="J13" s="9" t="s">
        <v>752</v>
      </c>
      <c r="K13" s="10">
        <v>0.10326199875337627</v>
      </c>
      <c r="M13" s="9" t="s">
        <v>932</v>
      </c>
      <c r="N13" s="10">
        <v>0.21539122957867585</v>
      </c>
      <c r="P13" s="9" t="s">
        <v>492</v>
      </c>
      <c r="Q13" s="4">
        <v>3.5879629629629629E-2</v>
      </c>
      <c r="S13" s="9" t="s">
        <v>134</v>
      </c>
      <c r="T13" s="4">
        <v>6.475694444444445E-2</v>
      </c>
      <c r="V13" s="9" t="s">
        <v>684</v>
      </c>
      <c r="W13" s="6">
        <v>200</v>
      </c>
      <c r="X13" s="5">
        <v>66.666666666666671</v>
      </c>
    </row>
    <row r="14" spans="1:24" x14ac:dyDescent="0.25">
      <c r="A14" s="9" t="s">
        <v>919</v>
      </c>
      <c r="B14" s="7">
        <v>4</v>
      </c>
      <c r="D14" s="9" t="s">
        <v>190</v>
      </c>
      <c r="E14" s="6">
        <v>4868</v>
      </c>
      <c r="G14" s="9" t="s">
        <v>752</v>
      </c>
      <c r="H14" s="6">
        <v>4316</v>
      </c>
      <c r="J14" s="9" t="s">
        <v>1313</v>
      </c>
      <c r="K14" s="10">
        <v>0.10441176470588236</v>
      </c>
      <c r="M14" s="9" t="s">
        <v>1121</v>
      </c>
      <c r="N14" s="10">
        <v>0.20901126408010012</v>
      </c>
      <c r="P14" s="9" t="s">
        <v>106</v>
      </c>
      <c r="Q14" s="4">
        <v>3.7499999999999999E-2</v>
      </c>
      <c r="S14" s="9" t="s">
        <v>465</v>
      </c>
      <c r="T14" s="4">
        <v>6.4583333333333326E-2</v>
      </c>
      <c r="V14" s="9" t="s">
        <v>271</v>
      </c>
      <c r="W14" s="6">
        <v>250</v>
      </c>
      <c r="X14" s="5">
        <v>62.5</v>
      </c>
    </row>
    <row r="15" spans="1:24" x14ac:dyDescent="0.25">
      <c r="A15" s="9" t="s">
        <v>192</v>
      </c>
      <c r="B15" s="7">
        <v>4</v>
      </c>
      <c r="D15" s="9" t="s">
        <v>752</v>
      </c>
      <c r="E15" s="6">
        <v>4813</v>
      </c>
      <c r="G15" s="9" t="s">
        <v>1313</v>
      </c>
      <c r="H15" s="6">
        <v>4263</v>
      </c>
      <c r="J15" s="9" t="s">
        <v>432</v>
      </c>
      <c r="K15" s="10">
        <v>0.10512893170869934</v>
      </c>
      <c r="M15" s="9" t="s">
        <v>200</v>
      </c>
      <c r="N15" s="10">
        <v>0.20122992825418518</v>
      </c>
      <c r="P15" s="9" t="s">
        <v>542</v>
      </c>
      <c r="Q15" s="4">
        <v>3.9409722222222221E-2</v>
      </c>
      <c r="S15" s="9" t="s">
        <v>275</v>
      </c>
      <c r="T15" s="4">
        <v>6.4120370370370369E-2</v>
      </c>
      <c r="V15" s="9" t="s">
        <v>817</v>
      </c>
      <c r="W15" s="6">
        <v>250</v>
      </c>
      <c r="X15" s="5">
        <v>62.5</v>
      </c>
    </row>
    <row r="16" spans="1:24" x14ac:dyDescent="0.25">
      <c r="A16" s="9" t="s">
        <v>465</v>
      </c>
      <c r="B16" s="7">
        <v>4</v>
      </c>
      <c r="V16" s="9" t="s">
        <v>919</v>
      </c>
      <c r="W16" s="6">
        <v>250</v>
      </c>
      <c r="X16" s="5">
        <v>62.5</v>
      </c>
    </row>
    <row r="17" spans="1:24" x14ac:dyDescent="0.25">
      <c r="A17" s="9" t="s">
        <v>158</v>
      </c>
      <c r="B17" s="7">
        <v>4</v>
      </c>
      <c r="V17" s="9" t="s">
        <v>200</v>
      </c>
      <c r="W17" s="6">
        <v>250</v>
      </c>
      <c r="X17" s="5">
        <v>62.5</v>
      </c>
    </row>
    <row r="18" spans="1:24" x14ac:dyDescent="0.25">
      <c r="A18" s="9" t="s">
        <v>54</v>
      </c>
      <c r="B18" s="7">
        <v>4</v>
      </c>
    </row>
    <row r="19" spans="1:24" x14ac:dyDescent="0.25">
      <c r="A19" s="9" t="s">
        <v>542</v>
      </c>
      <c r="B19" s="7">
        <v>4</v>
      </c>
    </row>
    <row r="20" spans="1:24" x14ac:dyDescent="0.25">
      <c r="A20" s="9" t="s">
        <v>200</v>
      </c>
      <c r="B20" s="7">
        <v>4</v>
      </c>
    </row>
    <row r="21" spans="1:24" x14ac:dyDescent="0.25">
      <c r="A21" s="9" t="s">
        <v>482</v>
      </c>
      <c r="B21" s="7">
        <v>4</v>
      </c>
    </row>
    <row r="22" spans="1:24" x14ac:dyDescent="0.25">
      <c r="A22" s="9" t="s">
        <v>890</v>
      </c>
      <c r="B22" s="7">
        <v>4</v>
      </c>
    </row>
    <row r="23" spans="1:24" x14ac:dyDescent="0.25">
      <c r="A23" s="9" t="s">
        <v>134</v>
      </c>
      <c r="B23" s="7">
        <v>4</v>
      </c>
    </row>
    <row r="24" spans="1:24" x14ac:dyDescent="0.25">
      <c r="A24" s="9" t="s">
        <v>271</v>
      </c>
      <c r="B24" s="7">
        <v>4</v>
      </c>
    </row>
    <row r="25" spans="1:24" x14ac:dyDescent="0.25">
      <c r="A25" s="9" t="s">
        <v>344</v>
      </c>
      <c r="B25" s="7">
        <v>4</v>
      </c>
    </row>
    <row r="26" spans="1:24" x14ac:dyDescent="0.25">
      <c r="A26" s="9" t="s">
        <v>290</v>
      </c>
      <c r="B26" s="7">
        <v>4</v>
      </c>
    </row>
    <row r="27" spans="1:24" x14ac:dyDescent="0.25">
      <c r="A27" s="9" t="s">
        <v>243</v>
      </c>
      <c r="B27" s="7">
        <v>4</v>
      </c>
    </row>
    <row r="28" spans="1:24" x14ac:dyDescent="0.25">
      <c r="A28" s="9" t="s">
        <v>398</v>
      </c>
      <c r="B28" s="7">
        <v>3</v>
      </c>
    </row>
    <row r="29" spans="1:24" x14ac:dyDescent="0.25">
      <c r="A29" s="9" t="s">
        <v>17</v>
      </c>
      <c r="B29" s="7">
        <v>3</v>
      </c>
    </row>
    <row r="30" spans="1:24" x14ac:dyDescent="0.25">
      <c r="A30" s="9" t="s">
        <v>590</v>
      </c>
      <c r="B30" s="7">
        <v>3</v>
      </c>
    </row>
    <row r="31" spans="1:24" x14ac:dyDescent="0.25">
      <c r="A31" s="9" t="s">
        <v>219</v>
      </c>
      <c r="B31" s="7">
        <v>3</v>
      </c>
    </row>
    <row r="32" spans="1:24" x14ac:dyDescent="0.25">
      <c r="A32" s="9" t="s">
        <v>752</v>
      </c>
      <c r="B32" s="7">
        <v>3</v>
      </c>
    </row>
    <row r="33" spans="1:2" x14ac:dyDescent="0.25">
      <c r="A33" s="9" t="s">
        <v>363</v>
      </c>
      <c r="B33" s="7">
        <v>3</v>
      </c>
    </row>
    <row r="34" spans="1:2" x14ac:dyDescent="0.25">
      <c r="A34" s="9" t="s">
        <v>332</v>
      </c>
      <c r="B34" s="7">
        <v>3</v>
      </c>
    </row>
    <row r="35" spans="1:2" x14ac:dyDescent="0.25">
      <c r="A35" s="9" t="s">
        <v>204</v>
      </c>
      <c r="B35" s="7">
        <v>3</v>
      </c>
    </row>
    <row r="36" spans="1:2" x14ac:dyDescent="0.25">
      <c r="A36" s="9" t="s">
        <v>146</v>
      </c>
      <c r="B36" s="7">
        <v>3</v>
      </c>
    </row>
    <row r="37" spans="1:2" x14ac:dyDescent="0.25">
      <c r="A37" s="9" t="s">
        <v>367</v>
      </c>
      <c r="B37" s="7">
        <v>3</v>
      </c>
    </row>
    <row r="38" spans="1:2" x14ac:dyDescent="0.25">
      <c r="A38" s="9" t="s">
        <v>1080</v>
      </c>
      <c r="B38" s="7">
        <v>3</v>
      </c>
    </row>
    <row r="39" spans="1:2" x14ac:dyDescent="0.25">
      <c r="A39" s="9" t="s">
        <v>718</v>
      </c>
      <c r="B39" s="7">
        <v>3</v>
      </c>
    </row>
    <row r="40" spans="1:2" x14ac:dyDescent="0.25">
      <c r="A40" s="9" t="s">
        <v>136</v>
      </c>
      <c r="B40" s="7">
        <v>3</v>
      </c>
    </row>
    <row r="41" spans="1:2" x14ac:dyDescent="0.25">
      <c r="A41" s="9" t="s">
        <v>24</v>
      </c>
      <c r="B41" s="7">
        <v>3</v>
      </c>
    </row>
    <row r="42" spans="1:2" x14ac:dyDescent="0.25">
      <c r="A42" s="9" t="s">
        <v>104</v>
      </c>
      <c r="B42" s="7">
        <v>3</v>
      </c>
    </row>
    <row r="43" spans="1:2" x14ac:dyDescent="0.25">
      <c r="A43" s="9" t="s">
        <v>275</v>
      </c>
      <c r="B43" s="7">
        <v>3</v>
      </c>
    </row>
    <row r="44" spans="1:2" x14ac:dyDescent="0.25">
      <c r="A44" s="9" t="s">
        <v>27</v>
      </c>
      <c r="B44" s="7">
        <v>3</v>
      </c>
    </row>
    <row r="45" spans="1:2" x14ac:dyDescent="0.25">
      <c r="A45" s="9" t="s">
        <v>786</v>
      </c>
      <c r="B45" s="7">
        <v>3</v>
      </c>
    </row>
    <row r="46" spans="1:2" x14ac:dyDescent="0.25">
      <c r="A46" s="9" t="s">
        <v>665</v>
      </c>
      <c r="B46" s="7">
        <v>3</v>
      </c>
    </row>
    <row r="47" spans="1:2" x14ac:dyDescent="0.25">
      <c r="A47" s="9" t="s">
        <v>68</v>
      </c>
      <c r="B47" s="7">
        <v>3</v>
      </c>
    </row>
    <row r="48" spans="1:2" x14ac:dyDescent="0.25">
      <c r="A48" s="9" t="s">
        <v>106</v>
      </c>
      <c r="B48" s="7">
        <v>3</v>
      </c>
    </row>
    <row r="49" spans="1:2" x14ac:dyDescent="0.25">
      <c r="A49" s="9" t="s">
        <v>1313</v>
      </c>
      <c r="B49" s="7">
        <v>3</v>
      </c>
    </row>
    <row r="50" spans="1:2" x14ac:dyDescent="0.25">
      <c r="A50" s="9" t="s">
        <v>432</v>
      </c>
      <c r="B50" s="7">
        <v>3</v>
      </c>
    </row>
    <row r="51" spans="1:2" x14ac:dyDescent="0.25">
      <c r="A51" s="9" t="s">
        <v>534</v>
      </c>
      <c r="B51" s="7">
        <v>3</v>
      </c>
    </row>
    <row r="52" spans="1:2" x14ac:dyDescent="0.25">
      <c r="A52" s="9" t="s">
        <v>382</v>
      </c>
      <c r="B52" s="7">
        <v>3</v>
      </c>
    </row>
    <row r="53" spans="1:2" x14ac:dyDescent="0.25">
      <c r="A53" s="9" t="s">
        <v>635</v>
      </c>
      <c r="B53" s="7">
        <v>3</v>
      </c>
    </row>
    <row r="54" spans="1:2" x14ac:dyDescent="0.25">
      <c r="A54" s="9" t="s">
        <v>569</v>
      </c>
      <c r="B54" s="7">
        <v>3</v>
      </c>
    </row>
    <row r="55" spans="1:2" x14ac:dyDescent="0.25">
      <c r="A55" s="9" t="s">
        <v>241</v>
      </c>
      <c r="B55" s="7">
        <v>3</v>
      </c>
    </row>
    <row r="56" spans="1:2" x14ac:dyDescent="0.25">
      <c r="A56" s="9" t="s">
        <v>1013</v>
      </c>
      <c r="B56" s="7">
        <v>3</v>
      </c>
    </row>
    <row r="57" spans="1:2" x14ac:dyDescent="0.25">
      <c r="A57" s="9" t="s">
        <v>645</v>
      </c>
      <c r="B57" s="7">
        <v>3</v>
      </c>
    </row>
    <row r="58" spans="1:2" x14ac:dyDescent="0.25">
      <c r="A58" s="9" t="s">
        <v>930</v>
      </c>
      <c r="B58" s="7">
        <v>3</v>
      </c>
    </row>
    <row r="59" spans="1:2" x14ac:dyDescent="0.25">
      <c r="A59" s="9" t="s">
        <v>170</v>
      </c>
      <c r="B59" s="7">
        <v>3</v>
      </c>
    </row>
    <row r="60" spans="1:2" x14ac:dyDescent="0.25">
      <c r="A60" s="9" t="s">
        <v>156</v>
      </c>
      <c r="B60" s="7">
        <v>3</v>
      </c>
    </row>
    <row r="61" spans="1:2" x14ac:dyDescent="0.25">
      <c r="A61" s="9" t="s">
        <v>592</v>
      </c>
      <c r="B61" s="7">
        <v>3</v>
      </c>
    </row>
    <row r="62" spans="1:2" x14ac:dyDescent="0.25">
      <c r="A62" s="9" t="s">
        <v>671</v>
      </c>
      <c r="B62" s="7">
        <v>3</v>
      </c>
    </row>
    <row r="63" spans="1:2" x14ac:dyDescent="0.25">
      <c r="A63" s="9" t="s">
        <v>1121</v>
      </c>
      <c r="B63" s="7">
        <v>3</v>
      </c>
    </row>
    <row r="64" spans="1:2" x14ac:dyDescent="0.25">
      <c r="A64" s="9" t="s">
        <v>932</v>
      </c>
      <c r="B64" s="7">
        <v>3</v>
      </c>
    </row>
    <row r="65" spans="1:2" x14ac:dyDescent="0.25">
      <c r="A65" s="9" t="s">
        <v>338</v>
      </c>
      <c r="B65" s="7">
        <v>3</v>
      </c>
    </row>
    <row r="66" spans="1:2" x14ac:dyDescent="0.25">
      <c r="A66" s="9" t="s">
        <v>511</v>
      </c>
      <c r="B66" s="7">
        <v>3</v>
      </c>
    </row>
    <row r="67" spans="1:2" x14ac:dyDescent="0.25">
      <c r="A67" s="9" t="s">
        <v>699</v>
      </c>
      <c r="B67" s="7">
        <v>3</v>
      </c>
    </row>
    <row r="68" spans="1:2" x14ac:dyDescent="0.25">
      <c r="A68" s="9" t="s">
        <v>301</v>
      </c>
      <c r="B68" s="7">
        <v>3</v>
      </c>
    </row>
    <row r="69" spans="1:2" x14ac:dyDescent="0.25">
      <c r="A69" s="9" t="s">
        <v>684</v>
      </c>
      <c r="B69" s="7">
        <v>3</v>
      </c>
    </row>
    <row r="70" spans="1:2" x14ac:dyDescent="0.25">
      <c r="A70" s="9" t="s">
        <v>357</v>
      </c>
      <c r="B70" s="7">
        <v>3</v>
      </c>
    </row>
    <row r="71" spans="1:2" x14ac:dyDescent="0.25">
      <c r="A71" s="9" t="s">
        <v>150</v>
      </c>
      <c r="B71" s="7">
        <v>3</v>
      </c>
    </row>
    <row r="72" spans="1:2" x14ac:dyDescent="0.25">
      <c r="A72" s="9" t="s">
        <v>373</v>
      </c>
      <c r="B72" s="7">
        <v>3</v>
      </c>
    </row>
    <row r="73" spans="1:2" x14ac:dyDescent="0.25">
      <c r="A73" s="9" t="s">
        <v>213</v>
      </c>
      <c r="B73" s="7">
        <v>3</v>
      </c>
    </row>
    <row r="74" spans="1:2" x14ac:dyDescent="0.25">
      <c r="A74" s="9" t="s">
        <v>673</v>
      </c>
      <c r="B74" s="7">
        <v>3</v>
      </c>
    </row>
    <row r="75" spans="1:2" x14ac:dyDescent="0.25">
      <c r="A75" s="9" t="s">
        <v>361</v>
      </c>
      <c r="B75" s="7">
        <v>3</v>
      </c>
    </row>
    <row r="76" spans="1:2" x14ac:dyDescent="0.25">
      <c r="A76" s="9" t="s">
        <v>693</v>
      </c>
      <c r="B76" s="7">
        <v>3</v>
      </c>
    </row>
    <row r="77" spans="1:2" x14ac:dyDescent="0.25">
      <c r="A77" s="9" t="s">
        <v>253</v>
      </c>
      <c r="B77" s="7">
        <v>3</v>
      </c>
    </row>
    <row r="78" spans="1:2" x14ac:dyDescent="0.25">
      <c r="A78" s="9" t="s">
        <v>496</v>
      </c>
      <c r="B78" s="7">
        <v>3</v>
      </c>
    </row>
    <row r="79" spans="1:2" x14ac:dyDescent="0.25">
      <c r="A79" s="9" t="s">
        <v>317</v>
      </c>
      <c r="B79" s="7">
        <v>3</v>
      </c>
    </row>
    <row r="80" spans="1:2" x14ac:dyDescent="0.25">
      <c r="A80" s="9" t="s">
        <v>492</v>
      </c>
      <c r="B80" s="7">
        <v>3</v>
      </c>
    </row>
    <row r="81" spans="1:2" x14ac:dyDescent="0.25">
      <c r="A81" s="9" t="s">
        <v>494</v>
      </c>
      <c r="B81" s="7">
        <v>3</v>
      </c>
    </row>
    <row r="82" spans="1:2" x14ac:dyDescent="0.25">
      <c r="A82" s="9" t="s">
        <v>640</v>
      </c>
      <c r="B82" s="7">
        <v>3</v>
      </c>
    </row>
  </sheetData>
  <mergeCells count="8">
    <mergeCell ref="S1:T1"/>
    <mergeCell ref="V1:X1"/>
    <mergeCell ref="A1:B1"/>
    <mergeCell ref="D1:E1"/>
    <mergeCell ref="G1:H1"/>
    <mergeCell ref="J1:K1"/>
    <mergeCell ref="M1:N1"/>
    <mergeCell ref="P1:Q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showGridLines="0" workbookViewId="0">
      <selection sqref="A1:C1"/>
    </sheetView>
  </sheetViews>
  <sheetFormatPr defaultRowHeight="15" x14ac:dyDescent="0.25"/>
  <cols>
    <col min="1" max="1" width="12.42578125" customWidth="1"/>
    <col min="2" max="2" width="12.7109375" customWidth="1"/>
    <col min="3" max="3" width="9.85546875" customWidth="1"/>
    <col min="5" max="5" width="12.42578125" bestFit="1" customWidth="1"/>
    <col min="6" max="6" width="17.85546875" customWidth="1"/>
    <col min="8" max="8" width="12.42578125" bestFit="1" customWidth="1"/>
    <col min="9" max="9" width="17.85546875" bestFit="1" customWidth="1"/>
    <col min="11" max="11" width="12.42578125" bestFit="1" customWidth="1"/>
    <col min="12" max="13" width="8.28515625" bestFit="1" customWidth="1"/>
    <col min="14" max="14" width="9.85546875" bestFit="1" customWidth="1"/>
  </cols>
  <sheetData>
    <row r="1" spans="1:14" ht="66" customHeight="1" thickBot="1" x14ac:dyDescent="0.3">
      <c r="A1" s="65" t="s">
        <v>1630</v>
      </c>
      <c r="B1" s="67"/>
      <c r="C1" s="66"/>
      <c r="D1" s="15"/>
      <c r="E1" s="65" t="s">
        <v>1646</v>
      </c>
      <c r="F1" s="66"/>
      <c r="G1" s="15"/>
      <c r="H1" s="65" t="s">
        <v>1647</v>
      </c>
      <c r="I1" s="66"/>
      <c r="J1" s="15"/>
      <c r="K1" s="65" t="s">
        <v>1633</v>
      </c>
      <c r="L1" s="67"/>
      <c r="M1" s="67"/>
      <c r="N1" s="66"/>
    </row>
    <row r="3" spans="1:14" x14ac:dyDescent="0.25">
      <c r="A3" s="8" t="s">
        <v>1613</v>
      </c>
      <c r="B3" t="s">
        <v>1615</v>
      </c>
      <c r="E3" s="8" t="s">
        <v>1613</v>
      </c>
      <c r="F3" t="s">
        <v>1614</v>
      </c>
      <c r="H3" s="8" t="s">
        <v>1613</v>
      </c>
      <c r="I3" t="s">
        <v>1614</v>
      </c>
      <c r="K3" s="8" t="s">
        <v>1613</v>
      </c>
      <c r="L3" t="s">
        <v>1615</v>
      </c>
    </row>
    <row r="5" spans="1:14" x14ac:dyDescent="0.25">
      <c r="A5" s="8" t="s">
        <v>1616</v>
      </c>
      <c r="B5" t="s">
        <v>1617</v>
      </c>
      <c r="C5" t="s">
        <v>1618</v>
      </c>
      <c r="E5" s="8" t="s">
        <v>1616</v>
      </c>
      <c r="F5" t="s">
        <v>1608</v>
      </c>
      <c r="H5" s="8" t="s">
        <v>1616</v>
      </c>
      <c r="I5" t="s">
        <v>1608</v>
      </c>
      <c r="K5" s="8" t="s">
        <v>1616</v>
      </c>
      <c r="L5" t="s">
        <v>1609</v>
      </c>
      <c r="M5" t="s">
        <v>1610</v>
      </c>
      <c r="N5" t="s">
        <v>1618</v>
      </c>
    </row>
    <row r="6" spans="1:14" x14ac:dyDescent="0.25">
      <c r="A6" s="9" t="s">
        <v>43</v>
      </c>
      <c r="B6" s="6">
        <v>3870</v>
      </c>
      <c r="C6" s="7">
        <v>3</v>
      </c>
      <c r="E6" s="9" t="s">
        <v>943</v>
      </c>
      <c r="F6" s="4">
        <v>2.7083333333333331E-2</v>
      </c>
      <c r="H6" s="9" t="s">
        <v>934</v>
      </c>
      <c r="I6" s="4">
        <v>7.465277777777779E-2</v>
      </c>
      <c r="K6" s="9" t="s">
        <v>337</v>
      </c>
      <c r="L6" s="6">
        <v>300</v>
      </c>
      <c r="M6" s="5">
        <v>150</v>
      </c>
      <c r="N6" s="7">
        <v>2</v>
      </c>
    </row>
    <row r="7" spans="1:14" x14ac:dyDescent="0.25">
      <c r="A7" s="9" t="s">
        <v>1144</v>
      </c>
      <c r="B7" s="6">
        <v>3768</v>
      </c>
      <c r="C7" s="7">
        <v>2</v>
      </c>
      <c r="E7" s="9" t="s">
        <v>504</v>
      </c>
      <c r="F7" s="4">
        <v>2.7430555555555555E-2</v>
      </c>
      <c r="H7" s="9" t="s">
        <v>772</v>
      </c>
      <c r="I7" s="4">
        <v>7.3958333333333334E-2</v>
      </c>
      <c r="K7" s="9" t="s">
        <v>772</v>
      </c>
      <c r="L7" s="6">
        <v>250</v>
      </c>
      <c r="M7" s="5">
        <v>125</v>
      </c>
      <c r="N7" s="7">
        <v>2</v>
      </c>
    </row>
    <row r="8" spans="1:14" x14ac:dyDescent="0.25">
      <c r="A8" s="9" t="s">
        <v>856</v>
      </c>
      <c r="B8" s="6">
        <v>3703</v>
      </c>
      <c r="C8" s="7">
        <v>2</v>
      </c>
      <c r="E8" s="9" t="s">
        <v>287</v>
      </c>
      <c r="F8" s="4">
        <v>2.8472222222222222E-2</v>
      </c>
      <c r="H8" s="9" t="s">
        <v>915</v>
      </c>
      <c r="I8" s="4">
        <v>6.7361111111111122E-2</v>
      </c>
      <c r="K8" s="9" t="s">
        <v>959</v>
      </c>
      <c r="L8" s="6">
        <v>250</v>
      </c>
      <c r="M8" s="5">
        <v>125</v>
      </c>
      <c r="N8" s="7">
        <v>2</v>
      </c>
    </row>
    <row r="9" spans="1:14" x14ac:dyDescent="0.25">
      <c r="A9" s="9" t="s">
        <v>53</v>
      </c>
      <c r="B9" s="6">
        <v>3664</v>
      </c>
      <c r="C9" s="7">
        <v>2</v>
      </c>
      <c r="E9" s="9" t="s">
        <v>1030</v>
      </c>
      <c r="F9" s="4">
        <v>3.020833333333333E-2</v>
      </c>
      <c r="H9" s="9" t="s">
        <v>1120</v>
      </c>
      <c r="I9" s="4">
        <v>6.7013888888888887E-2</v>
      </c>
      <c r="K9" s="9" t="s">
        <v>282</v>
      </c>
      <c r="L9" s="6">
        <v>250</v>
      </c>
      <c r="M9" s="5">
        <v>125</v>
      </c>
      <c r="N9" s="7">
        <v>2</v>
      </c>
    </row>
    <row r="10" spans="1:14" x14ac:dyDescent="0.25">
      <c r="A10" s="9" t="s">
        <v>631</v>
      </c>
      <c r="B10" s="6">
        <v>3361</v>
      </c>
      <c r="C10" s="7">
        <v>2</v>
      </c>
      <c r="E10" s="9" t="s">
        <v>1144</v>
      </c>
      <c r="F10" s="4">
        <v>3.1597222222222221E-2</v>
      </c>
      <c r="H10" s="9" t="s">
        <v>370</v>
      </c>
      <c r="I10" s="4">
        <v>6.6319444444444445E-2</v>
      </c>
      <c r="K10" s="9" t="s">
        <v>836</v>
      </c>
      <c r="L10" s="6">
        <v>200</v>
      </c>
      <c r="M10" s="5">
        <v>100</v>
      </c>
      <c r="N10" s="7">
        <v>2</v>
      </c>
    </row>
    <row r="11" spans="1:14" x14ac:dyDescent="0.25">
      <c r="A11" s="9" t="s">
        <v>591</v>
      </c>
      <c r="B11" s="6">
        <v>3315</v>
      </c>
      <c r="C11" s="7">
        <v>2</v>
      </c>
      <c r="E11" s="9" t="s">
        <v>959</v>
      </c>
      <c r="F11" s="4">
        <v>3.333333333333334E-2</v>
      </c>
      <c r="H11" s="9" t="s">
        <v>53</v>
      </c>
      <c r="I11" s="4">
        <v>6.5625000000000003E-2</v>
      </c>
    </row>
    <row r="12" spans="1:14" x14ac:dyDescent="0.25">
      <c r="A12" s="9" t="s">
        <v>763</v>
      </c>
      <c r="B12" s="6">
        <v>3220</v>
      </c>
      <c r="C12" s="7">
        <v>2</v>
      </c>
      <c r="E12" s="9" t="s">
        <v>1131</v>
      </c>
      <c r="F12" s="4">
        <v>3.4722222222222224E-2</v>
      </c>
      <c r="H12" s="9" t="s">
        <v>238</v>
      </c>
      <c r="I12" s="4">
        <v>6.4930555555555561E-2</v>
      </c>
    </row>
    <row r="13" spans="1:14" x14ac:dyDescent="0.25">
      <c r="A13" s="9" t="s">
        <v>759</v>
      </c>
      <c r="B13" s="6">
        <v>3162</v>
      </c>
      <c r="C13" s="7">
        <v>2</v>
      </c>
      <c r="E13" s="9" t="s">
        <v>289</v>
      </c>
      <c r="F13" s="4">
        <v>3.5069444444444445E-2</v>
      </c>
      <c r="H13" s="9" t="s">
        <v>658</v>
      </c>
      <c r="I13" s="4">
        <v>6.3194444444444442E-2</v>
      </c>
    </row>
    <row r="14" spans="1:14" x14ac:dyDescent="0.25">
      <c r="A14" s="9" t="s">
        <v>1030</v>
      </c>
      <c r="B14" s="6">
        <v>3122</v>
      </c>
      <c r="C14" s="7">
        <v>2</v>
      </c>
      <c r="E14" s="9" t="s">
        <v>230</v>
      </c>
      <c r="F14" s="4">
        <v>3.5416666666666666E-2</v>
      </c>
      <c r="H14" s="9" t="s">
        <v>836</v>
      </c>
      <c r="I14" s="4">
        <v>6.1805555555555558E-2</v>
      </c>
    </row>
    <row r="15" spans="1:14" x14ac:dyDescent="0.25">
      <c r="A15" s="9" t="s">
        <v>105</v>
      </c>
      <c r="B15" s="6">
        <v>3069</v>
      </c>
      <c r="C15" s="7">
        <v>2</v>
      </c>
      <c r="E15" s="9" t="s">
        <v>868</v>
      </c>
      <c r="F15" s="4">
        <v>3.6458333333333329E-2</v>
      </c>
      <c r="H15" s="9" t="s">
        <v>424</v>
      </c>
      <c r="I15" s="4">
        <v>6.1805555555555558E-2</v>
      </c>
    </row>
  </sheetData>
  <mergeCells count="4">
    <mergeCell ref="A1:C1"/>
    <mergeCell ref="E1:F1"/>
    <mergeCell ref="H1:I1"/>
    <mergeCell ref="K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"/>
  <sheetViews>
    <sheetView showGridLines="0" zoomScaleNormal="100" workbookViewId="0">
      <selection sqref="A1:C1"/>
    </sheetView>
  </sheetViews>
  <sheetFormatPr defaultRowHeight="15" x14ac:dyDescent="0.25"/>
  <cols>
    <col min="1" max="1" width="13.7109375" bestFit="1" customWidth="1"/>
    <col min="2" max="2" width="8.85546875" customWidth="1"/>
    <col min="3" max="3" width="7" bestFit="1" customWidth="1"/>
    <col min="4" max="4" width="5.140625" customWidth="1"/>
    <col min="5" max="5" width="14.140625" bestFit="1" customWidth="1"/>
    <col min="6" max="6" width="8.85546875" bestFit="1" customWidth="1"/>
    <col min="7" max="7" width="7" bestFit="1" customWidth="1"/>
    <col min="8" max="8" width="5.140625" customWidth="1"/>
    <col min="9" max="9" width="12.85546875" bestFit="1" customWidth="1"/>
    <col min="10" max="10" width="6" customWidth="1"/>
    <col min="11" max="11" width="7" customWidth="1"/>
    <col min="12" max="12" width="5.140625" customWidth="1"/>
    <col min="13" max="13" width="8.5703125" bestFit="1" customWidth="1"/>
    <col min="14" max="14" width="6" bestFit="1" customWidth="1"/>
    <col min="15" max="15" width="7" customWidth="1"/>
    <col min="16" max="16" width="5.140625" customWidth="1"/>
    <col min="17" max="17" width="18.7109375" bestFit="1" customWidth="1"/>
    <col min="18" max="18" width="8.85546875" customWidth="1"/>
    <col min="19" max="19" width="7" customWidth="1"/>
    <col min="20" max="359" width="5.140625" customWidth="1"/>
    <col min="360" max="769" width="6.7109375" customWidth="1"/>
    <col min="770" max="770" width="11.28515625" bestFit="1" customWidth="1"/>
  </cols>
  <sheetData>
    <row r="1" spans="1:19" s="15" customFormat="1" ht="60" customHeight="1" thickBot="1" x14ac:dyDescent="0.3">
      <c r="A1" s="65" t="s">
        <v>1634</v>
      </c>
      <c r="B1" s="67"/>
      <c r="C1" s="66"/>
      <c r="E1" s="65" t="s">
        <v>1635</v>
      </c>
      <c r="F1" s="67"/>
      <c r="G1" s="66"/>
      <c r="I1" s="65" t="s">
        <v>1636</v>
      </c>
      <c r="J1" s="67"/>
      <c r="K1" s="66"/>
      <c r="M1" s="65" t="s">
        <v>1637</v>
      </c>
      <c r="N1" s="67"/>
      <c r="O1" s="66"/>
      <c r="Q1" s="65" t="s">
        <v>1638</v>
      </c>
      <c r="R1" s="67"/>
      <c r="S1" s="66"/>
    </row>
    <row r="3" spans="1:19" x14ac:dyDescent="0.25">
      <c r="A3" s="8" t="s">
        <v>1620</v>
      </c>
      <c r="B3" t="s">
        <v>1605</v>
      </c>
      <c r="C3" t="s">
        <v>1604</v>
      </c>
      <c r="E3" s="8" t="s">
        <v>1621</v>
      </c>
      <c r="F3" t="s">
        <v>1605</v>
      </c>
      <c r="G3" t="s">
        <v>1604</v>
      </c>
      <c r="I3" s="8" t="s">
        <v>1603</v>
      </c>
      <c r="J3" t="s">
        <v>1606</v>
      </c>
      <c r="K3" t="s">
        <v>1604</v>
      </c>
      <c r="M3" s="8" t="s">
        <v>1616</v>
      </c>
      <c r="N3" t="s">
        <v>1606</v>
      </c>
      <c r="O3" t="s">
        <v>1604</v>
      </c>
      <c r="Q3" s="8" t="s">
        <v>1622</v>
      </c>
      <c r="R3" t="s">
        <v>1605</v>
      </c>
      <c r="S3" t="s">
        <v>1604</v>
      </c>
    </row>
    <row r="4" spans="1:19" x14ac:dyDescent="0.25">
      <c r="A4" s="9" t="s">
        <v>1619</v>
      </c>
      <c r="B4" s="6">
        <v>245525</v>
      </c>
      <c r="C4" s="7">
        <v>233</v>
      </c>
      <c r="E4" s="11">
        <v>30</v>
      </c>
      <c r="F4" s="6">
        <v>231128</v>
      </c>
      <c r="G4" s="7">
        <v>208</v>
      </c>
      <c r="I4" s="9" t="s">
        <v>484</v>
      </c>
      <c r="J4" s="6">
        <v>795</v>
      </c>
      <c r="K4" s="7">
        <v>5</v>
      </c>
      <c r="M4" s="9" t="s">
        <v>43</v>
      </c>
      <c r="N4" s="6">
        <v>492</v>
      </c>
      <c r="O4" s="7">
        <v>3</v>
      </c>
      <c r="Q4" s="9" t="s">
        <v>21</v>
      </c>
      <c r="R4" s="6">
        <v>374669</v>
      </c>
      <c r="S4" s="7">
        <v>357</v>
      </c>
    </row>
    <row r="5" spans="1:19" x14ac:dyDescent="0.25">
      <c r="A5" s="9" t="s">
        <v>28</v>
      </c>
      <c r="B5" s="6">
        <v>220036</v>
      </c>
      <c r="C5" s="7">
        <v>201</v>
      </c>
      <c r="E5" s="11">
        <v>40</v>
      </c>
      <c r="F5" s="6">
        <v>225962</v>
      </c>
      <c r="G5" s="7">
        <v>207</v>
      </c>
      <c r="I5" s="9" t="s">
        <v>227</v>
      </c>
      <c r="J5" s="6">
        <v>759</v>
      </c>
      <c r="K5" s="7">
        <v>5</v>
      </c>
      <c r="M5" s="9" t="s">
        <v>383</v>
      </c>
      <c r="N5" s="6">
        <v>418</v>
      </c>
      <c r="O5" s="7">
        <v>2</v>
      </c>
      <c r="Q5" s="9" t="s">
        <v>14</v>
      </c>
      <c r="R5" s="6">
        <v>361208</v>
      </c>
      <c r="S5" s="7">
        <v>337</v>
      </c>
    </row>
    <row r="6" spans="1:19" x14ac:dyDescent="0.25">
      <c r="A6" s="9" t="s">
        <v>22</v>
      </c>
      <c r="B6" s="6">
        <v>199598</v>
      </c>
      <c r="C6" s="7">
        <v>198</v>
      </c>
      <c r="E6" s="11">
        <v>20</v>
      </c>
      <c r="F6" s="6">
        <v>204626</v>
      </c>
      <c r="G6" s="7">
        <v>195</v>
      </c>
      <c r="I6" s="9" t="s">
        <v>134</v>
      </c>
      <c r="J6" s="6">
        <v>647</v>
      </c>
      <c r="K6" s="7">
        <v>4</v>
      </c>
      <c r="M6" s="9" t="s">
        <v>230</v>
      </c>
      <c r="N6" s="6">
        <v>415</v>
      </c>
      <c r="O6" s="7">
        <v>3</v>
      </c>
      <c r="Q6" s="9" t="s">
        <v>18</v>
      </c>
      <c r="R6" s="6">
        <v>318092</v>
      </c>
      <c r="S6" s="7">
        <v>306</v>
      </c>
    </row>
    <row r="7" spans="1:19" x14ac:dyDescent="0.25">
      <c r="A7" s="9" t="s">
        <v>15</v>
      </c>
      <c r="B7" s="6">
        <v>194953</v>
      </c>
      <c r="C7" s="7">
        <v>183</v>
      </c>
      <c r="E7" s="11">
        <v>50</v>
      </c>
      <c r="F7" s="6">
        <v>201443</v>
      </c>
      <c r="G7" s="7">
        <v>204</v>
      </c>
      <c r="I7" s="9" t="s">
        <v>1155</v>
      </c>
      <c r="J7" s="6">
        <v>642</v>
      </c>
      <c r="K7" s="7">
        <v>5</v>
      </c>
      <c r="M7" s="9" t="s">
        <v>763</v>
      </c>
      <c r="N7" s="6">
        <v>413</v>
      </c>
      <c r="O7" s="7">
        <v>2</v>
      </c>
    </row>
    <row r="8" spans="1:19" x14ac:dyDescent="0.25">
      <c r="A8" s="9" t="s">
        <v>25</v>
      </c>
      <c r="B8" s="6">
        <v>193857</v>
      </c>
      <c r="C8" s="7">
        <v>185</v>
      </c>
      <c r="E8" s="11">
        <v>0</v>
      </c>
      <c r="F8" s="6">
        <v>190810</v>
      </c>
      <c r="G8" s="7">
        <v>186</v>
      </c>
      <c r="I8" s="9" t="s">
        <v>890</v>
      </c>
      <c r="J8" s="6">
        <v>584</v>
      </c>
      <c r="K8" s="7">
        <v>4</v>
      </c>
      <c r="M8" s="9" t="s">
        <v>840</v>
      </c>
      <c r="N8" s="6">
        <v>399</v>
      </c>
      <c r="O8" s="7">
        <v>2</v>
      </c>
    </row>
    <row r="9" spans="1:19" x14ac:dyDescent="0.25">
      <c r="I9" s="9" t="s">
        <v>590</v>
      </c>
      <c r="J9" s="6">
        <v>580</v>
      </c>
      <c r="K9" s="7">
        <v>3</v>
      </c>
      <c r="M9" s="9" t="s">
        <v>53</v>
      </c>
      <c r="N9" s="6">
        <v>395</v>
      </c>
      <c r="O9" s="7">
        <v>2</v>
      </c>
    </row>
    <row r="10" spans="1:19" x14ac:dyDescent="0.25">
      <c r="I10" s="9" t="s">
        <v>290</v>
      </c>
      <c r="J10" s="6">
        <v>568</v>
      </c>
      <c r="K10" s="7">
        <v>4</v>
      </c>
      <c r="M10" s="9" t="s">
        <v>287</v>
      </c>
      <c r="N10" s="6">
        <v>361</v>
      </c>
      <c r="O10" s="7">
        <v>2</v>
      </c>
    </row>
    <row r="11" spans="1:19" x14ac:dyDescent="0.25">
      <c r="I11" s="9" t="s">
        <v>27</v>
      </c>
      <c r="J11" s="6">
        <v>562</v>
      </c>
      <c r="K11" s="7">
        <v>3</v>
      </c>
      <c r="M11" s="9" t="s">
        <v>445</v>
      </c>
      <c r="N11" s="6">
        <v>350</v>
      </c>
      <c r="O11" s="7">
        <v>2</v>
      </c>
    </row>
    <row r="12" spans="1:19" x14ac:dyDescent="0.25">
      <c r="I12" s="9" t="s">
        <v>465</v>
      </c>
      <c r="J12" s="6">
        <v>561</v>
      </c>
      <c r="K12" s="7">
        <v>4</v>
      </c>
      <c r="M12" s="9" t="s">
        <v>51</v>
      </c>
      <c r="N12" s="6">
        <v>350</v>
      </c>
      <c r="O12" s="7">
        <v>2</v>
      </c>
    </row>
    <row r="13" spans="1:19" x14ac:dyDescent="0.25">
      <c r="I13" s="9" t="s">
        <v>425</v>
      </c>
      <c r="J13" s="6">
        <v>561</v>
      </c>
      <c r="K13" s="7">
        <v>4</v>
      </c>
      <c r="M13" s="9" t="s">
        <v>966</v>
      </c>
      <c r="N13" s="6">
        <v>341</v>
      </c>
      <c r="O13" s="7">
        <v>2</v>
      </c>
    </row>
  </sheetData>
  <mergeCells count="5">
    <mergeCell ref="A1:C1"/>
    <mergeCell ref="E1:G1"/>
    <mergeCell ref="Q1:S1"/>
    <mergeCell ref="I1:K1"/>
    <mergeCell ref="M1:O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4"/>
  <sheetViews>
    <sheetView showGridLines="0" tabSelected="1" workbookViewId="0">
      <selection activeCell="AC6" sqref="AC6"/>
    </sheetView>
  </sheetViews>
  <sheetFormatPr defaultRowHeight="15" x14ac:dyDescent="0.25"/>
  <cols>
    <col min="1" max="8" width="9.140625" customWidth="1"/>
    <col min="17" max="17" width="9.140625" customWidth="1"/>
  </cols>
  <sheetData>
    <row r="1" spans="1:28" s="13" customFormat="1" ht="43.5" thickTop="1" thickBot="1" x14ac:dyDescent="0.4">
      <c r="A1" s="18" t="s">
        <v>1623</v>
      </c>
      <c r="B1" s="19"/>
      <c r="C1" s="19"/>
      <c r="D1" s="20"/>
      <c r="E1" s="18" t="s">
        <v>1624</v>
      </c>
      <c r="F1" s="19"/>
      <c r="G1" s="19"/>
      <c r="H1" s="20"/>
      <c r="I1" s="18" t="s">
        <v>1625</v>
      </c>
      <c r="J1" s="19"/>
      <c r="K1" s="19"/>
      <c r="L1" s="20"/>
      <c r="M1" s="18" t="s">
        <v>1626</v>
      </c>
      <c r="N1" s="19"/>
      <c r="O1" s="19"/>
      <c r="P1" s="20"/>
      <c r="Q1" s="18" t="s">
        <v>1627</v>
      </c>
      <c r="R1" s="19"/>
      <c r="S1" s="19"/>
      <c r="T1" s="20"/>
      <c r="U1" s="18" t="s">
        <v>1628</v>
      </c>
      <c r="V1" s="19"/>
      <c r="W1" s="19"/>
      <c r="X1" s="20"/>
      <c r="Y1" s="18" t="s">
        <v>1629</v>
      </c>
      <c r="Z1" s="19"/>
      <c r="AA1" s="19"/>
      <c r="AB1" s="20"/>
    </row>
    <row r="2" spans="1:28" s="14" customFormat="1" ht="35.25" thickTop="1" thickBot="1" x14ac:dyDescent="0.55000000000000004">
      <c r="A2" s="21">
        <f>SUM(Data_prep_table[Order_value])</f>
        <v>1053969</v>
      </c>
      <c r="B2" s="22"/>
      <c r="C2" s="22"/>
      <c r="D2" s="23"/>
      <c r="E2" s="24">
        <f>SUM(Data_prep_table[Platform_profit])</f>
        <v>128522</v>
      </c>
      <c r="F2" s="25"/>
      <c r="G2" s="25"/>
      <c r="H2" s="26"/>
      <c r="I2" s="27">
        <f>COUNTIF(Data_prep_table[Orders_count_customer],1)+COUNTIF(Data_prep_table[Orders_count_customer],2)/2+COUNTIF(Data_prep_table[Orders_count_customer],3)/3</f>
        <v>947</v>
      </c>
      <c r="J2" s="25"/>
      <c r="K2" s="25"/>
      <c r="L2" s="26"/>
      <c r="M2" s="27">
        <f>COUNTIF(Data_prep_table[Orders_count_restaurant],1)+COUNTIF(Data_prep_table[Orders_count_restaurant],2)/2+COUNTIF(Data_prep_table[Orders_count_restaurant],3)/3+COUNTIF(Data_prep_table[Orders_count_restaurant],4)/4+COUNTIF(Data_prep_table[Orders_count_restaurant],5)/5+COUNTIF(Data_prep_table[Orders_count_restaurant],6)/6</f>
        <v>621</v>
      </c>
      <c r="N2" s="25"/>
      <c r="O2" s="25"/>
      <c r="P2" s="26"/>
      <c r="Q2" s="28">
        <f>COUNT(Data_prep_table[Order_ID])</f>
        <v>1000</v>
      </c>
      <c r="R2" s="25"/>
      <c r="S2" s="25"/>
      <c r="T2" s="26"/>
      <c r="U2" s="29">
        <f>SUM(Data_prep_table[Refunds/chargebacks])/SUM(Data_prep_table[Order_value],Data_prep_table[Delivery_fee])</f>
        <v>2.6141037826913075E-2</v>
      </c>
      <c r="V2" s="25"/>
      <c r="W2" s="25"/>
      <c r="X2" s="26"/>
      <c r="Y2" s="30">
        <f>AVERAGE(Data_prep_table[Delivery_time])</f>
        <v>5.109375000002183E-2</v>
      </c>
      <c r="Z2" s="25"/>
      <c r="AA2" s="25"/>
      <c r="AB2" s="26"/>
    </row>
    <row r="3" spans="1:28" ht="16.5" thickTop="1" thickBot="1" x14ac:dyDescent="0.3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3"/>
    </row>
    <row r="4" spans="1:28" ht="64.5" thickTop="1" thickBot="1" x14ac:dyDescent="0.3">
      <c r="A4" s="31"/>
      <c r="B4" s="32"/>
      <c r="C4" s="34" t="s">
        <v>1639</v>
      </c>
      <c r="D4" s="35"/>
      <c r="E4" s="35"/>
      <c r="F4" s="36"/>
      <c r="G4" s="32"/>
      <c r="H4" s="34" t="s">
        <v>1648</v>
      </c>
      <c r="I4" s="35"/>
      <c r="J4" s="35"/>
      <c r="K4" s="36"/>
      <c r="L4" s="32"/>
      <c r="M4" s="34" t="s">
        <v>1649</v>
      </c>
      <c r="N4" s="35"/>
      <c r="O4" s="35"/>
      <c r="P4" s="36"/>
      <c r="Q4" s="32"/>
      <c r="R4" s="34" t="s">
        <v>1650</v>
      </c>
      <c r="S4" s="35"/>
      <c r="T4" s="35"/>
      <c r="U4" s="36"/>
      <c r="V4" s="32"/>
      <c r="W4" s="34" t="s">
        <v>1653</v>
      </c>
      <c r="X4" s="35"/>
      <c r="Y4" s="35"/>
      <c r="Z4" s="36"/>
      <c r="AA4" s="32"/>
      <c r="AB4" s="33"/>
    </row>
    <row r="5" spans="1:28" s="13" customFormat="1" ht="21.75" thickTop="1" x14ac:dyDescent="0.35">
      <c r="A5" s="37"/>
      <c r="B5" s="38"/>
      <c r="C5" s="39" t="s">
        <v>1603</v>
      </c>
      <c r="D5" s="39"/>
      <c r="E5" s="39" t="s">
        <v>1604</v>
      </c>
      <c r="F5" s="39"/>
      <c r="G5" s="38"/>
      <c r="H5" s="39" t="s">
        <v>1603</v>
      </c>
      <c r="I5" s="39"/>
      <c r="J5" s="39" t="s">
        <v>1605</v>
      </c>
      <c r="K5" s="39"/>
      <c r="L5" s="38"/>
      <c r="M5" s="39" t="s">
        <v>1603</v>
      </c>
      <c r="N5" s="39"/>
      <c r="O5" s="39" t="s">
        <v>1606</v>
      </c>
      <c r="P5" s="39"/>
      <c r="Q5" s="38"/>
      <c r="R5" s="39" t="s">
        <v>1603</v>
      </c>
      <c r="S5" s="39"/>
      <c r="T5" s="39" t="s">
        <v>1608</v>
      </c>
      <c r="U5" s="39"/>
      <c r="V5" s="38"/>
      <c r="W5" s="39" t="s">
        <v>1603</v>
      </c>
      <c r="X5" s="39"/>
      <c r="Y5" s="39" t="s">
        <v>1651</v>
      </c>
      <c r="Z5" s="39"/>
      <c r="AA5" s="38"/>
      <c r="AB5" s="40"/>
    </row>
    <row r="6" spans="1:28" s="12" customFormat="1" ht="21" x14ac:dyDescent="0.35">
      <c r="A6" s="41"/>
      <c r="B6" s="42"/>
      <c r="C6" s="43" t="str">
        <f>Pivot_summary_restaurants!A6</f>
        <v>R2317</v>
      </c>
      <c r="D6" s="43"/>
      <c r="E6" s="43">
        <f>GETPIVOTDATA("Restaurant_ID",Pivot_summary_restaurants!$A$5,"Restaurant_ID","R2317")</f>
        <v>6</v>
      </c>
      <c r="F6" s="43"/>
      <c r="G6" s="42"/>
      <c r="H6" s="43" t="str">
        <f>Pivot_summary_restaurants!D6</f>
        <v>R2726</v>
      </c>
      <c r="I6" s="43"/>
      <c r="J6" s="44">
        <f>GETPIVOTDATA("Order_value",Pivot_summary_restaurants!$D$5,"Restaurant_ID","R2726")</f>
        <v>6794</v>
      </c>
      <c r="K6" s="43"/>
      <c r="L6" s="42"/>
      <c r="M6" s="43" t="str">
        <f>Pivot_summary_restaurants!G6</f>
        <v>R2726</v>
      </c>
      <c r="N6" s="43"/>
      <c r="O6" s="44">
        <f>GETPIVOTDATA("Restaurant_profit",Pivot_summary_restaurants!$G$5,"Restaurant_ID","R2726")</f>
        <v>5985</v>
      </c>
      <c r="P6" s="43"/>
      <c r="Q6" s="42"/>
      <c r="R6" s="43" t="str">
        <f>Pivot_summary_restaurants!P6</f>
        <v>R2284</v>
      </c>
      <c r="S6" s="43"/>
      <c r="T6" s="45">
        <f>GETPIVOTDATA("Delivery_time",Pivot_summary_restaurants!$P$5,"Restaurant_ID","R2284")</f>
        <v>2.5694444444444447E-2</v>
      </c>
      <c r="U6" s="43"/>
      <c r="V6" s="42"/>
      <c r="W6" s="43" t="str">
        <f>Pivot_summary_restaurants!V6</f>
        <v>R2570</v>
      </c>
      <c r="X6" s="43"/>
      <c r="Y6" s="46">
        <f>GETPIVOTDATA("Average",Pivot_summary_restaurants!$V$5,"Restaurant_ID","R2570")</f>
        <v>137.5</v>
      </c>
      <c r="Z6" s="43"/>
      <c r="AA6" s="42"/>
      <c r="AB6" s="47"/>
    </row>
    <row r="7" spans="1:28" s="12" customFormat="1" ht="21" x14ac:dyDescent="0.35">
      <c r="A7" s="41"/>
      <c r="B7" s="42"/>
      <c r="C7" s="43" t="str">
        <f>Pivot_summary_restaurants!A7</f>
        <v>R2083</v>
      </c>
      <c r="D7" s="43"/>
      <c r="E7" s="43">
        <f>GETPIVOTDATA("Restaurant_ID",Pivot_summary_restaurants!$A$5,"Restaurant_ID","R2083")</f>
        <v>5</v>
      </c>
      <c r="F7" s="43"/>
      <c r="G7" s="42"/>
      <c r="H7" s="43" t="str">
        <f>Pivot_summary_restaurants!D7</f>
        <v>R2083</v>
      </c>
      <c r="I7" s="43"/>
      <c r="J7" s="44">
        <f>GETPIVOTDATA("Order_value",Pivot_summary_restaurants!$D$5,"Restaurant_ID","R2083")</f>
        <v>6291</v>
      </c>
      <c r="K7" s="43"/>
      <c r="L7" s="42"/>
      <c r="M7" s="43" t="str">
        <f>Pivot_summary_restaurants!G7</f>
        <v>R2083</v>
      </c>
      <c r="N7" s="43"/>
      <c r="O7" s="44">
        <f>GETPIVOTDATA("Restaurant_profit",Pivot_summary_restaurants!$G$5,"Restaurant_ID","R2083")</f>
        <v>5599</v>
      </c>
      <c r="P7" s="43"/>
      <c r="Q7" s="42"/>
      <c r="R7" s="43" t="str">
        <f>Pivot_summary_restaurants!P7</f>
        <v>R2536</v>
      </c>
      <c r="S7" s="43"/>
      <c r="T7" s="45">
        <f>GETPIVOTDATA("Delivery_time",Pivot_summary_restaurants!$P$5,"Restaurant_ID","R2536")</f>
        <v>2.9398148148148145E-2</v>
      </c>
      <c r="U7" s="43"/>
      <c r="V7" s="42"/>
      <c r="W7" s="43" t="str">
        <f>Pivot_summary_restaurants!V7</f>
        <v>R2334</v>
      </c>
      <c r="X7" s="43"/>
      <c r="Y7" s="46">
        <f>GETPIVOTDATA("Average",Pivot_summary_restaurants!$V$5,"Restaurant_ID","R2334")</f>
        <v>133.33333333333334</v>
      </c>
      <c r="Z7" s="43"/>
      <c r="AA7" s="42"/>
      <c r="AB7" s="47"/>
    </row>
    <row r="8" spans="1:28" s="12" customFormat="1" ht="21" x14ac:dyDescent="0.35">
      <c r="A8" s="41"/>
      <c r="B8" s="42"/>
      <c r="C8" s="43" t="str">
        <f>Pivot_summary_restaurants!A8</f>
        <v>R2016</v>
      </c>
      <c r="D8" s="43"/>
      <c r="E8" s="43">
        <f>GETPIVOTDATA("Restaurant_ID",Pivot_summary_restaurants!$A$5,"Restaurant_ID","R2016")</f>
        <v>5</v>
      </c>
      <c r="F8" s="43"/>
      <c r="G8" s="42"/>
      <c r="H8" s="43" t="str">
        <f>Pivot_summary_restaurants!D8</f>
        <v>R2933</v>
      </c>
      <c r="I8" s="43"/>
      <c r="J8" s="44">
        <f>GETPIVOTDATA("Order_value",Pivot_summary_restaurants!$D$5,"Restaurant_ID","R2933")</f>
        <v>6049</v>
      </c>
      <c r="K8" s="43"/>
      <c r="L8" s="42"/>
      <c r="M8" s="43" t="str">
        <f>Pivot_summary_restaurants!G8</f>
        <v>R2933</v>
      </c>
      <c r="N8" s="43"/>
      <c r="O8" s="44">
        <f>GETPIVOTDATA("Restaurant_profit",Pivot_summary_restaurants!$G$5,"Restaurant_ID","R2933")</f>
        <v>5547</v>
      </c>
      <c r="P8" s="43"/>
      <c r="Q8" s="42"/>
      <c r="R8" s="43" t="str">
        <f>Pivot_summary_restaurants!P8</f>
        <v>R2267</v>
      </c>
      <c r="S8" s="43"/>
      <c r="T8" s="45">
        <f>GETPIVOTDATA("Delivery_time",Pivot_summary_restaurants!$P$5,"Restaurant_ID","R2267")</f>
        <v>3.125E-2</v>
      </c>
      <c r="U8" s="43"/>
      <c r="V8" s="42"/>
      <c r="W8" s="43" t="str">
        <f>Pivot_summary_restaurants!V8</f>
        <v>R2287</v>
      </c>
      <c r="X8" s="43"/>
      <c r="Y8" s="46">
        <f>GETPIVOTDATA("Average",Pivot_summary_restaurants!$V$5,"Restaurant_ID","R2287")</f>
        <v>100</v>
      </c>
      <c r="Z8" s="43"/>
      <c r="AA8" s="42"/>
      <c r="AB8" s="47"/>
    </row>
    <row r="9" spans="1:28" s="12" customFormat="1" ht="21" x14ac:dyDescent="0.35">
      <c r="A9" s="41"/>
      <c r="B9" s="42"/>
      <c r="C9" s="43" t="str">
        <f>Pivot_summary_restaurants!A9</f>
        <v>R2804</v>
      </c>
      <c r="D9" s="43"/>
      <c r="E9" s="43">
        <f>GETPIVOTDATA("Restaurant_ID",Pivot_summary_restaurants!$A$5,"Restaurant_ID","R2804")</f>
        <v>5</v>
      </c>
      <c r="F9" s="43"/>
      <c r="G9" s="42"/>
      <c r="H9" s="43" t="str">
        <f>Pivot_summary_restaurants!D9</f>
        <v>R2329</v>
      </c>
      <c r="I9" s="43"/>
      <c r="J9" s="44">
        <f>GETPIVOTDATA("Order_value",Pivot_summary_restaurants!$D$5,"Restaurant_ID","R2329")</f>
        <v>5398</v>
      </c>
      <c r="K9" s="43"/>
      <c r="L9" s="42"/>
      <c r="M9" s="43" t="str">
        <f>Pivot_summary_restaurants!G9</f>
        <v>R2329</v>
      </c>
      <c r="N9" s="43"/>
      <c r="O9" s="44">
        <f>GETPIVOTDATA("Restaurant_profit",Pivot_summary_restaurants!$G$5,"Restaurant_ID","R2329")</f>
        <v>4894</v>
      </c>
      <c r="P9" s="43"/>
      <c r="Q9" s="42"/>
      <c r="R9" s="43" t="str">
        <f>Pivot_summary_restaurants!P9</f>
        <v>R2454</v>
      </c>
      <c r="S9" s="43"/>
      <c r="T9" s="45">
        <f>GETPIVOTDATA("Delivery_time",Pivot_summary_restaurants!$P$5,"Restaurant_ID","R2454")</f>
        <v>3.2638888888888884E-2</v>
      </c>
      <c r="U9" s="43"/>
      <c r="V9" s="42"/>
      <c r="W9" s="43" t="str">
        <f>Pivot_summary_restaurants!V9</f>
        <v>R2010</v>
      </c>
      <c r="X9" s="43"/>
      <c r="Y9" s="46">
        <f>GETPIVOTDATA("Average",Pivot_summary_restaurants!$V$5,"Restaurant_ID","R2010")</f>
        <v>83.333333333333329</v>
      </c>
      <c r="Z9" s="43"/>
      <c r="AA9" s="42"/>
      <c r="AB9" s="47"/>
    </row>
    <row r="10" spans="1:28" s="12" customFormat="1" ht="21" x14ac:dyDescent="0.35">
      <c r="A10" s="41"/>
      <c r="B10" s="42"/>
      <c r="C10" s="43" t="str">
        <f>Pivot_summary_restaurants!A10</f>
        <v>R2726</v>
      </c>
      <c r="D10" s="43"/>
      <c r="E10" s="43">
        <f>GETPIVOTDATA("Restaurant_ID",Pivot_summary_restaurants!$A$5,"Restaurant_ID","R2726")</f>
        <v>5</v>
      </c>
      <c r="F10" s="43"/>
      <c r="G10" s="42"/>
      <c r="H10" s="43" t="str">
        <f>Pivot_summary_restaurants!D10</f>
        <v>R2355</v>
      </c>
      <c r="I10" s="43"/>
      <c r="J10" s="44">
        <f>GETPIVOTDATA("Order_value",Pivot_summary_restaurants!$D$5,"Restaurant_ID","R2355")</f>
        <v>5320</v>
      </c>
      <c r="K10" s="43"/>
      <c r="L10" s="42"/>
      <c r="M10" s="43" t="str">
        <f>Pivot_summary_restaurants!G10</f>
        <v>R2747</v>
      </c>
      <c r="N10" s="43"/>
      <c r="O10" s="44">
        <f>GETPIVOTDATA("Restaurant_profit",Pivot_summary_restaurants!$G$5,"Restaurant_ID","R2747")</f>
        <v>4846</v>
      </c>
      <c r="P10" s="43"/>
      <c r="Q10" s="42"/>
      <c r="R10" s="43" t="str">
        <f>Pivot_summary_restaurants!P10</f>
        <v>R2520</v>
      </c>
      <c r="S10" s="43"/>
      <c r="T10" s="45">
        <f>GETPIVOTDATA("Delivery_time",Pivot_summary_restaurants!$P$5,"Restaurant_ID","R2520")</f>
        <v>3.2638888888888891E-2</v>
      </c>
      <c r="U10" s="43"/>
      <c r="V10" s="42"/>
      <c r="W10" s="43" t="str">
        <f>Pivot_summary_restaurants!V10</f>
        <v>R2169</v>
      </c>
      <c r="X10" s="43"/>
      <c r="Y10" s="46">
        <f>GETPIVOTDATA("Average",Pivot_summary_restaurants!$V$5,"Restaurant_ID","R2169")</f>
        <v>83.333333333333329</v>
      </c>
      <c r="Z10" s="43"/>
      <c r="AA10" s="42"/>
      <c r="AB10" s="47"/>
    </row>
    <row r="11" spans="1:28" s="12" customFormat="1" ht="21" x14ac:dyDescent="0.35">
      <c r="A11" s="41"/>
      <c r="B11" s="42"/>
      <c r="C11" s="43" t="str">
        <f>Pivot_summary_restaurants!A11</f>
        <v>R2523</v>
      </c>
      <c r="D11" s="43"/>
      <c r="E11" s="43">
        <f>GETPIVOTDATA("Restaurant_ID",Pivot_summary_restaurants!$A$5,"Restaurant_ID","R2523")</f>
        <v>5</v>
      </c>
      <c r="F11" s="43"/>
      <c r="G11" s="42"/>
      <c r="H11" s="48" t="s">
        <v>1652</v>
      </c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2"/>
      <c r="W11" s="43" t="str">
        <f>Pivot_summary_restaurants!V11</f>
        <v>R2816</v>
      </c>
      <c r="X11" s="43"/>
      <c r="Y11" s="46">
        <f>GETPIVOTDATA("Average",Pivot_summary_restaurants!$V$5,"Restaurant_ID","R2816")</f>
        <v>83.333333333333329</v>
      </c>
      <c r="Z11" s="43"/>
      <c r="AA11" s="42"/>
      <c r="AB11" s="47"/>
    </row>
    <row r="12" spans="1:28" x14ac:dyDescent="0.25">
      <c r="A12" s="31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3"/>
    </row>
    <row r="13" spans="1:28" x14ac:dyDescent="0.25">
      <c r="A13" s="31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3"/>
    </row>
    <row r="14" spans="1:28" ht="15.75" thickBot="1" x14ac:dyDescent="0.3">
      <c r="A14" s="31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3"/>
    </row>
    <row r="15" spans="1:28" ht="43.5" thickTop="1" thickBot="1" x14ac:dyDescent="0.4">
      <c r="A15" s="34" t="s">
        <v>1654</v>
      </c>
      <c r="B15" s="49"/>
      <c r="C15" s="50"/>
      <c r="D15" s="51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3"/>
    </row>
    <row r="16" spans="1:28" ht="21.75" thickTop="1" x14ac:dyDescent="0.35">
      <c r="A16" s="52" t="s">
        <v>1616</v>
      </c>
      <c r="B16" s="53"/>
      <c r="C16" s="54" t="s">
        <v>1655</v>
      </c>
      <c r="D16" s="54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3"/>
    </row>
    <row r="17" spans="1:28" ht="21" x14ac:dyDescent="0.35">
      <c r="A17" s="55" t="str">
        <f>Pivot_summary_customers!A6</f>
        <v>C7949</v>
      </c>
      <c r="B17" s="56"/>
      <c r="C17" s="44">
        <f>GETPIVOTDATA("Total_bought",Pivot_summary_customers!$A$5,"Customer_ID","C7949")</f>
        <v>3870</v>
      </c>
      <c r="D17" s="57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3"/>
    </row>
    <row r="18" spans="1:28" ht="21" x14ac:dyDescent="0.35">
      <c r="A18" s="55" t="str">
        <f>Pivot_summary_customers!A7</f>
        <v>C3832</v>
      </c>
      <c r="B18" s="56"/>
      <c r="C18" s="44">
        <f>GETPIVOTDATA("Total_bought",Pivot_summary_customers!$A$5,"Customer_ID","C3832")</f>
        <v>3768</v>
      </c>
      <c r="D18" s="57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3"/>
    </row>
    <row r="19" spans="1:28" ht="21" x14ac:dyDescent="0.35">
      <c r="A19" s="55" t="str">
        <f>Pivot_summary_customers!A8</f>
        <v>C8266</v>
      </c>
      <c r="B19" s="56"/>
      <c r="C19" s="44">
        <f>GETPIVOTDATA("Total_bought",Pivot_summary_customers!$A$5,"Customer_ID","C8266")</f>
        <v>3703</v>
      </c>
      <c r="D19" s="57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3"/>
    </row>
    <row r="20" spans="1:28" ht="21" x14ac:dyDescent="0.35">
      <c r="A20" s="55" t="str">
        <f>Pivot_summary_customers!A9</f>
        <v>C5555</v>
      </c>
      <c r="B20" s="56"/>
      <c r="C20" s="44">
        <f>GETPIVOTDATA("Total_bought",Pivot_summary_customers!$A$5,"Customer_ID","C5555")</f>
        <v>3664</v>
      </c>
      <c r="D20" s="57"/>
      <c r="E20" s="58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3"/>
    </row>
    <row r="21" spans="1:28" ht="21" x14ac:dyDescent="0.35">
      <c r="A21" s="55" t="str">
        <f>Pivot_summary_customers!A10</f>
        <v>C5146</v>
      </c>
      <c r="B21" s="56"/>
      <c r="C21" s="44">
        <f>GETPIVOTDATA("Total_bought",Pivot_summary_customers!$A$5,"Customer_ID","C5146")</f>
        <v>3361</v>
      </c>
      <c r="D21" s="57"/>
      <c r="E21" s="58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3"/>
    </row>
    <row r="22" spans="1:28" x14ac:dyDescent="0.25">
      <c r="A22" s="31"/>
      <c r="B22" s="32"/>
      <c r="C22" s="59"/>
      <c r="D22" s="58"/>
      <c r="E22" s="58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3"/>
    </row>
    <row r="23" spans="1:28" ht="15.75" thickBot="1" x14ac:dyDescent="0.3">
      <c r="A23" s="60"/>
      <c r="B23" s="61"/>
      <c r="C23" s="62"/>
      <c r="D23" s="63"/>
      <c r="E23" s="63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4"/>
    </row>
    <row r="24" spans="1:28" ht="15.75" thickTop="1" x14ac:dyDescent="0.25"/>
  </sheetData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Raw_data</vt:lpstr>
      <vt:lpstr>Data_prep</vt:lpstr>
      <vt:lpstr>Pivot_summary_restaurants</vt:lpstr>
      <vt:lpstr>Pivot_summary_customers</vt:lpstr>
      <vt:lpstr>Pivot_summary_platform</vt:lpstr>
      <vt:lpstr>Dashboard_platform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2026-01-17T10:34:53Z</dcterms:modified>
</cp:coreProperties>
</file>